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ien_thuat" sheetId="1" state="visible" r:id="rId1"/>
    <sheet name="AI_ho_so_che_do" sheetId="2" state="visible" r:id="rId2"/>
    <sheet name="AI_ho_so_pha" sheetId="3" state="visible" r:id="rId3"/>
    <sheet name="AI_ho_so_anh_xa" sheetId="4" state="visible" r:id="rId4"/>
    <sheet name="AI_tuong" sheetId="5" state="visible" r:id="rId5"/>
    <sheet name="AI_tham_so" sheetId="6" state="visible" r:id="rId6"/>
    <sheet name="AI_vai_tro" sheetId="7" state="visible" r:id="rId7"/>
    <sheet name="AI_don_vi" sheetId="8" state="visible" r:id="rId8"/>
    <sheet name="AI_trang_thai" sheetId="9" state="visible" r:id="rId9"/>
    <sheet name="AI_thap" sheetId="10" state="visible" r:id="rId10"/>
    <sheet name="AI_boss" sheetId="11" state="visible" r:id="rId11"/>
    <sheet name="AI_xung_dot" sheetId="12" state="visible" r:id="rId12"/>
    <sheet name="AI_xung_dot_do_kho" sheetId="13" state="visible" r:id="rId13"/>
    <sheet name="AI_luong_quyet_dinh" sheetId="14" state="visible" r:id="rId14"/>
    <sheet name="AI_muc_tieu_uu_tien" sheetId="15" state="visible" r:id="rId15"/>
    <sheet name="AI_do_kho_ky_nang" sheetId="16" state="visible" r:id="rId16"/>
    <sheet name="AI_chong_ket" sheetId="17" state="visible" r:id="rId17"/>
    <sheet name="AI_may_bay_tiep_te" sheetId="18" state="visible" r:id="rId18"/>
    <sheet name="AI_hang_so_ma" sheetId="19" state="visible" r:id="rId19"/>
    <sheet name="AI_ma_ly_do" sheetId="20" state="visible" r:id="rId20"/>
    <sheet name="AI_hoc_thuyet_che_do" sheetId="21" state="visible" r:id="rId21"/>
    <sheet name="AI_hoc_thuyet_vai_tro" sheetId="22" state="visible" r:id="rId22"/>
    <sheet name="AI_nhom_hang_so" sheetId="23" state="visible" r:id="rId23"/>
    <sheet name="AI_nhip_cap_nhat" sheetId="24" state="visible" r:id="rId24"/>
    <sheet name="AI_giam_sat_suc_khoe" sheetId="25" state="visible" r:id="rId25"/>
    <sheet name="AI_dia_hinh_tieu_thu" sheetId="26" state="visible" r:id="rId26"/>
    <sheet name="AI_tham_chieu" sheetId="27" state="visible" r:id="rId27"/>
    <sheet name="Hang_so_ai" sheetId="28" state="visible" r:id="rId28"/>
  </sheets>
  <definedNames>
    <definedName name="_xlnm._FilterDatabase" localSheetId="0" hidden="1">'Chien_thuat'!$A$1:$AO$17</definedName>
    <definedName name="_xlnm._FilterDatabase" localSheetId="1" hidden="1">'AI_ho_so_che_do'!$A$1:$AG$21</definedName>
    <definedName name="_xlnm._FilterDatabase" localSheetId="2" hidden="1">'AI_ho_so_pha'!$A$1:$H$6</definedName>
    <definedName name="_xlnm._FilterDatabase" localSheetId="3" hidden="1">'AI_ho_so_anh_xa'!$A$1:$F$30</definedName>
    <definedName name="_xlnm._FilterDatabase" localSheetId="4" hidden="1">'AI_tuong'!$A$1:$K$13</definedName>
    <definedName name="_xlnm._FilterDatabase" localSheetId="5" hidden="1">'AI_tham_so'!$A$1:$K$50</definedName>
    <definedName name="_xlnm._FilterDatabase" localSheetId="6" hidden="1">'AI_vai_tro'!$A$1:$E$29</definedName>
    <definedName name="_xlnm._FilterDatabase" localSheetId="7" hidden="1">'AI_don_vi'!$A$1:$E$68</definedName>
    <definedName name="_xlnm._FilterDatabase" localSheetId="8" hidden="1">'AI_trang_thai'!$A$1:$E$8</definedName>
    <definedName name="_xlnm._FilterDatabase" localSheetId="9" hidden="1">'AI_thap'!$A$1:$F$19</definedName>
    <definedName name="_xlnm._FilterDatabase" localSheetId="10" hidden="1">'AI_boss'!$A$1:$E$12</definedName>
    <definedName name="_xlnm._FilterDatabase" localSheetId="11" hidden="1">'AI_xung_dot'!$A$1:$R$349</definedName>
    <definedName name="_xlnm._FilterDatabase" localSheetId="12" hidden="1">'AI_xung_dot_do_kho'!$A$1:$K$81</definedName>
    <definedName name="_xlnm._FilterDatabase" localSheetId="13" hidden="1">'AI_luong_quyet_dinh'!$A$1:$H$18</definedName>
    <definedName name="_xlnm._FilterDatabase" localSheetId="14" hidden="1">'AI_muc_tieu_uu_tien'!$A$1:$H$18</definedName>
    <definedName name="_xlnm._FilterDatabase" localSheetId="15" hidden="1">'AI_do_kho_ky_nang'!$A$1:$J$5</definedName>
    <definedName name="_xlnm._FilterDatabase" localSheetId="16" hidden="1">'AI_chong_ket'!$A$1:$G$8</definedName>
    <definedName name="_xlnm._FilterDatabase" localSheetId="17" hidden="1">'AI_may_bay_tiep_te'!$A$1:$G$6</definedName>
    <definedName name="_xlnm._FilterDatabase" localSheetId="18" hidden="1">'AI_hang_so_ma'!$A$1:$I$30</definedName>
    <definedName name="_xlnm._FilterDatabase" localSheetId="19" hidden="1">'AI_ma_ly_do'!$A$1:$G$238</definedName>
    <definedName name="_xlnm._FilterDatabase" localSheetId="20" hidden="1">'AI_hoc_thuyet_che_do'!$A$1:$Z$29</definedName>
    <definedName name="_xlnm._FilterDatabase" localSheetId="21" hidden="1">'AI_hoc_thuyet_vai_tro'!$A$1:$H$62</definedName>
    <definedName name="_xlnm._FilterDatabase" localSheetId="22" hidden="1">'AI_nhom_hang_so'!$A$1:$I$51</definedName>
    <definedName name="_xlnm._FilterDatabase" localSheetId="23" hidden="1">'AI_nhip_cap_nhat'!$A$1:$H$10</definedName>
    <definedName name="_xlnm._FilterDatabase" localSheetId="24" hidden="1">'AI_giam_sat_suc_khoe'!$A$1:$H$14</definedName>
    <definedName name="_xlnm._FilterDatabase" localSheetId="25" hidden="1">'AI_dia_hinh_tieu_thu'!$A$1:$F$8</definedName>
    <definedName name="_xlnm._FilterDatabase" localSheetId="26" hidden="1">'AI_tham_chieu'!$A$1:$V$57</definedName>
    <definedName name="_xlnm._FilterDatabase" localSheetId="27" hidden="1">'Hang_so_ai'!$A$1:$K$473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3" customWidth="1" min="2" max="2"/>
    <col width="28" customWidth="1" min="3" max="3"/>
    <col width="60" customWidth="1" min="4" max="4"/>
    <col width="12" customWidth="1" min="5" max="5"/>
    <col width="9" customWidth="1" min="6" max="6"/>
    <col width="16" customWidth="1" min="7" max="7"/>
    <col width="40" customWidth="1" min="8" max="8"/>
    <col width="11" customWidth="1" min="9" max="9"/>
    <col width="9" customWidth="1" min="10" max="10"/>
    <col width="24" customWidth="1" min="11" max="11"/>
    <col width="26" customWidth="1" min="12" max="12"/>
    <col width="18" customWidth="1" min="13" max="13"/>
    <col width="18" customWidth="1" min="14" max="14"/>
    <col width="23" customWidth="1" min="15" max="15"/>
    <col width="19" customWidth="1" min="16" max="16"/>
    <col width="24" customWidth="1" min="17" max="17"/>
    <col width="16" customWidth="1" min="18" max="18"/>
    <col width="18" customWidth="1" min="19" max="19"/>
    <col width="15" customWidth="1" min="20" max="20"/>
    <col width="15" customWidth="1" min="21" max="21"/>
    <col width="20" customWidth="1" min="22" max="22"/>
    <col width="14" customWidth="1" min="23" max="23"/>
    <col width="19" customWidth="1" min="24" max="24"/>
    <col width="19" customWidth="1" min="25" max="25"/>
    <col width="14" customWidth="1" min="26" max="26"/>
    <col width="21" customWidth="1" min="27" max="27"/>
    <col width="22" customWidth="1" min="28" max="28"/>
    <col width="14" customWidth="1" min="29" max="29"/>
    <col width="16" customWidth="1" min="30" max="30"/>
    <col width="20" customWidth="1" min="31" max="31"/>
    <col width="16" customWidth="1" min="32" max="32"/>
    <col width="16" customWidth="1" min="33" max="33"/>
    <col width="20" customWidth="1" min="34" max="34"/>
    <col width="18" customWidth="1" min="35" max="35"/>
    <col width="18" customWidth="1" min="36" max="36"/>
    <col width="20" customWidth="1" min="37" max="37"/>
    <col width="18" customWidth="1" min="38" max="38"/>
    <col width="25" customWidth="1" min="39" max="39"/>
    <col width="60" customWidth="1" min="40" max="40"/>
    <col width="60" customWidth="1" min="41" max="41"/>
  </cols>
  <sheetData>
    <row r="1">
      <c r="A1" s="1" t="inlineStr">
        <is>
          <t>id</t>
        </is>
      </c>
      <c r="B1" s="1" t="inlineStr">
        <is>
          <t>counters</t>
        </is>
      </c>
      <c r="C1" s="1" t="inlineStr">
        <is>
          <t>countered_by</t>
        </is>
      </c>
      <c r="D1" s="1" t="inlineStr">
        <is>
          <t>prefer</t>
        </is>
      </c>
      <c r="E1" s="1" t="inlineStr">
        <is>
          <t>commanders</t>
        </is>
      </c>
      <c r="F1" s="1" t="inlineStr">
        <is>
          <t>chapter</t>
        </is>
      </c>
      <c r="G1" s="1" t="inlineStr">
        <is>
          <t>check_with</t>
        </is>
      </c>
      <c r="H1" s="1" t="inlineStr">
        <is>
          <t>cp</t>
        </is>
      </c>
      <c r="I1" s="1" t="inlineStr">
        <is>
          <t>interlude</t>
        </is>
      </c>
      <c r="J1" s="1" t="inlineStr">
        <is>
          <t>modules</t>
        </is>
      </c>
      <c r="K1" s="1" t="inlineStr">
        <is>
          <t>modules_artillery_prep</t>
        </is>
      </c>
      <c r="L1" s="1" t="inlineStr">
        <is>
          <t>modules_attack_threshold</t>
        </is>
      </c>
      <c r="M1" s="1" t="inlineStr">
        <is>
          <t>modules_bounding</t>
        </is>
      </c>
      <c r="N1" s="1" t="inlineStr">
        <is>
          <t>modules_cohesion</t>
        </is>
      </c>
      <c r="O1" s="1" t="inlineStr">
        <is>
          <t>modules_counterattack</t>
        </is>
      </c>
      <c r="P1" s="1" t="inlineStr">
        <is>
          <t>modules_cp_saving</t>
        </is>
      </c>
      <c r="Q1" s="1" t="inlineStr">
        <is>
          <t>modules_drop_secondary</t>
        </is>
      </c>
      <c r="R1" s="1" t="inlineStr">
        <is>
          <t>modules_engage</t>
        </is>
      </c>
      <c r="S1" s="1" t="inlineStr">
        <is>
          <t>modules_fallback</t>
        </is>
      </c>
      <c r="T1" s="1" t="inlineStr">
        <is>
          <t>modules_flank</t>
        </is>
      </c>
      <c r="U1" s="1" t="inlineStr">
        <is>
          <t>modules_focus</t>
        </is>
      </c>
      <c r="V1" s="1" t="inlineStr">
        <is>
          <t>modules_heavy_lead</t>
        </is>
      </c>
      <c r="W1" s="1" t="inlineStr">
        <is>
          <t>modules_hold</t>
        </is>
      </c>
      <c r="X1" s="1" t="inlineStr">
        <is>
          <t>modules_hold_base</t>
        </is>
      </c>
      <c r="Y1" s="1" t="inlineStr">
        <is>
          <t>modules_hold_fire</t>
        </is>
      </c>
      <c r="Z1" s="1" t="inlineStr">
        <is>
          <t>modules_kite</t>
        </is>
      </c>
      <c r="AA1" s="1" t="inlineStr">
        <is>
          <t>modules_main_effort</t>
        </is>
      </c>
      <c r="AB1" s="1" t="inlineStr">
        <is>
          <t>modules_mass_support</t>
        </is>
      </c>
      <c r="AC1" s="1" t="inlineStr">
        <is>
          <t>modules_pace</t>
        </is>
      </c>
      <c r="AD1" s="1" t="inlineStr">
        <is>
          <t>modules_pincer</t>
        </is>
      </c>
      <c r="AE1" s="1" t="inlineStr">
        <is>
          <t>modules_sead_cards</t>
        </is>
      </c>
      <c r="AF1" s="1" t="inlineStr">
        <is>
          <t>modules_spread</t>
        </is>
      </c>
      <c r="AG1" s="1" t="inlineStr">
        <is>
          <t>modules_stance</t>
        </is>
      </c>
      <c r="AH1" s="1" t="inlineStr">
        <is>
          <t>modules_standoff_m</t>
        </is>
      </c>
      <c r="AI1" s="1" t="inlineStr">
        <is>
          <t>modules_targets</t>
        </is>
      </c>
      <c r="AJ1" s="1" t="inlineStr">
        <is>
          <t>modules_together</t>
        </is>
      </c>
      <c r="AK1" s="1" t="inlineStr">
        <is>
          <t>modules_tower_mode</t>
        </is>
      </c>
      <c r="AL1" s="1" t="inlineStr">
        <is>
          <t>modules_wait_air</t>
        </is>
      </c>
      <c r="AM1" s="1" t="inlineStr">
        <is>
          <t>name</t>
        </is>
      </c>
      <c r="AN1" s="1" t="inlineStr">
        <is>
          <t>nguon</t>
        </is>
      </c>
      <c r="AO1" s="1" t="inlineStr">
        <is>
          <t>raw_json</t>
        </is>
      </c>
    </row>
    <row r="2">
      <c r="A2" t="inlineStr">
        <is>
          <t>air_superiority</t>
        </is>
      </c>
      <c r="B2" t="inlineStr">
        <is>
          <t>hit_and_run</t>
        </is>
      </c>
      <c r="C2" t="inlineStr">
        <is>
          <t>blitz</t>
        </is>
      </c>
      <c r="D2" t="inlineStr">
        <is>
          <t>fighter_jet;stealth_fighter;sam_launcher;long_sam;heavy_aa</t>
        </is>
      </c>
      <c r="E2" t="inlineStr">
        <is>
          <t>reyes</t>
        </is>
      </c>
      <c r="F2" t="n">
        <v>3</v>
      </c>
      <c r="G2" t="inlineStr">
        <is>
          <t>sead</t>
        </is>
      </c>
      <c r="H2" t="inlineStr">
        <is>
          <t>0.15;0.12;0.08;0.08;0.2;0.1;0.22;0.05</t>
        </is>
      </c>
      <c r="I2" t="n">
        <v>0</v>
      </c>
      <c r="AL2" t="n">
        <v>1</v>
      </c>
      <c r="AM2" t="inlineStr">
        <is>
          <t>Ưu thế trên không</t>
        </is>
      </c>
      <c r="AN2" t="inlineStr">
        <is>
          <t>Assets/MachineBrigade/Resources/Data/balance.json: aiBehaviour.tactics[10]</t>
        </is>
      </c>
      <c r="AO2" t="inlineStr">
        <is>
          <t>{"id":"air_superiority","name":"Ưu thế trên không","cp":[0.15,0.12,0.08,0.08,0.2,0.1,0.22,0.05],"prefer":["fighter_jet","stealth_fighter","sam_launcher","long_sam","heavy_aa"],"counters":["hit_and_run"],"counteredBy":["blitz"],"chapter":3,"interlude":0,"commanders":["reyes"],"checkWith":"sead","modules":{"waitAir":1}}</t>
        </is>
      </c>
    </row>
    <row r="3">
      <c r="A3" t="inlineStr">
        <is>
          <t>all_out</t>
        </is>
      </c>
      <c r="B3" t="inlineStr">
        <is>
          <t>depth</t>
        </is>
      </c>
      <c r="C3" t="inlineStr">
        <is>
          <t>blitz</t>
        </is>
      </c>
      <c r="D3" t="inlineStr">
        <is>
          <t>main_battle_tank;heavy_tank;attack_jet;heavy_bomber</t>
        </is>
      </c>
      <c r="E3" t="inlineStr">
        <is>
          <t>okoye</t>
        </is>
      </c>
      <c r="F3" t="n">
        <v>10</v>
      </c>
      <c r="G3" t="inlineStr">
        <is>
          <t>breakthrough</t>
        </is>
      </c>
      <c r="H3" t="inlineStr">
        <is>
          <t>0.3;0.2;0.1;0.1;0.1;0.08;0.07;0.05</t>
        </is>
      </c>
      <c r="I3" t="n">
        <v>0</v>
      </c>
      <c r="P3" t="n">
        <v>1</v>
      </c>
      <c r="AB3" t="n">
        <v>1</v>
      </c>
      <c r="AJ3" t="n">
        <v>1</v>
      </c>
      <c r="AM3" t="inlineStr">
        <is>
          <t>Tổng tấn công</t>
        </is>
      </c>
      <c r="AN3" t="inlineStr">
        <is>
          <t>Assets/MachineBrigade/Resources/Data/balance.json: aiBehaviour.tactics[15]</t>
        </is>
      </c>
      <c r="AO3" t="inlineStr">
        <is>
          <t>{"id":"all_out","name":"Tổng tấn công","cp":[0.3,0.2,0.1,0.1,0.1,0.08,0.07,0.05],"prefer":["main_battle_tank","heavy_tank","attack_jet","heavy_bomber"],"counters":["depth"],"counteredBy":["blitz"],"chapter":10,"interlude":0,"commanders":["okoye"],"checkWith":"breakthrough","modules":{"cpSaving":1,"together":1,"massSupport":1}}</t>
        </is>
      </c>
    </row>
    <row r="4">
      <c r="A4" t="inlineStr">
        <is>
          <t>ambush</t>
        </is>
      </c>
      <c r="B4" t="inlineStr">
        <is>
          <t>blitz</t>
        </is>
      </c>
      <c r="C4" t="inlineStr">
        <is>
          <t>bounding</t>
        </is>
      </c>
      <c r="D4" t="inlineStr">
        <is>
          <t>tank_destroyer;railgun_truck;fpv_carrier;scout_jeep;ew_jammer</t>
        </is>
      </c>
      <c r="E4" t="inlineStr">
        <is>
          <t>kerr</t>
        </is>
      </c>
      <c r="F4" t="n">
        <v>0</v>
      </c>
      <c r="G4" t="inlineStr"/>
      <c r="H4" t="inlineStr">
        <is>
          <t>0.15;0.15;0.3;0.1;0.12;0.08;0.02;0.08</t>
        </is>
      </c>
      <c r="I4" t="n">
        <v>1</v>
      </c>
      <c r="Y4" t="n">
        <v>0.6</v>
      </c>
      <c r="AG4" t="inlineStr">
        <is>
          <t>HoldFire</t>
        </is>
      </c>
      <c r="AM4" t="inlineStr">
        <is>
          <t>Phục kích</t>
        </is>
      </c>
      <c r="AN4" t="inlineStr">
        <is>
          <t>Assets/MachineBrigade/Resources/Data/balance.json: aiBehaviour.tactics[6]</t>
        </is>
      </c>
      <c r="AO4" t="inlineStr">
        <is>
          <t>{"id":"ambush","name":"Phục kích","cp":[0.15,0.15,0.3,0.1,0.12,0.08,0.02,0.08],"prefer":["tank_destroyer","railgun_truck","fpv_carrier","scout_jeep","ew_jammer"],"counters":["blitz"],"counteredBy":["bounding"],"chapter":0,"interlude":1,"commanders":["kerr"],"checkWith":"","modules":{"holdFire":0.6,"stance":"HoldFire"}}</t>
        </is>
      </c>
    </row>
    <row r="5">
      <c r="A5" t="inlineStr">
        <is>
          <t>attrition</t>
        </is>
      </c>
      <c r="B5" t="inlineStr">
        <is>
          <t>breakthrough</t>
        </is>
      </c>
      <c r="C5" t="inlineStr">
        <is>
          <t>blitz;encircle</t>
        </is>
      </c>
      <c r="D5" t="inlineStr">
        <is>
          <t>mlrs;shahed_truck;ballistic_launcher;recon_drone</t>
        </is>
      </c>
      <c r="E5" t="inlineStr">
        <is>
          <t>quist</t>
        </is>
      </c>
      <c r="F5" t="n">
        <v>8</v>
      </c>
      <c r="G5" t="inlineStr"/>
      <c r="H5" t="inlineStr">
        <is>
          <t>0.1;0.1;0.2;0.3;0.1;0.05;0.05;0.1</t>
        </is>
      </c>
      <c r="I5" t="n">
        <v>0</v>
      </c>
      <c r="L5" t="n">
        <v>1.5</v>
      </c>
      <c r="R5" t="inlineStr">
        <is>
          <t>0.9;1.0</t>
        </is>
      </c>
      <c r="AH5" t="n">
        <v>1</v>
      </c>
      <c r="AM5" t="inlineStr">
        <is>
          <t>Tiêu hao</t>
        </is>
      </c>
      <c r="AN5" t="inlineStr">
        <is>
          <t>Assets/MachineBrigade/Resources/Data/balance.json: aiBehaviour.tactics[12]</t>
        </is>
      </c>
      <c r="AO5" t="inlineStr">
        <is>
          <t>{"id":"attrition","name":"Tiêu hao","cp":[0.1,0.1,0.2,0.3,0.1,0.05,0.05,0.1],"prefer":["mlrs","shahed_truck","ballistic_launcher","recon_drone"],"counters":["breakthrough"],"counteredBy":["blitz","encircle"],"chapter":8,"interlude":0,"commanders":["quist"],"checkWith":"","modules":{"attackThreshold":1.5,"engage":[0.9,1.0],"standoff":1}}</t>
        </is>
      </c>
    </row>
    <row r="6">
      <c r="A6" t="inlineStr">
        <is>
          <t>balanced</t>
        </is>
      </c>
      <c r="B6" t="inlineStr"/>
      <c r="C6" t="inlineStr"/>
      <c r="D6" t="inlineStr"/>
      <c r="E6" t="inlineStr">
        <is>
          <t>kade</t>
        </is>
      </c>
      <c r="F6" t="n">
        <v>0</v>
      </c>
      <c r="G6" t="inlineStr"/>
      <c r="H6" t="inlineStr">
        <is>
          <t>0.25;0.2;0.12;0.12;0.1;0.08;0.05;0.08</t>
        </is>
      </c>
      <c r="I6" t="n">
        <v>0</v>
      </c>
      <c r="J6" t="inlineStr"/>
      <c r="AM6" t="inlineStr">
        <is>
          <t>Cân bằng</t>
        </is>
      </c>
      <c r="AN6" t="inlineStr">
        <is>
          <t>Assets/MachineBrigade/Resources/Data/balance.json: aiBehaviour.tactics[0]</t>
        </is>
      </c>
      <c r="AO6" t="inlineStr">
        <is>
          <t>{"id":"balanced","name":"Cân bằng","cp":[0.25,0.2,0.12,0.12,0.1,0.08,0.05,0.08],"prefer":[],"counters":[],"counteredBy":[],"chapter":0,"interlude":0,"commanders":["kade"],"checkWith":"","modules":{}}</t>
        </is>
      </c>
    </row>
    <row r="7">
      <c r="A7" t="inlineStr">
        <is>
          <t>base_defence</t>
        </is>
      </c>
      <c r="B7" t="inlineStr">
        <is>
          <t>blitz</t>
        </is>
      </c>
      <c r="C7" t="inlineStr">
        <is>
          <t>firepower;attrition</t>
        </is>
      </c>
      <c r="D7" t="inlineStr">
        <is>
          <t>tank_destroyer;aa_vehicle;mine_layer;engineer_vehicle</t>
        </is>
      </c>
      <c r="E7" t="inlineStr">
        <is>
          <t>brandt</t>
        </is>
      </c>
      <c r="F7" t="n">
        <v>1</v>
      </c>
      <c r="G7" t="inlineStr"/>
      <c r="H7" t="inlineStr">
        <is>
          <t>0.25;0.15;0.2;0.15;0.15;0.02;0.0;0.08</t>
        </is>
      </c>
      <c r="I7" t="n">
        <v>0</v>
      </c>
      <c r="W7" t="n">
        <v>1</v>
      </c>
      <c r="X7" t="n">
        <v>1</v>
      </c>
      <c r="AK7" t="inlineStr">
        <is>
          <t>Lead</t>
        </is>
      </c>
      <c r="AM7" t="inlineStr">
        <is>
          <t>Bảo vệ căn cứ</t>
        </is>
      </c>
      <c r="AN7" t="inlineStr">
        <is>
          <t>Assets/MachineBrigade/Resources/Data/balance.json: aiBehaviour.tactics[14]</t>
        </is>
      </c>
      <c r="AO7" t="inlineStr">
        <is>
          <t>{"id":"base_defence","name":"Bảo vệ căn cứ","cp":[0.25,0.15,0.2,0.15,0.15,0.02,0.0,0.08],"prefer":["tank_destroyer","aa_vehicle","mine_layer","engineer_vehicle"],"counters":["blitz"],"counteredBy":["firepower","attrition"],"chapter":1,"interlude":0,"commanders":["brandt"],"checkWith":"","modules":{"hold":1,"holdBase":1,"towerMode":"Lead"}}</t>
        </is>
      </c>
    </row>
    <row r="8">
      <c r="A8" t="inlineStr">
        <is>
          <t>blitz</t>
        </is>
      </c>
      <c r="B8" t="inlineStr">
        <is>
          <t>firepower</t>
        </is>
      </c>
      <c r="C8" t="inlineStr">
        <is>
          <t>depth;ambush</t>
        </is>
      </c>
      <c r="D8" t="inlineStr">
        <is>
          <t>armored_car;ifv;wheeled_gun;main_battle_tank;attack_helicopter</t>
        </is>
      </c>
      <c r="E8" t="inlineStr">
        <is>
          <t>mendez</t>
        </is>
      </c>
      <c r="F8" t="n">
        <v>2</v>
      </c>
      <c r="G8" t="inlineStr"/>
      <c r="H8" t="inlineStr">
        <is>
          <t>0.25;0.3;0.1;0.05;0.08;0.1;0.04;0.08</t>
        </is>
      </c>
      <c r="I8" t="n">
        <v>0</v>
      </c>
      <c r="L8" t="n">
        <v>0.9</v>
      </c>
      <c r="N8" t="n">
        <v>0</v>
      </c>
      <c r="AM8" t="inlineStr">
        <is>
          <t>Tấn công chớp nhoáng</t>
        </is>
      </c>
      <c r="AN8" t="inlineStr">
        <is>
          <t>Assets/MachineBrigade/Resources/Data/balance.json: aiBehaviour.tactics[1]</t>
        </is>
      </c>
      <c r="AO8" t="inlineStr">
        <is>
          <t>{"id":"blitz","name":"Tấn công chớp nhoáng","cp":[0.25,0.3,0.1,0.05,0.08,0.1,0.04,0.08],"prefer":["armored_car","ifv","wheeled_gun","main_battle_tank","attack_helicopter"],"counters":["firepower"],"counteredBy":["depth","ambush"],"chapter":2,"interlude":0,"commanders":["mendez"],"checkWith":"","modules":{"attackThreshold":0.9,"cohesion":0}}</t>
        </is>
      </c>
    </row>
    <row r="9">
      <c r="A9" t="inlineStr">
        <is>
          <t>bounding</t>
        </is>
      </c>
      <c r="B9" t="inlineStr">
        <is>
          <t>ambush</t>
        </is>
      </c>
      <c r="C9" t="inlineStr">
        <is>
          <t>blitz;firepower</t>
        </is>
      </c>
      <c r="D9" t="inlineStr">
        <is>
          <t>main_battle_tank;ifv</t>
        </is>
      </c>
      <c r="E9" t="inlineStr">
        <is>
          <t>kade</t>
        </is>
      </c>
      <c r="F9" t="n">
        <v>3</v>
      </c>
      <c r="G9" t="inlineStr"/>
      <c r="H9" t="inlineStr">
        <is>
          <t>0.3;0.25;0.12;0.1;0.1;0.05;0.0;0.08</t>
        </is>
      </c>
      <c r="I9" t="n">
        <v>0</v>
      </c>
      <c r="M9" t="n">
        <v>1</v>
      </c>
      <c r="AC9" t="n">
        <v>0.7</v>
      </c>
      <c r="AM9" t="inlineStr">
        <is>
          <t>Yểm hộ luân phiên</t>
        </is>
      </c>
      <c r="AN9" t="inlineStr">
        <is>
          <t>Assets/MachineBrigade/Resources/Data/balance.json: aiBehaviour.tactics[5]</t>
        </is>
      </c>
      <c r="AO9" t="inlineStr">
        <is>
          <t>{"id":"bounding","name":"Yểm hộ luân phiên","cp":[0.3,0.25,0.12,0.1,0.1,0.05,0.0,0.08],"prefer":["main_battle_tank","ifv"],"counters":["ambush"],"counteredBy":["blitz","firepower"],"chapter":3,"interlude":0,"commanders":["kade"],"checkWith":"","modules":{"pace":0.7,"bounding":1}}</t>
        </is>
      </c>
    </row>
    <row r="10">
      <c r="A10" t="inlineStr">
        <is>
          <t>breakthrough</t>
        </is>
      </c>
      <c r="B10" t="inlineStr">
        <is>
          <t>depth;encircle</t>
        </is>
      </c>
      <c r="C10" t="inlineStr">
        <is>
          <t>encircle;dispersal</t>
        </is>
      </c>
      <c r="D10" t="inlineStr">
        <is>
          <t>heavy_tank;titan_tank;twin_tank;armored_bulldozer;engineer_vehicle;thermobaric_launcher</t>
        </is>
      </c>
      <c r="E10" t="inlineStr">
        <is>
          <t>reyn</t>
        </is>
      </c>
      <c r="F10" t="n">
        <v>6</v>
      </c>
      <c r="G10" t="inlineStr">
        <is>
          <t>all_out</t>
        </is>
      </c>
      <c r="H10" t="inlineStr">
        <is>
          <t>0.4;0.15;0.08;0.12;0.1;0.05;0.02;0.08</t>
        </is>
      </c>
      <c r="I10" t="n">
        <v>0</v>
      </c>
      <c r="Q10" t="n">
        <v>1</v>
      </c>
      <c r="V10" t="n">
        <v>1</v>
      </c>
      <c r="AA10" t="n">
        <v>0.7</v>
      </c>
      <c r="AM10" t="inlineStr">
        <is>
          <t>Tập trung đột phá</t>
        </is>
      </c>
      <c r="AN10" t="inlineStr">
        <is>
          <t>Assets/MachineBrigade/Resources/Data/balance.json: aiBehaviour.tactics[8]</t>
        </is>
      </c>
      <c r="AO10" t="inlineStr">
        <is>
          <t>{"id":"breakthrough","name":"Tập trung đột phá","cp":[0.4,0.15,0.08,0.12,0.1,0.05,0.02,0.08],"prefer":["heavy_tank","titan_tank","twin_tank","armored_bulldozer","engineer_vehicle","thermobaric_launcher"],"counters":["depth","encircle"],"counteredBy":["encircle","dispersal"],"chapter":6,"interlude":0,"commanders":["reyn"],"checkWith":"all_out","modules":{"mainEffort":0.7,"heavyLead":1,"dropSecondary":1}}</t>
        </is>
      </c>
    </row>
    <row r="11">
      <c r="A11" t="inlineStr">
        <is>
          <t>decapitation</t>
        </is>
      </c>
      <c r="B11" t="inlineStr">
        <is>
          <t>firepower</t>
        </is>
      </c>
      <c r="C11" t="inlineStr">
        <is>
          <t>depth</t>
        </is>
      </c>
      <c r="D11" t="inlineStr">
        <is>
          <t>armored_car;scout_heli;attack_helicopter;stealth_fighter</t>
        </is>
      </c>
      <c r="E11" t="inlineStr">
        <is>
          <t>kerr</t>
        </is>
      </c>
      <c r="F11" t="n">
        <v>9</v>
      </c>
      <c r="G11" t="inlineStr"/>
      <c r="H11" t="inlineStr">
        <is>
          <t>0.12;0.28;0.15;0.1;0.08;0.15;0.07;0.05</t>
        </is>
      </c>
      <c r="I11" t="n">
        <v>0</v>
      </c>
      <c r="T11" t="n">
        <v>1.6</v>
      </c>
      <c r="AI11" t="inlineStr">
        <is>
          <t>Support;Artillery</t>
        </is>
      </c>
      <c r="AM11" t="inlineStr">
        <is>
          <t>Săn đầu</t>
        </is>
      </c>
      <c r="AN11" t="inlineStr">
        <is>
          <t>Assets/MachineBrigade/Resources/Data/balance.json: aiBehaviour.tactics[13]</t>
        </is>
      </c>
      <c r="AO11" t="inlineStr">
        <is>
          <t>{"id":"decapitation","name":"Săn đầu","cp":[0.12,0.28,0.15,0.1,0.08,0.15,0.07,0.05],"prefer":["armored_car","scout_heli","attack_helicopter","stealth_fighter"],"counters":["firepower"],"counteredBy":["depth"],"chapter":9,"interlude":0,"commanders":["kerr"],"checkWith":"","modules":{"flank":1.6,"targets":["Support","Artillery"]}}</t>
        </is>
      </c>
    </row>
    <row r="12">
      <c r="A12" t="inlineStr">
        <is>
          <t>depth</t>
        </is>
      </c>
      <c r="B12" t="inlineStr">
        <is>
          <t>blitz;breakthrough</t>
        </is>
      </c>
      <c r="C12" t="inlineStr">
        <is>
          <t>firepower;encircle</t>
        </is>
      </c>
      <c r="D12" t="inlineStr">
        <is>
          <t>tank_destroyer;main_battle_tank;mine_layer;mortar_carrier;sam_launcher</t>
        </is>
      </c>
      <c r="E12" t="inlineStr">
        <is>
          <t>brandt</t>
        </is>
      </c>
      <c r="F12" t="n">
        <v>1</v>
      </c>
      <c r="G12" t="inlineStr"/>
      <c r="H12" t="inlineStr">
        <is>
          <t>0.25;0.15;0.18;0.15;0.12;0.05;0.02;0.08</t>
        </is>
      </c>
      <c r="I12" t="n">
        <v>0</v>
      </c>
      <c r="O12" t="n">
        <v>1.3</v>
      </c>
      <c r="S12" t="n">
        <v>0.6</v>
      </c>
      <c r="W12" t="n">
        <v>1</v>
      </c>
      <c r="AM12" t="inlineStr">
        <is>
          <t>Phòng thủ chiều sâu</t>
        </is>
      </c>
      <c r="AN12" t="inlineStr">
        <is>
          <t>Assets/MachineBrigade/Resources/Data/balance.json: aiBehaviour.tactics[3]</t>
        </is>
      </c>
      <c r="AO12" t="inlineStr">
        <is>
          <t>{"id":"depth","name":"Phòng thủ chiều sâu","cp":[0.25,0.15,0.18,0.15,0.12,0.05,0.02,0.08],"prefer":["tank_destroyer","main_battle_tank","mine_layer","mortar_carrier","sam_launcher"],"counters":["blitz","breakthrough"],"counteredBy":["firepower","encircle"],"chapter":1,"interlude":0,"commanders":["brandt"],"checkWith":"","modules":{"fallback":0.6,"counterattack":1.3,"hold":1}}</t>
        </is>
      </c>
    </row>
    <row r="13">
      <c r="A13" t="inlineStr">
        <is>
          <t>dispersal</t>
        </is>
      </c>
      <c r="B13" t="inlineStr">
        <is>
          <t>firepower;breakthrough</t>
        </is>
      </c>
      <c r="C13" t="inlineStr">
        <is>
          <t>blitz</t>
        </is>
      </c>
      <c r="D13" t="inlineStr">
        <is>
          <t>armored_car;light_tank;fpv_carrier;mortar_carrier</t>
        </is>
      </c>
      <c r="E13" t="inlineStr">
        <is>
          <t>venn</t>
        </is>
      </c>
      <c r="F13" t="n">
        <v>6</v>
      </c>
      <c r="G13" t="inlineStr">
        <is>
          <t>hit_and_run</t>
        </is>
      </c>
      <c r="H13" t="inlineStr">
        <is>
          <t>0.15;0.25;0.15;0.15;0.1;0.1;0.03;0.07</t>
        </is>
      </c>
      <c r="I13" t="n">
        <v>0</v>
      </c>
      <c r="U13" t="n">
        <v>0.5</v>
      </c>
      <c r="AF13" t="n">
        <v>2</v>
      </c>
      <c r="AM13" t="inlineStr">
        <is>
          <t>Phân tán</t>
        </is>
      </c>
      <c r="AN13" t="inlineStr">
        <is>
          <t>Assets/MachineBrigade/Resources/Data/balance.json: aiBehaviour.tactics[9]</t>
        </is>
      </c>
      <c r="AO13" t="inlineStr">
        <is>
          <t>{"id":"dispersal","name":"Phân tán","cp":[0.15,0.25,0.15,0.15,0.1,0.1,0.03,0.07],"prefer":["armored_car","light_tank","fpv_carrier","mortar_carrier"],"counters":["firepower","breakthrough"],"counteredBy":["blitz"],"chapter":6,"interlude":0,"commanders":["venn"],"checkWith":"hit_and_run","modules":{"focus":0.5,"spread":2.0}}</t>
        </is>
      </c>
    </row>
    <row r="14">
      <c r="A14" t="inlineStr">
        <is>
          <t>encircle</t>
        </is>
      </c>
      <c r="B14" t="inlineStr">
        <is>
          <t>depth;base_defence</t>
        </is>
      </c>
      <c r="C14" t="inlineStr">
        <is>
          <t>breakthrough</t>
        </is>
      </c>
      <c r="D14" t="inlineStr">
        <is>
          <t>armored_car;ifv;wheeled_gun;light_tank;attack_helicopter</t>
        </is>
      </c>
      <c r="E14" t="inlineStr">
        <is>
          <t>adler</t>
        </is>
      </c>
      <c r="F14" t="n">
        <v>4</v>
      </c>
      <c r="G14" t="inlineStr"/>
      <c r="H14" t="inlineStr">
        <is>
          <t>0.22;0.28;0.15;0.08;0.1;0.1;0.02;0.05</t>
        </is>
      </c>
      <c r="I14" t="n">
        <v>0</v>
      </c>
      <c r="T14" t="n">
        <v>1.6</v>
      </c>
      <c r="AD14" t="n">
        <v>1</v>
      </c>
      <c r="AM14" t="inlineStr">
        <is>
          <t>Bao vây</t>
        </is>
      </c>
      <c r="AN14" t="inlineStr">
        <is>
          <t>Assets/MachineBrigade/Resources/Data/balance.json: aiBehaviour.tactics[4]</t>
        </is>
      </c>
      <c r="AO14" t="inlineStr">
        <is>
          <t>{"id":"encircle","name":"Bao vây","cp":[0.22,0.28,0.15,0.08,0.1,0.1,0.02,0.05],"prefer":["armored_car","ifv","wheeled_gun","light_tank","attack_helicopter"],"counters":["depth","base_defence"],"counteredBy":["breakthrough"],"chapter":4,"interlude":0,"commanders":["adler"],"checkWith":"","modules":{"flank":1.6,"pincer":1}}</t>
        </is>
      </c>
    </row>
    <row r="15">
      <c r="A15" t="inlineStr">
        <is>
          <t>firepower</t>
        </is>
      </c>
      <c r="B15" t="inlineStr">
        <is>
          <t>depth;base_defence</t>
        </is>
      </c>
      <c r="C15" t="inlineStr">
        <is>
          <t>blitz;hit_and_run;dispersal</t>
        </is>
      </c>
      <c r="D15" t="inlineStr">
        <is>
          <t>artillery;mlrs;heavy_rocket_artillery;mortar_carrier;ammo_carrier</t>
        </is>
      </c>
      <c r="E15" t="inlineStr">
        <is>
          <t>dahl</t>
        </is>
      </c>
      <c r="F15" t="n">
        <v>3</v>
      </c>
      <c r="G15" t="inlineStr"/>
      <c r="H15" t="inlineStr">
        <is>
          <t>0.2;0.12;0.08;0.3;0.12;0.05;0.05;0.08</t>
        </is>
      </c>
      <c r="I15" t="n">
        <v>0</v>
      </c>
      <c r="K15" t="n">
        <v>1</v>
      </c>
      <c r="AM15" t="inlineStr">
        <is>
          <t>Hỏa lực áp đảo</t>
        </is>
      </c>
      <c r="AN15" t="inlineStr">
        <is>
          <t>Assets/MachineBrigade/Resources/Data/balance.json: aiBehaviour.tactics[2]</t>
        </is>
      </c>
      <c r="AO15" t="inlineStr">
        <is>
          <t>{"id":"firepower","name":"Hỏa lực áp đảo","cp":[0.2,0.12,0.08,0.3,0.12,0.05,0.05,0.08],"prefer":["artillery","mlrs","heavy_rocket_artillery","mortar_carrier","ammo_carrier"],"counters":["depth","base_defence"],"counteredBy":["blitz","hit_and_run","dispersal"],"chapter":3,"interlude":0,"commanders":["dahl"],"checkWith":"","modules":{"artilleryPrep":1.0}}</t>
        </is>
      </c>
    </row>
    <row r="16">
      <c r="A16" t="inlineStr">
        <is>
          <t>hit_and_run</t>
        </is>
      </c>
      <c r="B16" t="inlineStr">
        <is>
          <t>firepower</t>
        </is>
      </c>
      <c r="C16" t="inlineStr">
        <is>
          <t>blitz;air_superiority</t>
        </is>
      </c>
      <c r="D16" t="inlineStr">
        <is>
          <t>wheeled_gun;armored_car;tank_destroyer;attack_helicopter;strike_drone</t>
        </is>
      </c>
      <c r="E16" t="inlineStr">
        <is>
          <t>mendez</t>
        </is>
      </c>
      <c r="F16" t="n">
        <v>5</v>
      </c>
      <c r="G16" t="inlineStr">
        <is>
          <t>dispersal</t>
        </is>
      </c>
      <c r="H16" t="inlineStr">
        <is>
          <t>0.1;0.25;0.25;0.1;0.1;0.12;0.03;0.05</t>
        </is>
      </c>
      <c r="I16" t="n">
        <v>0</v>
      </c>
      <c r="R16" t="inlineStr">
        <is>
          <t>0.9;1.0</t>
        </is>
      </c>
      <c r="Z16" t="n">
        <v>0.7</v>
      </c>
      <c r="AM16" t="inlineStr">
        <is>
          <t>Bắn và chạy</t>
        </is>
      </c>
      <c r="AN16" t="inlineStr">
        <is>
          <t>Assets/MachineBrigade/Resources/Data/balance.json: aiBehaviour.tactics[7]</t>
        </is>
      </c>
      <c r="AO16" t="inlineStr">
        <is>
          <t>{"id":"hit_and_run","name":"Bắn và chạy","cp":[0.1,0.25,0.25,0.1,0.1,0.12,0.03,0.05],"prefer":["wheeled_gun","armored_car","tank_destroyer","attack_helicopter","strike_drone"],"counters":["firepower"],"counteredBy":["blitz","air_superiority"],"chapter":5,"interlude":0,"commanders":["mendez"],"checkWith":"dispersal","modules":{"engage":[0.9,1.0],"kite":0.7}}</t>
        </is>
      </c>
    </row>
    <row r="17">
      <c r="A17" t="inlineStr">
        <is>
          <t>sead</t>
        </is>
      </c>
      <c r="B17" t="inlineStr"/>
      <c r="C17" t="inlineStr"/>
      <c r="D17" t="inlineStr">
        <is>
          <t>attack_jet;stealth_fighter;ew_jammer;ballistic_launcher</t>
        </is>
      </c>
      <c r="E17" t="inlineStr">
        <is>
          <t>reyes</t>
        </is>
      </c>
      <c r="F17" t="n">
        <v>7</v>
      </c>
      <c r="G17" t="inlineStr">
        <is>
          <t>air_superiority</t>
        </is>
      </c>
      <c r="H17" t="inlineStr">
        <is>
          <t>0.15;0.12;0.1;0.15;0.1;0.1;0.2;0.08</t>
        </is>
      </c>
      <c r="I17" t="n">
        <v>0</v>
      </c>
      <c r="AE17" t="n">
        <v>1</v>
      </c>
      <c r="AI17" t="inlineStr">
        <is>
          <t>AntiAir</t>
        </is>
      </c>
      <c r="AM17" t="inlineStr">
        <is>
          <t>Chế áp phòng không trước</t>
        </is>
      </c>
      <c r="AN17" t="inlineStr">
        <is>
          <t>Assets/MachineBrigade/Resources/Data/balance.json: aiBehaviour.tactics[11]</t>
        </is>
      </c>
      <c r="AO17" t="inlineStr">
        <is>
          <t>{"id":"sead","name":"Chế áp phòng không trước","cp":[0.15,0.12,0.1,0.15,0.1,0.1,0.2,0.08],"prefer":["attack_jet","stealth_fighter","ew_jammer","ballistic_launcher"],"counters":[],"counteredBy":[],"chapter":7,"interlude":0,"commanders":["reyes"],"checkWith":"air_superiority","modules":{"targets":["AntiAir"],"seadCards":1}}</t>
        </is>
      </c>
    </row>
  </sheetData>
  <autoFilter ref="A1:AO17"/>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9" customWidth="1" min="3" max="3"/>
    <col width="14" customWidth="1" min="4" max="4"/>
    <col width="60" customWidth="1" min="5" max="5"/>
    <col width="44" customWidth="1" min="6" max="6"/>
    <col width="10" customWidth="1" min="7" max="7"/>
    <col width="20" customWidth="1" min="8" max="8"/>
    <col width="15" customWidth="1" min="9" max="9"/>
    <col width="29" customWidth="1" min="10" max="10"/>
    <col width="31" customWidth="1" min="11" max="11"/>
    <col width="26" customWidth="1" min="12" max="12"/>
    <col width="25" customWidth="1" min="13" max="13"/>
    <col width="32" customWidth="1" min="14" max="14"/>
    <col width="22" customWidth="1" min="15" max="15"/>
    <col width="16" customWidth="1" min="16" max="16"/>
    <col width="17" customWidth="1" min="17" max="17"/>
    <col width="10" customWidth="1" min="18" max="18"/>
    <col width="16" customWidth="1" min="19" max="19"/>
    <col width="14" customWidth="1" min="20" max="20"/>
    <col width="36" customWidth="1" min="21" max="21"/>
    <col width="10" customWidth="1" min="22" max="22"/>
    <col width="60" customWidth="1" min="23" max="23"/>
    <col width="8" customWidth="1" min="24" max="24"/>
    <col width="8" customWidth="1" min="25" max="25"/>
    <col width="19" customWidth="1" min="26" max="26"/>
    <col width="19" customWidth="1" min="27" max="27"/>
    <col width="13" customWidth="1" min="28" max="28"/>
    <col width="19" customWidth="1" min="29" max="29"/>
    <col width="18" customWidth="1" min="30" max="30"/>
    <col width="19" customWidth="1" min="31" max="31"/>
    <col width="60" customWidth="1" min="32" max="32"/>
    <col width="60" customWidth="1" min="33" max="33"/>
  </cols>
  <sheetData>
    <row r="1">
      <c r="A1" s="1" t="inlineStr">
        <is>
          <t>id</t>
        </is>
      </c>
      <c r="B1" s="1" t="inlineStr">
        <is>
          <t>tactics</t>
        </is>
      </c>
      <c r="C1" s="1" t="inlineStr">
        <is>
          <t>advance</t>
        </is>
      </c>
      <c r="D1" s="1" t="inlineStr">
        <is>
          <t>auto_ai</t>
        </is>
      </c>
      <c r="E1" s="1" t="inlineStr">
        <is>
          <t>auto_ai_note</t>
        </is>
      </c>
      <c r="F1" s="1" t="inlineStr">
        <is>
          <t>controllers</t>
        </is>
      </c>
      <c r="G1" s="1" t="inlineStr">
        <is>
          <t>defender</t>
        </is>
      </c>
      <c r="H1" s="1" t="inlineStr">
        <is>
          <t>engagement</t>
        </is>
      </c>
      <c r="I1" s="1" t="inlineStr">
        <is>
          <t>escort_anchor</t>
        </is>
      </c>
      <c r="J1" s="1" t="inlineStr">
        <is>
          <t>escort_max_advance_distance</t>
        </is>
      </c>
      <c r="K1" s="1" t="inlineStr">
        <is>
          <t>escort_no_chase_outside_leash</t>
        </is>
      </c>
      <c r="L1" s="1" t="inlineStr">
        <is>
          <t>escort_rear_guard_weight</t>
        </is>
      </c>
      <c r="M1" s="1" t="inlineStr">
        <is>
          <t>escort_safe_zone_radius</t>
        </is>
      </c>
      <c r="N1" s="1" t="inlineStr">
        <is>
          <t>escort_threat_to_convoy_weight</t>
        </is>
      </c>
      <c r="O1" s="1" t="inlineStr">
        <is>
          <t>flags</t>
        </is>
      </c>
      <c r="P1" s="1" t="inlineStr">
        <is>
          <t>general_tactic</t>
        </is>
      </c>
      <c r="Q1" s="1" t="inlineStr">
        <is>
          <t>hq_skill_threat</t>
        </is>
      </c>
      <c r="R1" s="1" t="inlineStr">
        <is>
          <t>inherits</t>
        </is>
      </c>
      <c r="S1" s="1" t="inlineStr">
        <is>
          <t>leash_distance</t>
        </is>
      </c>
      <c r="T1" s="1" t="inlineStr">
        <is>
          <t>leash_region</t>
        </is>
      </c>
      <c r="U1" s="1" t="inlineStr">
        <is>
          <t>name</t>
        </is>
      </c>
      <c r="V1" s="1" t="inlineStr">
        <is>
          <t>no_chase</t>
        </is>
      </c>
      <c r="W1" s="1" t="inlineStr">
        <is>
          <t>objective_policy</t>
        </is>
      </c>
      <c r="X1" s="1" t="inlineStr">
        <is>
          <t>phased</t>
        </is>
      </c>
      <c r="Y1" s="1" t="inlineStr">
        <is>
          <t>spend</t>
        </is>
      </c>
      <c r="Z1" s="1" t="inlineStr">
        <is>
          <t>stall</t>
        </is>
      </c>
      <c r="AA1" s="1" t="inlineStr">
        <is>
          <t>support</t>
        </is>
      </c>
      <c r="AB1" s="1" t="inlineStr">
        <is>
          <t>target_mask</t>
        </is>
      </c>
      <c r="AC1" s="1" t="inlineStr">
        <is>
          <t>wall_route_breach</t>
        </is>
      </c>
      <c r="AD1" s="1" t="inlineStr">
        <is>
          <t>wall_route_route</t>
        </is>
      </c>
      <c r="AE1" s="1" t="inlineStr">
        <is>
          <t>wall_route_threat</t>
        </is>
      </c>
      <c r="AF1" s="1" t="inlineStr">
        <is>
          <t>nguon</t>
        </is>
      </c>
      <c r="AG1" s="1" t="inlineStr">
        <is>
          <t>raw_json</t>
        </is>
      </c>
    </row>
    <row r="2">
      <c r="A2" t="inlineStr">
        <is>
          <t>assault</t>
        </is>
      </c>
      <c r="B2" t="inlineStr">
        <is>
          <t>depth;base_defence;attrition;ambush;balanced</t>
        </is>
      </c>
      <c r="C2" t="b">
        <v>0</v>
      </c>
      <c r="E2" t="inlineStr">
        <is>
          <t>Khu kế tiếp, quỹ thời gian</t>
        </is>
      </c>
      <c r="F2" t="inlineStr">
        <is>
          <t>Commander;Static</t>
        </is>
      </c>
      <c r="G2" t="inlineStr">
        <is>
          <t>ai</t>
        </is>
      </c>
      <c r="H2" t="inlineStr">
        <is>
          <t>Normal</t>
        </is>
      </c>
      <c r="P2" t="b">
        <v>0</v>
      </c>
      <c r="Q2" t="n">
        <v>10</v>
      </c>
      <c r="S2" t="n">
        <v>40</v>
      </c>
      <c r="T2" t="inlineStr">
        <is>
          <t>zone</t>
        </is>
      </c>
      <c r="U2" t="inlineStr">
        <is>
          <t>Công phá</t>
        </is>
      </c>
      <c r="W2" t="inlineStr">
        <is>
          <t>Mất khu thì lùi về khu sau (leashRegion theo khu)</t>
        </is>
      </c>
      <c r="Y2" t="b">
        <v>1</v>
      </c>
      <c r="Z2" t="inlineStr">
        <is>
          <t>AttackerOnly</t>
        </is>
      </c>
      <c r="AA2" t="inlineStr">
        <is>
          <t>Normal</t>
        </is>
      </c>
      <c r="AB2" t="inlineStr">
        <is>
          <t>enemy</t>
        </is>
      </c>
      <c r="AC2" t="n">
        <v>0.9</v>
      </c>
      <c r="AD2" t="n">
        <v>1</v>
      </c>
      <c r="AE2" t="n">
        <v>1.2</v>
      </c>
      <c r="AF2" t="inlineStr">
        <is>
          <t>Assets/MachineBrigade/Resources/Data/balance.json: aiModeProfiles.profiles.assault</t>
        </is>
      </c>
      <c r="AG2" t="inlineStr">
        <is>
          <t>{"name":"Công phá","controllers":["Commander","Static"],"tactics":["depth","base_defence","attrition","ambush","balanced"],"generalTactic":false,"stall":"AttackerOnly","spend":true,"advance":false,"support":"Normal","engagement":"Normal","defender":"ai","hqSkillThreat":10,"wallRoute":{"route":1,"threat":1.2,"breach":0.9},"targetMask":["enemy"],"objectivePolicy":"Mất khu thì lùi về khu sau (leashRegion theo khu)","autoAiNote":"Khu kế tiếp, quỹ thời gian","leashRegion":"zone","leashDistance":40}</t>
        </is>
      </c>
    </row>
    <row r="3">
      <c r="A3" t="inlineStr">
        <is>
          <t>bossrush</t>
        </is>
      </c>
      <c r="B3" t="inlineStr"/>
      <c r="C3" t="b">
        <v>0</v>
      </c>
      <c r="E3" t="inlineStr">
        <is>
          <t>1) né cảnh báo chết người 2) bộ phận boss nguy hiểm 3) bộ phận lộ ra 4) thân</t>
        </is>
      </c>
      <c r="F3" t="inlineStr">
        <is>
          <t>Boss</t>
        </is>
      </c>
      <c r="G3" t="inlineStr">
        <is>
          <t>none</t>
        </is>
      </c>
      <c r="H3" t="inlineStr">
        <is>
          <t>Normal</t>
        </is>
      </c>
      <c r="O3" t="inlineStr">
        <is>
          <t>noGeneralTactic</t>
        </is>
      </c>
      <c r="P3" t="b">
        <v>0</v>
      </c>
      <c r="U3" t="inlineStr">
        <is>
          <t>Săn trùm</t>
        </is>
      </c>
      <c r="W3" t="inlineStr"/>
      <c r="Y3" t="b">
        <v>0</v>
      </c>
      <c r="Z3" t="inlineStr">
        <is>
          <t>Off</t>
        </is>
      </c>
      <c r="AA3" t="inlineStr">
        <is>
          <t>Normal</t>
        </is>
      </c>
      <c r="AB3" t="inlineStr">
        <is>
          <t>enemy</t>
        </is>
      </c>
      <c r="AF3" t="inlineStr">
        <is>
          <t>Assets/MachineBrigade/Resources/Data/balance.json: aiModeProfiles.profiles.bossrush</t>
        </is>
      </c>
      <c r="AG3" t="inlineStr">
        <is>
          <t>{"name":"Săn trùm","controllers":["Boss"],"tactics":[],"generalTactic":false,"stall":"Off","spend":false,"advance":false,"support":"Normal","engagement":"Normal","defender":"none","targetMask":["enemy"],"objectivePolicy":"","autoAiNote":"1) né cảnh báo chết người 2) bộ phận boss nguy hiểm 3) bộ phận lộ ra 4) thân","flags":["noGeneralTactic"]}</t>
        </is>
      </c>
    </row>
    <row r="4">
      <c r="A4" t="inlineStr">
        <is>
          <t>capture</t>
        </is>
      </c>
      <c r="B4" t="inlineStr">
        <is>
          <t>*</t>
        </is>
      </c>
      <c r="C4" t="b">
        <v>1</v>
      </c>
      <c r="E4" t="inlineStr">
        <is>
          <t>Mục tiêu màn</t>
        </is>
      </c>
      <c r="F4" t="inlineStr">
        <is>
          <t>Commander</t>
        </is>
      </c>
      <c r="G4" t="inlineStr">
        <is>
          <t>none</t>
        </is>
      </c>
      <c r="H4" t="inlineStr">
        <is>
          <t>Normal</t>
        </is>
      </c>
      <c r="P4" t="b">
        <v>1</v>
      </c>
      <c r="U4" t="inlineStr">
        <is>
          <t>Chiến dịch: chiếm</t>
        </is>
      </c>
      <c r="W4" t="inlineStr">
        <is>
          <t>Chiếm / tranh</t>
        </is>
      </c>
      <c r="Y4" t="b">
        <v>1</v>
      </c>
      <c r="Z4" t="inlineStr">
        <is>
          <t>Both</t>
        </is>
      </c>
      <c r="AA4" t="inlineStr">
        <is>
          <t>Normal</t>
        </is>
      </c>
      <c r="AB4" t="inlineStr">
        <is>
          <t>enemy</t>
        </is>
      </c>
      <c r="AF4" t="inlineStr">
        <is>
          <t>Assets/MachineBrigade/Resources/Data/balance.json: aiModeProfiles.profiles.capture</t>
        </is>
      </c>
      <c r="AG4" t="inlineStr">
        <is>
          <t>{"name":"Chiến dịch: chiếm","controllers":["Commander"],"tactics":["*"],"generalTactic":true,"stall":"Both","spend":true,"advance":true,"support":"Normal","engagement":"Normal","defender":"none","targetMask":["enemy"],"objectivePolicy":"Chiếm / tranh","autoAiNote":"Mục tiêu màn"}</t>
        </is>
      </c>
    </row>
    <row r="5">
      <c r="A5" t="inlineStr">
        <is>
          <t>conquest</t>
        </is>
      </c>
      <c r="B5" t="inlineStr">
        <is>
          <t>*</t>
        </is>
      </c>
      <c r="C5" t="b">
        <v>1</v>
      </c>
      <c r="E5" t="inlineStr">
        <is>
          <t>Giữ cứ điểm đang mất nhanh nhất</t>
        </is>
      </c>
      <c r="F5" t="inlineStr">
        <is>
          <t>Commander</t>
        </is>
      </c>
      <c r="G5" t="inlineStr">
        <is>
          <t>none</t>
        </is>
      </c>
      <c r="H5" t="inlineStr">
        <is>
          <t>Normal</t>
        </is>
      </c>
      <c r="P5" t="b">
        <v>0</v>
      </c>
      <c r="Q5" t="n">
        <v>8</v>
      </c>
      <c r="U5" t="inlineStr">
        <is>
          <t>Giữ cứ điểm</t>
        </is>
      </c>
      <c r="W5" t="inlineStr">
        <is>
          <t>Chặn mất điểm nhanh nhất; mục tiêu chế độ thắng sở thích chiến thuật</t>
        </is>
      </c>
      <c r="Y5" t="b">
        <v>1</v>
      </c>
      <c r="Z5" t="inlineStr">
        <is>
          <t>Both</t>
        </is>
      </c>
      <c r="AA5" t="inlineStr">
        <is>
          <t>Normal</t>
        </is>
      </c>
      <c r="AB5" t="inlineStr">
        <is>
          <t>enemy</t>
        </is>
      </c>
      <c r="AC5" t="n">
        <v>1</v>
      </c>
      <c r="AD5" t="n">
        <v>1</v>
      </c>
      <c r="AE5" t="n">
        <v>1</v>
      </c>
      <c r="AF5" t="inlineStr">
        <is>
          <t>Assets/MachineBrigade/Resources/Data/balance.json: aiModeProfiles.profiles.conquest</t>
        </is>
      </c>
      <c r="AG5" t="inlineStr">
        <is>
          <t>{"name":"Giữ cứ điểm","controllers":["Commander"],"tactics":["*"],"generalTactic":false,"stall":"Both","spend":true,"advance":true,"support":"Normal","engagement":"Normal","defender":"none","hqSkillThreat":8,"wallRoute":{"route":1,"threat":1,"breach":1},"targetMask":["enemy"],"objectivePolicy":"Chặn mất điểm nhanh nhất; mục tiêu chế độ thắng sở thích chiến thuật","autoAiNote":"Giữ cứ điểm đang mất nhanh nhất"}</t>
        </is>
      </c>
    </row>
    <row r="6">
      <c r="A6" t="inlineStr">
        <is>
          <t>deathmatch</t>
        </is>
      </c>
      <c r="B6" t="inlineStr">
        <is>
          <t>*</t>
        </is>
      </c>
      <c r="C6" t="b">
        <v>1</v>
      </c>
      <c r="E6" t="inlineStr">
        <is>
          <t>Dồn hỏa lực, tránh biếu xe đắt</t>
        </is>
      </c>
      <c r="F6" t="inlineStr">
        <is>
          <t>Commander</t>
        </is>
      </c>
      <c r="G6" t="inlineStr">
        <is>
          <t>none</t>
        </is>
      </c>
      <c r="H6" t="inlineStr">
        <is>
          <t>Normal</t>
        </is>
      </c>
      <c r="O6" t="inlineStr">
        <is>
          <t>riskWeightByUnitValue</t>
        </is>
      </c>
      <c r="P6" t="b">
        <v>0</v>
      </c>
      <c r="Q6" t="n">
        <v>8</v>
      </c>
      <c r="U6" t="inlineStr">
        <is>
          <t>Tử chiến</t>
        </is>
      </c>
      <c r="W6" t="inlineStr">
        <is>
          <t>riskWeightByUnitValue: tránh "biếu" xe đắt; dẫn điểm gần hết giờ thì giảm hung hăng (không rút hẳn)</t>
        </is>
      </c>
      <c r="Y6" t="b">
        <v>1</v>
      </c>
      <c r="Z6" t="inlineStr">
        <is>
          <t>Both</t>
        </is>
      </c>
      <c r="AA6" t="inlineStr">
        <is>
          <t>Normal</t>
        </is>
      </c>
      <c r="AB6" t="inlineStr">
        <is>
          <t>enemy</t>
        </is>
      </c>
      <c r="AC6" t="n">
        <v>1</v>
      </c>
      <c r="AD6" t="n">
        <v>1</v>
      </c>
      <c r="AE6" t="n">
        <v>1</v>
      </c>
      <c r="AF6" t="inlineStr">
        <is>
          <t>Assets/MachineBrigade/Resources/Data/balance.json: aiModeProfiles.profiles.deathmatch</t>
        </is>
      </c>
      <c r="AG6" t="inlineStr">
        <is>
          <t>{"name":"Tử chiến","controllers":["Commander"],"tactics":["*"],"generalTactic":false,"stall":"Both","spend":true,"advance":true,"support":"Normal","engagement":"Normal","defender":"none","hqSkillThreat":8,"wallRoute":{"route":1,"threat":1,"breach":1},"targetMask":["enemy"],"objectivePolicy":"riskWeightByUnitValue: tránh \"biếu\" xe đắt; dẫn điểm gần hết giờ thì giảm hung hăng (không rút hẳn)","autoAiNote":"Dồn hỏa lực, tránh biếu xe đắt","flags":["riskWeightByUnitValue"]}</t>
        </is>
      </c>
    </row>
    <row r="7">
      <c r="A7" t="inlineStr">
        <is>
          <t>defend</t>
        </is>
      </c>
      <c r="B7" t="inlineStr"/>
      <c r="C7" t="b">
        <v>0</v>
      </c>
      <c r="E7" t="inlineStr">
        <is>
          <t>Giữ tuyến, lùi tuyến có trật tự</t>
        </is>
      </c>
      <c r="F7" t="inlineStr">
        <is>
          <t>WaveDirector</t>
        </is>
      </c>
      <c r="G7" t="inlineStr">
        <is>
          <t>player</t>
        </is>
      </c>
      <c r="H7" t="inlineStr">
        <is>
          <t>Normal</t>
        </is>
      </c>
      <c r="P7" t="b">
        <v>0</v>
      </c>
      <c r="U7" t="inlineStr">
        <is>
          <t>Phòng thủ / Vô tận</t>
        </is>
      </c>
      <c r="W7" t="inlineStr">
        <is>
          <t>Đội trong đợt vẫn dùng hành vi cấp đội (chọc thủng, che chắn, bảo vệ pháo, chọn mục tiêu)</t>
        </is>
      </c>
      <c r="Y7" t="b">
        <v>0</v>
      </c>
      <c r="Z7" t="inlineStr">
        <is>
          <t>Off</t>
        </is>
      </c>
      <c r="AA7" t="inlineStr">
        <is>
          <t>Normal</t>
        </is>
      </c>
      <c r="AB7" t="inlineStr">
        <is>
          <t>enemy</t>
        </is>
      </c>
      <c r="AF7" t="inlineStr">
        <is>
          <t>Assets/MachineBrigade/Resources/Data/balance.json: aiModeProfiles.profiles.defend</t>
        </is>
      </c>
      <c r="AG7" t="inlineStr">
        <is>
          <t>{"name":"Phòng thủ / Vô tận","controllers":["WaveDirector"],"tactics":[],"generalTactic":false,"stall":"Off","spend":false,"advance":false,"support":"Normal","engagement":"Normal","defender":"player","targetMask":["enemy"],"objectivePolicy":"Đội trong đợt vẫn dùng hành vi cấp đội (chọc thủng, che chắn, bảo vệ pháo, chọn mục tiêu)","autoAiNote":"Giữ tuyến, lùi tuyến có trật tự"}</t>
        </is>
      </c>
    </row>
    <row r="8">
      <c r="A8" t="inlineStr">
        <is>
          <t>escort</t>
        </is>
      </c>
      <c r="B8" t="inlineStr">
        <is>
          <t>*</t>
        </is>
      </c>
      <c r="C8" t="b">
        <v>1</v>
      </c>
      <c r="D8" t="inlineStr">
        <is>
          <t>escort</t>
        </is>
      </c>
      <c r="E8" t="inlineStr">
        <is>
          <t>Ở quanh đoàn xe; mối đe dọa với đoàn trước; hỗ trợ không gọi đòn nổ lan chồng lên vùng an toàn của đoàn</t>
        </is>
      </c>
      <c r="F8" t="inlineStr">
        <is>
          <t>Commander</t>
        </is>
      </c>
      <c r="G8" t="inlineStr">
        <is>
          <t>none</t>
        </is>
      </c>
      <c r="H8" t="inlineStr">
        <is>
          <t>Normal</t>
        </is>
      </c>
      <c r="I8" t="inlineStr">
        <is>
          <t>convoyCentre</t>
        </is>
      </c>
      <c r="J8" t="n">
        <v>30</v>
      </c>
      <c r="K8" t="b">
        <v>1</v>
      </c>
      <c r="L8" t="n">
        <v>0.3</v>
      </c>
      <c r="M8" t="n">
        <v>12</v>
      </c>
      <c r="N8" t="n">
        <v>2</v>
      </c>
      <c r="P8" t="b">
        <v>1</v>
      </c>
      <c r="U8" t="inlineStr">
        <is>
          <t>Chiến dịch: hộ tống / di tản</t>
        </is>
      </c>
      <c r="W8" t="inlineStr">
        <is>
          <t>escortAnchor = tâm đoàn xe; maxAdvanceDistance; rearGuardWeight; threatToConvoyWeight; noChaseOutsideLeash</t>
        </is>
      </c>
      <c r="Y8" t="b">
        <v>1</v>
      </c>
      <c r="Z8" t="inlineStr">
        <is>
          <t>Off</t>
        </is>
      </c>
      <c r="AA8" t="inlineStr">
        <is>
          <t>Normal</t>
        </is>
      </c>
      <c r="AB8" t="inlineStr">
        <is>
          <t>enemy</t>
        </is>
      </c>
      <c r="AF8" t="inlineStr">
        <is>
          <t>Assets/MachineBrigade/Resources/Data/balance.json: aiModeProfiles.profiles.escort</t>
        </is>
      </c>
      <c r="AG8" t="inlineStr">
        <is>
          <t>{"name":"Chiến dịch: hộ tống / di tản","controllers":["Commander"],"tactics":["*"],"generalTactic":true,"stall":"Off","spend":true,"advance":true,"support":"Normal","engagement":"Normal","defender":"none","targetMask":["enemy"],"objectivePolicy":"escortAnchor = tâm đoàn xe; maxAdvanceDistance; rearGuardWeight; threatToConvoyWeight; noChaseOutsideLeash","autoAiNote":"Ở quanh đoàn xe; mối đe dọa với đoàn trước; hỗ trợ không gọi đòn nổ lan chồng lên vùng an toàn của đoàn","escort":{"anchor":"convoyCentre","maxAdvanceDistance":30,"rearGuardWeight":0.3,"threatToConvoyWeight":2.0,"noChaseOutsideLeash":true,"safeZoneRadius":12},"autoAi":"escort"}</t>
        </is>
      </c>
    </row>
    <row r="9">
      <c r="A9" t="inlineStr">
        <is>
          <t>fixed_deck</t>
        </is>
      </c>
      <c r="B9" t="inlineStr">
        <is>
          <t>*</t>
        </is>
      </c>
      <c r="C9" t="b">
        <v>0</v>
      </c>
      <c r="E9" t="inlineStr">
        <is>
          <t>Theo special_rules; placed_allies theo lệnh Tấn công/Phòng thủ</t>
        </is>
      </c>
      <c r="F9" t="inlineStr"/>
      <c r="G9" t="inlineStr">
        <is>
          <t>none</t>
        </is>
      </c>
      <c r="H9" t="inlineStr">
        <is>
          <t>Normal</t>
        </is>
      </c>
      <c r="P9" t="b">
        <v>0</v>
      </c>
      <c r="R9" t="b">
        <v>1</v>
      </c>
      <c r="U9" t="inlineStr">
        <is>
          <t>Màn bộ bài game</t>
        </is>
      </c>
      <c r="W9" t="inlineStr">
        <is>
          <t>Chỉ ghi đè bằng special_rules; ngừng bắn: targetFactionMask loại phe CEASEFIRE ở cấp sát thương (cả hỗ trợ, nổ lan), không chỉ ở AI</t>
        </is>
      </c>
      <c r="X9" t="b">
        <v>1</v>
      </c>
      <c r="Y9" t="b">
        <v>0</v>
      </c>
      <c r="Z9" t="inlineStr">
        <is>
          <t>Inherit</t>
        </is>
      </c>
      <c r="AA9" t="inlineStr">
        <is>
          <t>Normal</t>
        </is>
      </c>
      <c r="AB9" t="inlineStr">
        <is>
          <t>enemy</t>
        </is>
      </c>
      <c r="AF9" t="inlineStr">
        <is>
          <t>Assets/MachineBrigade/Resources/Data/balance.json: aiModeProfiles.profiles.fixed_deck</t>
        </is>
      </c>
      <c r="AG9" t="inlineStr">
        <is>
          <t>{"name":"Màn bộ bài game","controllers":[],"tactics":["*"],"generalTactic":false,"stall":"Inherit","spend":false,"advance":false,"support":"Normal","engagement":"Normal","defender":"none","targetMask":["enemy"],"objectivePolicy":"Chỉ ghi đè bằng special_rules; ngừng bắn: targetFactionMask loại phe CEASEFIRE ở cấp sát thương (cả hỗ trợ, nổ lan), không chỉ ở AI","autoAiNote":"Theo special_rules; placed_allies theo lệnh Tấn công/Phòng thủ","phased":true,"inherits":true}</t>
        </is>
      </c>
    </row>
    <row r="10">
      <c r="A10" t="inlineStr">
        <is>
          <t>hill</t>
        </is>
      </c>
      <c r="B10" t="inlineStr">
        <is>
          <t>*</t>
        </is>
      </c>
      <c r="C10" t="b">
        <v>1</v>
      </c>
      <c r="E10" t="inlineStr">
        <is>
          <t>Giữ đồi</t>
        </is>
      </c>
      <c r="F10" t="inlineStr">
        <is>
          <t>Commander</t>
        </is>
      </c>
      <c r="G10" t="inlineStr">
        <is>
          <t>none</t>
        </is>
      </c>
      <c r="H10" t="inlineStr">
        <is>
          <t>Normal</t>
        </is>
      </c>
      <c r="P10" t="b">
        <v>0</v>
      </c>
      <c r="Q10" t="n">
        <v>8</v>
      </c>
      <c r="U10" t="inlineStr">
        <is>
          <t>Vua đồi</t>
        </is>
      </c>
      <c r="W10" t="inlineStr">
        <is>
          <t>Sàn cứng: không để đồi trống khi đủ quân tranh; 60 s cuối ưu tiên đồi cao hơn</t>
        </is>
      </c>
      <c r="Y10" t="b">
        <v>1</v>
      </c>
      <c r="Z10" t="inlineStr">
        <is>
          <t>Both</t>
        </is>
      </c>
      <c r="AA10" t="inlineStr">
        <is>
          <t>Normal</t>
        </is>
      </c>
      <c r="AB10" t="inlineStr">
        <is>
          <t>enemy</t>
        </is>
      </c>
      <c r="AC10" t="n">
        <v>1</v>
      </c>
      <c r="AD10" t="n">
        <v>1</v>
      </c>
      <c r="AE10" t="n">
        <v>1</v>
      </c>
      <c r="AF10" t="inlineStr">
        <is>
          <t>Assets/MachineBrigade/Resources/Data/balance.json: aiModeProfiles.profiles.hill</t>
        </is>
      </c>
      <c r="AG10" t="inlineStr">
        <is>
          <t>{"name":"Vua đồi","controllers":["Commander"],"tactics":["*"],"generalTactic":false,"stall":"Both","spend":true,"advance":true,"support":"Normal","engagement":"Normal","defender":"none","hqSkillThreat":8,"wallRoute":{"route":1,"threat":1,"breach":1},"targetMask":["enemy"],"objectivePolicy":"Sàn cứng: không để đồi trống khi đủ quân tranh; 60 s cuối ưu tiên đồi cao hơn","autoAiNote":"Giữ đồi"}</t>
        </is>
      </c>
    </row>
    <row r="11">
      <c r="A11" t="inlineStr">
        <is>
          <t>hold</t>
        </is>
      </c>
      <c r="B11" t="inlineStr">
        <is>
          <t>*</t>
        </is>
      </c>
      <c r="C11" t="b">
        <v>1</v>
      </c>
      <c r="E11" t="inlineStr">
        <is>
          <t>Giữ mục tiêu</t>
        </is>
      </c>
      <c r="F11" t="inlineStr">
        <is>
          <t>Commander</t>
        </is>
      </c>
      <c r="G11" t="inlineStr">
        <is>
          <t>player</t>
        </is>
      </c>
      <c r="H11" t="inlineStr">
        <is>
          <t>Normal</t>
        </is>
      </c>
      <c r="P11" t="b">
        <v>1</v>
      </c>
      <c r="U11" t="inlineStr">
        <is>
          <t>Chiến dịch: giữ / trụ</t>
        </is>
      </c>
      <c r="W11" t="inlineStr">
        <is>
          <t>Không ép người chơi rời mục tiêu</t>
        </is>
      </c>
      <c r="Y11" t="b">
        <v>1</v>
      </c>
      <c r="Z11" t="inlineStr">
        <is>
          <t>AttackerOnly</t>
        </is>
      </c>
      <c r="AA11" t="inlineStr">
        <is>
          <t>Normal</t>
        </is>
      </c>
      <c r="AB11" t="inlineStr">
        <is>
          <t>enemy</t>
        </is>
      </c>
      <c r="AF11" t="inlineStr">
        <is>
          <t>Assets/MachineBrigade/Resources/Data/balance.json: aiModeProfiles.profiles.hold</t>
        </is>
      </c>
      <c r="AG11" t="inlineStr">
        <is>
          <t>{"name":"Chiến dịch: giữ / trụ","controllers":["Commander"],"tactics":["*"],"generalTactic":true,"stall":"AttackerOnly","spend":true,"advance":true,"support":"Normal","engagement":"Normal","defender":"player","targetMask":["enemy"],"objectivePolicy":"Không ép người chơi rời mục tiêu","autoAiNote":"Giữ mục tiêu"}</t>
        </is>
      </c>
    </row>
    <row r="12">
      <c r="A12" t="inlineStr">
        <is>
          <t>hunt</t>
        </is>
      </c>
      <c r="B12" t="inlineStr">
        <is>
          <t>*</t>
        </is>
      </c>
      <c r="C12" t="b">
        <v>1</v>
      </c>
      <c r="E12" t="inlineStr">
        <is>
          <t>Như cột trước</t>
        </is>
      </c>
      <c r="F12" t="inlineStr">
        <is>
          <t>Commander</t>
        </is>
      </c>
      <c r="G12" t="inlineStr">
        <is>
          <t>none</t>
        </is>
      </c>
      <c r="H12" t="inlineStr">
        <is>
          <t>Normal</t>
        </is>
      </c>
      <c r="P12" t="b">
        <v>1</v>
      </c>
      <c r="U12" t="inlineStr">
        <is>
          <t>Chiến dịch: săn mục tiêu / chặn tàu</t>
        </is>
      </c>
      <c r="W12" t="inlineStr">
        <is>
          <t>Mục tiêu đánh dấu &gt; hộ tống của nó &gt; quân thường</t>
        </is>
      </c>
      <c r="Y12" t="b">
        <v>1</v>
      </c>
      <c r="Z12" t="inlineStr">
        <is>
          <t>Both</t>
        </is>
      </c>
      <c r="AA12" t="inlineStr">
        <is>
          <t>Normal</t>
        </is>
      </c>
      <c r="AB12" t="inlineStr">
        <is>
          <t>enemy</t>
        </is>
      </c>
      <c r="AF12" t="inlineStr">
        <is>
          <t>Assets/MachineBrigade/Resources/Data/balance.json: aiModeProfiles.profiles.hunt</t>
        </is>
      </c>
      <c r="AG12" t="inlineStr">
        <is>
          <t>{"name":"Chiến dịch: săn mục tiêu / chặn tàu","controllers":["Commander"],"tactics":["*"],"generalTactic":true,"stall":"Both","spend":true,"advance":true,"support":"Normal","engagement":"Normal","defender":"none","targetMask":["enemy"],"objectivePolicy":"Mục tiêu đánh dấu &gt; hộ tống của nó &gt; quân thường","autoAiNote":"Như cột trước"}</t>
        </is>
      </c>
    </row>
    <row r="13">
      <c r="A13" t="inlineStr">
        <is>
          <t>operation</t>
        </is>
      </c>
      <c r="B13" t="inlineStr">
        <is>
          <t>*</t>
        </is>
      </c>
      <c r="C13" t="b">
        <v>1</v>
      </c>
      <c r="E13" t="inlineStr">
        <is>
          <t>Mục tiêu giai đoạn</t>
        </is>
      </c>
      <c r="F13" t="inlineStr">
        <is>
          <t>Commander;WaveDirector;Fortress;Boss;Static</t>
        </is>
      </c>
      <c r="G13" t="inlineStr">
        <is>
          <t>none</t>
        </is>
      </c>
      <c r="H13" t="inlineStr">
        <is>
          <t>Normal</t>
        </is>
      </c>
      <c r="P13" t="b">
        <v>1</v>
      </c>
      <c r="U13" t="inlineStr">
        <is>
          <t>Chiến dịch lớn</t>
        </is>
      </c>
      <c r="W13" t="inlineStr">
        <is>
          <t>Mỗi giai đoạn có thể đổi controller, chiến thuật, áp lực, mục tiêu, supportPolicy; đồng minh (Thorne) dùng AI đồng minh</t>
        </is>
      </c>
      <c r="X13" t="b">
        <v>1</v>
      </c>
      <c r="Y13" t="b">
        <v>1</v>
      </c>
      <c r="Z13" t="inlineStr">
        <is>
          <t>Both</t>
        </is>
      </c>
      <c r="AA13" t="inlineStr">
        <is>
          <t>Normal</t>
        </is>
      </c>
      <c r="AB13" t="inlineStr">
        <is>
          <t>enemy</t>
        </is>
      </c>
      <c r="AF13" t="inlineStr">
        <is>
          <t>Assets/MachineBrigade/Resources/Data/balance.json: aiModeProfiles.profiles.operation</t>
        </is>
      </c>
      <c r="AG13" t="inlineStr">
        <is>
          <t>{"name":"Chiến dịch lớn","controllers":["Commander","WaveDirector","Fortress","Boss","Static"],"tactics":["*"],"generalTactic":true,"stall":"Both","spend":true,"advance":true,"support":"Normal","engagement":"Normal","defender":"none","targetMask":["enemy"],"objectivePolicy":"Mỗi giai đoạn có thể đổi controller, chiến thuật, áp lực, mục tiêu, supportPolicy; đồng minh (Thorne) dùng AI đồng minh","autoAiNote":"Mục tiêu giai đoạn","phased":true}</t>
        </is>
      </c>
    </row>
    <row r="14">
      <c r="A14" t="inlineStr">
        <is>
          <t>outpost</t>
        </is>
      </c>
      <c r="B14" t="inlineStr">
        <is>
          <t>*</t>
        </is>
      </c>
      <c r="C14" t="b">
        <v>1</v>
      </c>
      <c r="E14" t="inlineStr">
        <is>
          <t>Theo bước</t>
        </is>
      </c>
      <c r="F14" t="inlineStr">
        <is>
          <t>Commander</t>
        </is>
      </c>
      <c r="G14" t="inlineStr">
        <is>
          <t>none</t>
        </is>
      </c>
      <c r="H14" t="inlineStr">
        <is>
          <t>Normal</t>
        </is>
      </c>
      <c r="P14" t="b">
        <v>1</v>
      </c>
      <c r="U14" t="inlineStr">
        <is>
          <t>Chiến dịch: lập tiền đồn</t>
        </is>
      </c>
      <c r="W14" t="inlineStr">
        <is>
          <t>Bước: dọn vùng → chiếm → dựng → giữ (phaseOverrides)</t>
        </is>
      </c>
      <c r="Y14" t="b">
        <v>1</v>
      </c>
      <c r="Z14" t="inlineStr">
        <is>
          <t>ObjectiveStallOnly</t>
        </is>
      </c>
      <c r="AA14" t="inlineStr">
        <is>
          <t>Normal</t>
        </is>
      </c>
      <c r="AB14" t="inlineStr">
        <is>
          <t>enemy</t>
        </is>
      </c>
      <c r="AF14" t="inlineStr">
        <is>
          <t>Assets/MachineBrigade/Resources/Data/balance.json: aiModeProfiles.profiles.outpost</t>
        </is>
      </c>
      <c r="AG14" t="inlineStr">
        <is>
          <t>{"name":"Chiến dịch: lập tiền đồn","controllers":["Commander"],"tactics":["*"],"generalTactic":true,"stall":"ObjectiveStallOnly","spend":true,"advance":true,"support":"Normal","engagement":"Normal","defender":"none","targetMask":["enemy"],"objectivePolicy":"Bước: dọn vùng → chiếm → dựng → giữ (phaseOverrides)","autoAiNote":"Theo bước","phaseOverrides":[{"when":"step:clear","stall":"Both"},{"when":"step:capture","stall":"Both"},{"when":"step:build","stall":"ObjectiveStallOnly"},{"when":"step:hold","stall":"AttackerOnly"}]}</t>
        </is>
      </c>
    </row>
    <row r="15">
      <c r="A15" t="inlineStr">
        <is>
          <t>protect</t>
        </is>
      </c>
      <c r="B15" t="inlineStr">
        <is>
          <t>*</t>
        </is>
      </c>
      <c r="C15" t="b">
        <v>1</v>
      </c>
      <c r="D15" t="inlineStr">
        <is>
          <t>protectTarget</t>
        </is>
      </c>
      <c r="E15" t="inlineStr">
        <is>
          <t>Mối đe dọa trực tiếp lớn nhất với công trình được bảo vệ (không chỉ "công trình yếu nhất")</t>
        </is>
      </c>
      <c r="F15" t="inlineStr">
        <is>
          <t>Commander</t>
        </is>
      </c>
      <c r="G15" t="inlineStr">
        <is>
          <t>player</t>
        </is>
      </c>
      <c r="H15" t="inlineStr">
        <is>
          <t>Normal</t>
        </is>
      </c>
      <c r="P15" t="b">
        <v>1</v>
      </c>
      <c r="U15" t="inlineStr">
        <is>
          <t>Chiến dịch: bảo vệ</t>
        </is>
      </c>
      <c r="W15" t="inlineStr"/>
      <c r="Y15" t="b">
        <v>1</v>
      </c>
      <c r="Z15" t="inlineStr">
        <is>
          <t>AttackerOnly</t>
        </is>
      </c>
      <c r="AA15" t="inlineStr">
        <is>
          <t>Normal</t>
        </is>
      </c>
      <c r="AB15" t="inlineStr">
        <is>
          <t>enemy</t>
        </is>
      </c>
      <c r="AF15" t="inlineStr">
        <is>
          <t>Assets/MachineBrigade/Resources/Data/balance.json: aiModeProfiles.profiles.protect</t>
        </is>
      </c>
      <c r="AG15" t="inlineStr">
        <is>
          <t>{"name":"Chiến dịch: bảo vệ","controllers":["Commander"],"tactics":["*"],"generalTactic":true,"stall":"AttackerOnly","spend":true,"advance":true,"support":"Normal","engagement":"Normal","defender":"player","targetMask":["enemy"],"objectivePolicy":"","autoAiNote":"Mối đe dọa trực tiếp lớn nhất với công trình được bảo vệ (không chỉ \"công trình yếu nhất\")","autoAi":"protectTarget"}</t>
        </is>
      </c>
    </row>
    <row r="16">
      <c r="A16" t="inlineStr">
        <is>
          <t>recon</t>
        </is>
      </c>
      <c r="B16" t="inlineStr">
        <is>
          <t>ambush;base_defence</t>
        </is>
      </c>
      <c r="C16" t="b">
        <v>0</v>
      </c>
      <c r="E16" t="inlineStr">
        <is>
          <t>engagementPolicy = AVOID_UNLESS_BLOCKING; không đuổi; ưu tiên đường tới điểm; Yểm trợ tự động không gọi pháo trước báo động</t>
        </is>
      </c>
      <c r="F16" t="inlineStr">
        <is>
          <t>Commander</t>
        </is>
      </c>
      <c r="G16" t="inlineStr">
        <is>
          <t>none</t>
        </is>
      </c>
      <c r="H16" t="inlineStr">
        <is>
          <t>AvoidUnlessBlocking</t>
        </is>
      </c>
      <c r="P16" t="b">
        <v>0</v>
      </c>
      <c r="U16" t="inlineStr">
        <is>
          <t>Chiến dịch: trinh sát / thâm nhập</t>
        </is>
      </c>
      <c r="V16" t="b">
        <v>1</v>
      </c>
      <c r="W16" t="inlineStr">
        <is>
          <t>supportPolicy = DISABLED_UNTIL_ALERT; sau báo động: phaseOverride sang hồ sơ chiến đấu</t>
        </is>
      </c>
      <c r="Y16" t="b">
        <v>0</v>
      </c>
      <c r="Z16" t="inlineStr">
        <is>
          <t>Off</t>
        </is>
      </c>
      <c r="AA16" t="inlineStr">
        <is>
          <t>DisabledUntilAlert</t>
        </is>
      </c>
      <c r="AB16" t="inlineStr">
        <is>
          <t>enemy</t>
        </is>
      </c>
      <c r="AF16" t="inlineStr">
        <is>
          <t>Assets/MachineBrigade/Resources/Data/balance.json: aiModeProfiles.profiles.recon</t>
        </is>
      </c>
      <c r="AG16" t="inlineStr">
        <is>
          <t>{"name":"Chiến dịch: trinh sát / thâm nhập","controllers":["Commander"],"tactics":["ambush","base_defence"],"generalTactic":false,"stall":"Off","spend":false,"advance":false,"support":"DisabledUntilAlert","engagement":"AvoidUnlessBlocking","defender":"none","targetMask":["enemy"],"objectivePolicy":"supportPolicy = DISABLED_UNTIL_ALERT; sau báo động: phaseOverride sang hồ sơ chiến đấu","autoAiNote":"engagementPolicy = AVOID_UNLESS_BLOCKING; không đuổi; ưu tiên đường tới điểm; Yểm trợ tự động không gọi pháo trước báo động","noChase":true,"phaseOverrides":[{"when":"alert","profile":"capture"}]}</t>
        </is>
      </c>
    </row>
    <row r="17">
      <c r="A17" t="inlineStr">
        <is>
          <t>relieve</t>
        </is>
      </c>
      <c r="B17" t="inlineStr">
        <is>
          <t>*</t>
        </is>
      </c>
      <c r="C17" t="b">
        <v>1</v>
      </c>
      <c r="D17" t="inlineStr">
        <is>
          <t>breakSiege</t>
        </is>
      </c>
      <c r="E17" t="inlineStr">
        <is>
          <t>Phá vòng vây → bảo vệ quân được giải vây → rồi mới đuổi</t>
        </is>
      </c>
      <c r="F17" t="inlineStr">
        <is>
          <t>Commander</t>
        </is>
      </c>
      <c r="G17" t="inlineStr">
        <is>
          <t>none</t>
        </is>
      </c>
      <c r="H17" t="inlineStr">
        <is>
          <t>Normal</t>
        </is>
      </c>
      <c r="P17" t="b">
        <v>1</v>
      </c>
      <c r="U17" t="inlineStr">
        <is>
          <t>Chiến dịch: giải vây</t>
        </is>
      </c>
      <c r="W17" t="inlineStr"/>
      <c r="Y17" t="b">
        <v>1</v>
      </c>
      <c r="Z17" t="inlineStr">
        <is>
          <t>Both</t>
        </is>
      </c>
      <c r="AA17" t="inlineStr">
        <is>
          <t>Normal</t>
        </is>
      </c>
      <c r="AB17" t="inlineStr">
        <is>
          <t>enemy</t>
        </is>
      </c>
      <c r="AF17" t="inlineStr">
        <is>
          <t>Assets/MachineBrigade/Resources/Data/balance.json: aiModeProfiles.profiles.relieve</t>
        </is>
      </c>
      <c r="AG17" t="inlineStr">
        <is>
          <t>{"name":"Chiến dịch: giải vây","controllers":["Commander"],"tactics":["*"],"generalTactic":true,"stall":"Both","spend":true,"advance":true,"support":"Normal","engagement":"Normal","defender":"none","targetMask":["enemy"],"objectivePolicy":"","autoAiNote":"Phá vòng vây → bảo vệ quân được giải vây → rồi mới đuổi","autoAi":"breakSiege"}</t>
        </is>
      </c>
    </row>
    <row r="18">
      <c r="A18" t="inlineStr">
        <is>
          <t>shootdown</t>
        </is>
      </c>
      <c r="B18" t="inlineStr">
        <is>
          <t>*</t>
        </is>
      </c>
      <c r="C18" t="b">
        <v>1</v>
      </c>
      <c r="E18" t="inlineStr">
        <is>
          <t>Giữ mạng phòng không và vùng phủ; không đuổi mục tiêu mặt đất vô ích</t>
        </is>
      </c>
      <c r="F18" t="inlineStr">
        <is>
          <t>Commander</t>
        </is>
      </c>
      <c r="G18" t="inlineStr">
        <is>
          <t>none</t>
        </is>
      </c>
      <c r="H18" t="inlineStr">
        <is>
          <t>Normal</t>
        </is>
      </c>
      <c r="P18" t="b">
        <v>1</v>
      </c>
      <c r="U18" t="inlineStr">
        <is>
          <t>Chiến dịch: bắn hạ máy bay</t>
        </is>
      </c>
      <c r="W18" t="inlineStr"/>
      <c r="Y18" t="b">
        <v>1</v>
      </c>
      <c r="Z18" t="inlineStr">
        <is>
          <t>Both</t>
        </is>
      </c>
      <c r="AA18" t="inlineStr">
        <is>
          <t>Normal</t>
        </is>
      </c>
      <c r="AB18" t="inlineStr">
        <is>
          <t>enemy</t>
        </is>
      </c>
      <c r="AF18" t="inlineStr">
        <is>
          <t>Assets/MachineBrigade/Resources/Data/balance.json: aiModeProfiles.profiles.shootdown</t>
        </is>
      </c>
      <c r="AG18" t="inlineStr">
        <is>
          <t>{"name":"Chiến dịch: bắn hạ máy bay","controllers":["Commander"],"tactics":["*"],"generalTactic":true,"stall":"Both","spend":true,"advance":true,"support":"Normal","engagement":"Normal","defender":"none","targetMask":["enemy"],"objectivePolicy":"","autoAiNote":"Giữ mạng phòng không và vùng phủ; không đuổi mục tiêu mặt đất vô ích"}</t>
        </is>
      </c>
    </row>
    <row r="19">
      <c r="A19" t="inlineStr">
        <is>
          <t>showdown</t>
        </is>
      </c>
      <c r="B19" t="inlineStr">
        <is>
          <t>*</t>
        </is>
      </c>
      <c r="C19" t="b">
        <v>1</v>
      </c>
      <c r="E19" t="inlineStr">
        <is>
          <t>Thủ nhà, phá tuyến ngoài, đánh nhà chính</t>
        </is>
      </c>
      <c r="F19" t="inlineStr">
        <is>
          <t>Commander</t>
        </is>
      </c>
      <c r="G19" t="inlineStr">
        <is>
          <t>none</t>
        </is>
      </c>
      <c r="H19" t="inlineStr">
        <is>
          <t>Normal</t>
        </is>
      </c>
      <c r="P19" t="b">
        <v>0</v>
      </c>
      <c r="Q19" t="n">
        <v>8</v>
      </c>
      <c r="U19" t="inlineStr">
        <is>
          <t>Đối công</t>
        </is>
      </c>
      <c r="W19" t="inlineStr">
        <is>
          <t>(1) thủ căn cứ khi có mối đe dọa đáng kể; (2) phá phòng tuyến ngoài (cổng hoặc phá tường theo routeCost + threatCost + breachTimeCost); (3) đánh nhà chính; (4) trung lập khi có lợi; dùng kỹ năng nhà chính</t>
        </is>
      </c>
      <c r="Y19" t="b">
        <v>1</v>
      </c>
      <c r="Z19" t="inlineStr">
        <is>
          <t>Both</t>
        </is>
      </c>
      <c r="AA19" t="inlineStr">
        <is>
          <t>Normal</t>
        </is>
      </c>
      <c r="AB19" t="inlineStr">
        <is>
          <t>enemy</t>
        </is>
      </c>
      <c r="AC19" t="n">
        <v>0.9</v>
      </c>
      <c r="AD19" t="n">
        <v>1</v>
      </c>
      <c r="AE19" t="n">
        <v>1</v>
      </c>
      <c r="AF19" t="inlineStr">
        <is>
          <t>Assets/MachineBrigade/Resources/Data/balance.json: aiModeProfiles.profiles.showdown</t>
        </is>
      </c>
      <c r="AG19" t="inlineStr">
        <is>
          <t>{"name":"Đối công","controllers":["Commander"],"tactics":["*"],"generalTactic":false,"stall":"Both","spend":true,"advance":true,"support":"Normal","engagement":"Normal","defender":"none","hqSkillThreat":8,"wallRoute":{"route":1,"threat":1,"breach":0.9},"targetMask":["enemy"],"objectivePolicy":"(1) thủ căn cứ khi có mối đe dọa đáng kể; (2) phá phòng tuyến ngoài (cổng hoặc phá tường theo routeCost + threatCost + breachTimeCost); (3) đánh nhà chính; (4) trung lập khi có lợi; dùng kỹ năng nhà chính","autoAiNote":"Thủ nhà, phá tuyến ngoài, đánh nhà chính"}</t>
        </is>
      </c>
    </row>
    <row r="20">
      <c r="A20" t="inlineStr">
        <is>
          <t>siege</t>
        </is>
      </c>
      <c r="B20" t="inlineStr">
        <is>
          <t>depth;base_defence;attrition;ambush;balanced</t>
        </is>
      </c>
      <c r="C20" t="b">
        <v>0</v>
      </c>
      <c r="E20" t="inlineStr">
        <is>
          <t>Mục tiêu giai đoạn; né vùng siêu pháo</t>
        </is>
      </c>
      <c r="F20" t="inlineStr">
        <is>
          <t>WaveDirector;Fortress</t>
        </is>
      </c>
      <c r="G20" t="inlineStr">
        <is>
          <t>ai</t>
        </is>
      </c>
      <c r="H20" t="inlineStr">
        <is>
          <t>Normal</t>
        </is>
      </c>
      <c r="P20" t="b">
        <v>0</v>
      </c>
      <c r="Q20" t="n">
        <v>12</v>
      </c>
      <c r="S20" t="n">
        <v>30</v>
      </c>
      <c r="T20" t="inlineStr">
        <is>
          <t>defenceLayer</t>
        </is>
      </c>
      <c r="U20" t="inlineStr">
        <is>
          <t>Công thành / Pháo đài tuần</t>
        </is>
      </c>
      <c r="W20" t="inlineStr">
        <is>
          <t>Đồn trú leash theo lớp phòng thủ; áp lực cho phe công là giờ, siêu pháo, mục tiêu</t>
        </is>
      </c>
      <c r="Y20" t="b">
        <v>1</v>
      </c>
      <c r="Z20" t="inlineStr">
        <is>
          <t>Off</t>
        </is>
      </c>
      <c r="AA20" t="inlineStr">
        <is>
          <t>Normal</t>
        </is>
      </c>
      <c r="AB20" t="inlineStr">
        <is>
          <t>enemy</t>
        </is>
      </c>
      <c r="AC20" t="n">
        <v>0.8</v>
      </c>
      <c r="AD20" t="n">
        <v>1</v>
      </c>
      <c r="AE20" t="n">
        <v>1.2</v>
      </c>
      <c r="AF20" t="inlineStr">
        <is>
          <t>Assets/MachineBrigade/Resources/Data/balance.json: aiModeProfiles.profiles.siege</t>
        </is>
      </c>
      <c r="AG20" t="inlineStr">
        <is>
          <t>{"name":"Công thành / Pháo đài tuần","controllers":["WaveDirector","Fortress"],"tactics":["depth","base_defence","attrition","ambush","balanced"],"generalTactic":false,"stall":"Off","spend":true,"advance":false,"support":"Normal","engagement":"Normal","defender":"ai","hqSkillThreat":12,"wallRoute":{"route":1,"threat":1.2,"breach":0.8},"targetMask":["enemy"],"objectivePolicy":"Đồn trú leash theo lớp phòng thủ; áp lực cho phe công là giờ, siêu pháo, mục tiêu","autoAiNote":"Mục tiêu giai đoạn; né vùng siêu pháo","leashRegion":"defenceLayer","leashDistance":30}</t>
        </is>
      </c>
    </row>
    <row r="21">
      <c r="A21" t="inlineStr">
        <is>
          <t>survival</t>
        </is>
      </c>
      <c r="B21" t="inlineStr"/>
      <c r="C21" t="b">
        <v>0</v>
      </c>
      <c r="E21" t="inlineStr">
        <is>
          <t>Giữ bãi thả; chặn mối đe dọa gần; không đuổi xa</t>
        </is>
      </c>
      <c r="F21" t="inlineStr">
        <is>
          <t>WaveDirector;Boss</t>
        </is>
      </c>
      <c r="G21" t="inlineStr">
        <is>
          <t>player</t>
        </is>
      </c>
      <c r="H21" t="inlineStr">
        <is>
          <t>Normal</t>
        </is>
      </c>
      <c r="P21" t="b">
        <v>0</v>
      </c>
      <c r="U21" t="inlineStr">
        <is>
          <t>Sinh tồn</t>
        </is>
      </c>
      <c r="W21" t="inlineStr"/>
      <c r="Y21" t="b">
        <v>0</v>
      </c>
      <c r="Z21" t="inlineStr">
        <is>
          <t>Off</t>
        </is>
      </c>
      <c r="AA21" t="inlineStr">
        <is>
          <t>Normal</t>
        </is>
      </c>
      <c r="AB21" t="inlineStr">
        <is>
          <t>enemy</t>
        </is>
      </c>
      <c r="AF21" t="inlineStr">
        <is>
          <t>Assets/MachineBrigade/Resources/Data/balance.json: aiModeProfiles.profiles.survival</t>
        </is>
      </c>
      <c r="AG21" t="inlineStr">
        <is>
          <t>{"name":"Sinh tồn","controllers":["WaveDirector","Boss"],"tactics":[],"generalTactic":false,"stall":"Off","spend":false,"advance":false,"support":"Normal","engagement":"Normal","defender":"player","targetMask":["enemy"],"objectivePolicy":"","autoAiNote":"Giữ bãi thả; chặn mối đe dọa gần; không đuổi xa"}</t>
        </is>
      </c>
    </row>
  </sheetData>
  <autoFilter ref="A1:AG21"/>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8" customWidth="1" min="3" max="3"/>
    <col width="9" customWidth="1" min="4" max="4"/>
    <col width="19" customWidth="1" min="5" max="5"/>
    <col width="13" customWidth="1" min="6" max="6"/>
    <col width="60" customWidth="1" min="7" max="7"/>
    <col width="51" customWidth="1" min="8" max="8"/>
  </cols>
  <sheetData>
    <row r="1">
      <c r="A1" s="1" t="inlineStr">
        <is>
          <t>id</t>
        </is>
      </c>
      <c r="B1" s="1" t="inlineStr">
        <is>
          <t>ai_ho_so_che_do_id</t>
        </is>
      </c>
      <c r="C1" s="1" t="inlineStr">
        <is>
          <t>thu_tu</t>
        </is>
      </c>
      <c r="D1" s="1" t="inlineStr">
        <is>
          <t>profile</t>
        </is>
      </c>
      <c r="E1" s="1" t="inlineStr">
        <is>
          <t>stall</t>
        </is>
      </c>
      <c r="F1" s="1" t="inlineStr">
        <is>
          <t>when</t>
        </is>
      </c>
      <c r="G1" s="1" t="inlineStr">
        <is>
          <t>nguon</t>
        </is>
      </c>
      <c r="H1" s="1" t="inlineStr">
        <is>
          <t>raw_json</t>
        </is>
      </c>
    </row>
    <row r="2">
      <c r="A2" t="inlineStr">
        <is>
          <t>outpost/0</t>
        </is>
      </c>
      <c r="B2" t="inlineStr">
        <is>
          <t>outpost</t>
        </is>
      </c>
      <c r="C2" t="n">
        <v>0</v>
      </c>
      <c r="E2" t="inlineStr">
        <is>
          <t>Both</t>
        </is>
      </c>
      <c r="F2" t="inlineStr">
        <is>
          <t>step:clear</t>
        </is>
      </c>
      <c r="G2" t="inlineStr">
        <is>
          <t>Assets/MachineBrigade/Resources/Data/balance.json: aiModeProfiles.profiles.outpost.phaseOverrides[0]</t>
        </is>
      </c>
      <c r="H2" t="inlineStr">
        <is>
          <t>{"when":"step:clear","stall":"Both"}</t>
        </is>
      </c>
    </row>
    <row r="3">
      <c r="A3" t="inlineStr">
        <is>
          <t>outpost/1</t>
        </is>
      </c>
      <c r="B3" t="inlineStr">
        <is>
          <t>outpost</t>
        </is>
      </c>
      <c r="C3" t="n">
        <v>1</v>
      </c>
      <c r="E3" t="inlineStr">
        <is>
          <t>Both</t>
        </is>
      </c>
      <c r="F3" t="inlineStr">
        <is>
          <t>step:capture</t>
        </is>
      </c>
      <c r="G3" t="inlineStr">
        <is>
          <t>Assets/MachineBrigade/Resources/Data/balance.json: aiModeProfiles.profiles.outpost.phaseOverrides[1]</t>
        </is>
      </c>
      <c r="H3" t="inlineStr">
        <is>
          <t>{"when":"step:capture","stall":"Both"}</t>
        </is>
      </c>
    </row>
    <row r="4">
      <c r="A4" t="inlineStr">
        <is>
          <t>outpost/2</t>
        </is>
      </c>
      <c r="B4" t="inlineStr">
        <is>
          <t>outpost</t>
        </is>
      </c>
      <c r="C4" t="n">
        <v>2</v>
      </c>
      <c r="E4" t="inlineStr">
        <is>
          <t>ObjectiveStallOnly</t>
        </is>
      </c>
      <c r="F4" t="inlineStr">
        <is>
          <t>step:build</t>
        </is>
      </c>
      <c r="G4" t="inlineStr">
        <is>
          <t>Assets/MachineBrigade/Resources/Data/balance.json: aiModeProfiles.profiles.outpost.phaseOverrides[2]</t>
        </is>
      </c>
      <c r="H4" t="inlineStr">
        <is>
          <t>{"when":"step:build","stall":"ObjectiveStallOnly"}</t>
        </is>
      </c>
    </row>
    <row r="5">
      <c r="A5" t="inlineStr">
        <is>
          <t>outpost/3</t>
        </is>
      </c>
      <c r="B5" t="inlineStr">
        <is>
          <t>outpost</t>
        </is>
      </c>
      <c r="C5" t="n">
        <v>3</v>
      </c>
      <c r="E5" t="inlineStr">
        <is>
          <t>AttackerOnly</t>
        </is>
      </c>
      <c r="F5" t="inlineStr">
        <is>
          <t>step:hold</t>
        </is>
      </c>
      <c r="G5" t="inlineStr">
        <is>
          <t>Assets/MachineBrigade/Resources/Data/balance.json: aiModeProfiles.profiles.outpost.phaseOverrides[3]</t>
        </is>
      </c>
      <c r="H5" t="inlineStr">
        <is>
          <t>{"when":"step:hold","stall":"AttackerOnly"}</t>
        </is>
      </c>
    </row>
    <row r="6">
      <c r="A6" t="inlineStr">
        <is>
          <t>recon/0</t>
        </is>
      </c>
      <c r="B6" t="inlineStr">
        <is>
          <t>recon</t>
        </is>
      </c>
      <c r="C6" t="n">
        <v>0</v>
      </c>
      <c r="D6" t="inlineStr">
        <is>
          <t>capture</t>
        </is>
      </c>
      <c r="F6" t="inlineStr">
        <is>
          <t>alert</t>
        </is>
      </c>
      <c r="G6" t="inlineStr">
        <is>
          <t>Assets/MachineBrigade/Resources/Data/balance.json: aiModeProfiles.profiles.recon.phaseOverrides[0]</t>
        </is>
      </c>
      <c r="H6" t="inlineStr">
        <is>
          <t>{"when":"alert","profile":"capture"}</t>
        </is>
      </c>
    </row>
  </sheetData>
  <autoFilter ref="A1:H6"/>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8" customWidth="1" min="2" max="2"/>
    <col width="14" customWidth="1" min="3" max="3"/>
    <col width="11" customWidth="1" min="4" max="4"/>
    <col width="60" customWidth="1" min="5" max="5"/>
    <col width="13" customWidth="1" min="6" max="6"/>
  </cols>
  <sheetData>
    <row r="1">
      <c r="A1" s="1" t="inlineStr">
        <is>
          <t>id</t>
        </is>
      </c>
      <c r="B1" s="1" t="inlineStr">
        <is>
          <t>loai</t>
        </is>
      </c>
      <c r="C1" s="1" t="inlineStr">
        <is>
          <t>khoa</t>
        </is>
      </c>
      <c r="D1" s="1" t="inlineStr">
        <is>
          <t>ho_so</t>
        </is>
      </c>
      <c r="E1" s="1" t="inlineStr">
        <is>
          <t>nguon</t>
        </is>
      </c>
      <c r="F1" s="1" t="inlineStr">
        <is>
          <t>raw_json</t>
        </is>
      </c>
    </row>
    <row r="2">
      <c r="A2" t="inlineStr">
        <is>
          <t>goal.Boss</t>
        </is>
      </c>
      <c r="B2" t="inlineStr">
        <is>
          <t>goal</t>
        </is>
      </c>
      <c r="C2" t="inlineStr">
        <is>
          <t>Boss</t>
        </is>
      </c>
      <c r="D2" t="inlineStr">
        <is>
          <t>bossrush</t>
        </is>
      </c>
      <c r="E2" t="inlineStr">
        <is>
          <t>Assets/MachineBrigade/Resources/Data/balance.json: aiModeProfiles.goals.Boss</t>
        </is>
      </c>
      <c r="F2" t="inlineStr">
        <is>
          <t>"bossrush"</t>
        </is>
      </c>
    </row>
    <row r="3">
      <c r="A3" t="inlineStr">
        <is>
          <t>goal.Capture</t>
        </is>
      </c>
      <c r="B3" t="inlineStr">
        <is>
          <t>goal</t>
        </is>
      </c>
      <c r="C3" t="inlineStr">
        <is>
          <t>Capture</t>
        </is>
      </c>
      <c r="D3" t="inlineStr">
        <is>
          <t>capture</t>
        </is>
      </c>
      <c r="E3" t="inlineStr">
        <is>
          <t>Assets/MachineBrigade/Resources/Data/balance.json: aiModeProfiles.goals.Capture</t>
        </is>
      </c>
      <c r="F3" t="inlineStr">
        <is>
          <t>"capture"</t>
        </is>
      </c>
    </row>
    <row r="4">
      <c r="A4" t="inlineStr">
        <is>
          <t>goal.Destroy</t>
        </is>
      </c>
      <c r="B4" t="inlineStr">
        <is>
          <t>goal</t>
        </is>
      </c>
      <c r="C4" t="inlineStr">
        <is>
          <t>Destroy</t>
        </is>
      </c>
      <c r="D4" t="inlineStr">
        <is>
          <t>capture</t>
        </is>
      </c>
      <c r="E4" t="inlineStr">
        <is>
          <t>Assets/MachineBrigade/Resources/Data/balance.json: aiModeProfiles.goals.Destroy</t>
        </is>
      </c>
      <c r="F4" t="inlineStr">
        <is>
          <t>"capture"</t>
        </is>
      </c>
    </row>
    <row r="5">
      <c r="A5" t="inlineStr">
        <is>
          <t>goal.Duel</t>
        </is>
      </c>
      <c r="B5" t="inlineStr">
        <is>
          <t>goal</t>
        </is>
      </c>
      <c r="C5" t="inlineStr">
        <is>
          <t>Duel</t>
        </is>
      </c>
      <c r="D5" t="inlineStr">
        <is>
          <t>capture</t>
        </is>
      </c>
      <c r="E5" t="inlineStr">
        <is>
          <t>Assets/MachineBrigade/Resources/Data/balance.json: aiModeProfiles.goals.Duel</t>
        </is>
      </c>
      <c r="F5" t="inlineStr">
        <is>
          <t>"capture"</t>
        </is>
      </c>
    </row>
    <row r="6">
      <c r="A6" t="inlineStr">
        <is>
          <t>goal.Escort</t>
        </is>
      </c>
      <c r="B6" t="inlineStr">
        <is>
          <t>goal</t>
        </is>
      </c>
      <c r="C6" t="inlineStr">
        <is>
          <t>Escort</t>
        </is>
      </c>
      <c r="D6" t="inlineStr">
        <is>
          <t>escort</t>
        </is>
      </c>
      <c r="E6" t="inlineStr">
        <is>
          <t>Assets/MachineBrigade/Resources/Data/balance.json: aiModeProfiles.goals.Escort</t>
        </is>
      </c>
      <c r="F6" t="inlineStr">
        <is>
          <t>"escort"</t>
        </is>
      </c>
    </row>
    <row r="7">
      <c r="A7" t="inlineStr">
        <is>
          <t>goal.Evacuate</t>
        </is>
      </c>
      <c r="B7" t="inlineStr">
        <is>
          <t>goal</t>
        </is>
      </c>
      <c r="C7" t="inlineStr">
        <is>
          <t>Evacuate</t>
        </is>
      </c>
      <c r="D7" t="inlineStr">
        <is>
          <t>escort</t>
        </is>
      </c>
      <c r="E7" t="inlineStr">
        <is>
          <t>Assets/MachineBrigade/Resources/Data/balance.json: aiModeProfiles.goals.Evacuate</t>
        </is>
      </c>
      <c r="F7" t="inlineStr">
        <is>
          <t>"escort"</t>
        </is>
      </c>
    </row>
    <row r="8">
      <c r="A8" t="inlineStr">
        <is>
          <t>goal.Hold</t>
        </is>
      </c>
      <c r="B8" t="inlineStr">
        <is>
          <t>goal</t>
        </is>
      </c>
      <c r="C8" t="inlineStr">
        <is>
          <t>Hold</t>
        </is>
      </c>
      <c r="D8" t="inlineStr">
        <is>
          <t>hold</t>
        </is>
      </c>
      <c r="E8" t="inlineStr">
        <is>
          <t>Assets/MachineBrigade/Resources/Data/balance.json: aiModeProfiles.goals.Hold</t>
        </is>
      </c>
      <c r="F8" t="inlineStr">
        <is>
          <t>"hold"</t>
        </is>
      </c>
    </row>
    <row r="9">
      <c r="A9" t="inlineStr">
        <is>
          <t>goal.Hunt</t>
        </is>
      </c>
      <c r="B9" t="inlineStr">
        <is>
          <t>goal</t>
        </is>
      </c>
      <c r="C9" t="inlineStr">
        <is>
          <t>Hunt</t>
        </is>
      </c>
      <c r="D9" t="inlineStr">
        <is>
          <t>hunt</t>
        </is>
      </c>
      <c r="E9" t="inlineStr">
        <is>
          <t>Assets/MachineBrigade/Resources/Data/balance.json: aiModeProfiles.goals.Hunt</t>
        </is>
      </c>
      <c r="F9" t="inlineStr">
        <is>
          <t>"hunt"</t>
        </is>
      </c>
    </row>
    <row r="10">
      <c r="A10" t="inlineStr">
        <is>
          <t>goal.Intercept</t>
        </is>
      </c>
      <c r="B10" t="inlineStr">
        <is>
          <t>goal</t>
        </is>
      </c>
      <c r="C10" t="inlineStr">
        <is>
          <t>Intercept</t>
        </is>
      </c>
      <c r="D10" t="inlineStr">
        <is>
          <t>hunt</t>
        </is>
      </c>
      <c r="E10" t="inlineStr">
        <is>
          <t>Assets/MachineBrigade/Resources/Data/balance.json: aiModeProfiles.goals.Intercept</t>
        </is>
      </c>
      <c r="F10" t="inlineStr">
        <is>
          <t>"hunt"</t>
        </is>
      </c>
    </row>
    <row r="11">
      <c r="A11" t="inlineStr">
        <is>
          <t>goal.Outpost</t>
        </is>
      </c>
      <c r="B11" t="inlineStr">
        <is>
          <t>goal</t>
        </is>
      </c>
      <c r="C11" t="inlineStr">
        <is>
          <t>Outpost</t>
        </is>
      </c>
      <c r="D11" t="inlineStr">
        <is>
          <t>outpost</t>
        </is>
      </c>
      <c r="E11" t="inlineStr">
        <is>
          <t>Assets/MachineBrigade/Resources/Data/balance.json: aiModeProfiles.goals.Outpost</t>
        </is>
      </c>
      <c r="F11" t="inlineStr">
        <is>
          <t>"outpost"</t>
        </is>
      </c>
    </row>
    <row r="12">
      <c r="A12" t="inlineStr">
        <is>
          <t>goal.Protect</t>
        </is>
      </c>
      <c r="B12" t="inlineStr">
        <is>
          <t>goal</t>
        </is>
      </c>
      <c r="C12" t="inlineStr">
        <is>
          <t>Protect</t>
        </is>
      </c>
      <c r="D12" t="inlineStr">
        <is>
          <t>protect</t>
        </is>
      </c>
      <c r="E12" t="inlineStr">
        <is>
          <t>Assets/MachineBrigade/Resources/Data/balance.json: aiModeProfiles.goals.Protect</t>
        </is>
      </c>
      <c r="F12" t="inlineStr">
        <is>
          <t>"protect"</t>
        </is>
      </c>
    </row>
    <row r="13">
      <c r="A13" t="inlineStr">
        <is>
          <t>goal.Recon</t>
        </is>
      </c>
      <c r="B13" t="inlineStr">
        <is>
          <t>goal</t>
        </is>
      </c>
      <c r="C13" t="inlineStr">
        <is>
          <t>Recon</t>
        </is>
      </c>
      <c r="D13" t="inlineStr">
        <is>
          <t>recon</t>
        </is>
      </c>
      <c r="E13" t="inlineStr">
        <is>
          <t>Assets/MachineBrigade/Resources/Data/balance.json: aiModeProfiles.goals.Recon</t>
        </is>
      </c>
      <c r="F13" t="inlineStr">
        <is>
          <t>"recon"</t>
        </is>
      </c>
    </row>
    <row r="14">
      <c r="A14" t="inlineStr">
        <is>
          <t>goal.Relieve</t>
        </is>
      </c>
      <c r="B14" t="inlineStr">
        <is>
          <t>goal</t>
        </is>
      </c>
      <c r="C14" t="inlineStr">
        <is>
          <t>Relieve</t>
        </is>
      </c>
      <c r="D14" t="inlineStr">
        <is>
          <t>relieve</t>
        </is>
      </c>
      <c r="E14" t="inlineStr">
        <is>
          <t>Assets/MachineBrigade/Resources/Data/balance.json: aiModeProfiles.goals.Relieve</t>
        </is>
      </c>
      <c r="F14" t="inlineStr">
        <is>
          <t>"relieve"</t>
        </is>
      </c>
    </row>
    <row r="15">
      <c r="A15" t="inlineStr">
        <is>
          <t>goal.ShootDown</t>
        </is>
      </c>
      <c r="B15" t="inlineStr">
        <is>
          <t>goal</t>
        </is>
      </c>
      <c r="C15" t="inlineStr">
        <is>
          <t>ShootDown</t>
        </is>
      </c>
      <c r="D15" t="inlineStr">
        <is>
          <t>shootdown</t>
        </is>
      </c>
      <c r="E15" t="inlineStr">
        <is>
          <t>Assets/MachineBrigade/Resources/Data/balance.json: aiModeProfiles.goals.ShootDown</t>
        </is>
      </c>
      <c r="F15" t="inlineStr">
        <is>
          <t>"shootdown"</t>
        </is>
      </c>
    </row>
    <row r="16">
      <c r="A16" t="inlineStr">
        <is>
          <t>goal.Survive</t>
        </is>
      </c>
      <c r="B16" t="inlineStr">
        <is>
          <t>goal</t>
        </is>
      </c>
      <c r="C16" t="inlineStr">
        <is>
          <t>Survive</t>
        </is>
      </c>
      <c r="D16" t="inlineStr">
        <is>
          <t>hold</t>
        </is>
      </c>
      <c r="E16" t="inlineStr">
        <is>
          <t>Assets/MachineBrigade/Resources/Data/balance.json: aiModeProfiles.goals.Survive</t>
        </is>
      </c>
      <c r="F16" t="inlineStr">
        <is>
          <t>"hold"</t>
        </is>
      </c>
    </row>
    <row r="17">
      <c r="A17" t="inlineStr">
        <is>
          <t>mode.Assault</t>
        </is>
      </c>
      <c r="B17" t="inlineStr">
        <is>
          <t>mode</t>
        </is>
      </c>
      <c r="C17" t="inlineStr">
        <is>
          <t>Assault</t>
        </is>
      </c>
      <c r="D17" t="inlineStr">
        <is>
          <t>assault</t>
        </is>
      </c>
      <c r="E17" t="inlineStr">
        <is>
          <t>Assets/MachineBrigade/Resources/Data/balance.json: aiModeProfiles.modes.Assault</t>
        </is>
      </c>
      <c r="F17" t="inlineStr">
        <is>
          <t>"assault"</t>
        </is>
      </c>
    </row>
    <row r="18">
      <c r="A18" t="inlineStr">
        <is>
          <t>mode.BossRush</t>
        </is>
      </c>
      <c r="B18" t="inlineStr">
        <is>
          <t>mode</t>
        </is>
      </c>
      <c r="C18" t="inlineStr">
        <is>
          <t>BossRush</t>
        </is>
      </c>
      <c r="D18" t="inlineStr">
        <is>
          <t>bossrush</t>
        </is>
      </c>
      <c r="E18" t="inlineStr">
        <is>
          <t>Assets/MachineBrigade/Resources/Data/balance.json: aiModeProfiles.modes.BossRush</t>
        </is>
      </c>
      <c r="F18" t="inlineStr">
        <is>
          <t>"bossrush"</t>
        </is>
      </c>
    </row>
    <row r="19">
      <c r="A19" t="inlineStr">
        <is>
          <t>mode.Conquest</t>
        </is>
      </c>
      <c r="B19" t="inlineStr">
        <is>
          <t>mode</t>
        </is>
      </c>
      <c r="C19" t="inlineStr">
        <is>
          <t>Conquest</t>
        </is>
      </c>
      <c r="D19" t="inlineStr">
        <is>
          <t>conquest</t>
        </is>
      </c>
      <c r="E19" t="inlineStr">
        <is>
          <t>Assets/MachineBrigade/Resources/Data/balance.json: aiModeProfiles.modes.Conquest</t>
        </is>
      </c>
      <c r="F19" t="inlineStr">
        <is>
          <t>"conquest"</t>
        </is>
      </c>
    </row>
    <row r="20">
      <c r="A20" t="inlineStr">
        <is>
          <t>mode.Deathmatch</t>
        </is>
      </c>
      <c r="B20" t="inlineStr">
        <is>
          <t>mode</t>
        </is>
      </c>
      <c r="C20" t="inlineStr">
        <is>
          <t>Deathmatch</t>
        </is>
      </c>
      <c r="D20" t="inlineStr">
        <is>
          <t>deathmatch</t>
        </is>
      </c>
      <c r="E20" t="inlineStr">
        <is>
          <t>Assets/MachineBrigade/Resources/Data/balance.json: aiModeProfiles.modes.Deathmatch</t>
        </is>
      </c>
      <c r="F20" t="inlineStr">
        <is>
          <t>"deathmatch"</t>
        </is>
      </c>
    </row>
    <row r="21">
      <c r="A21" t="inlineStr">
        <is>
          <t>mode.Defend</t>
        </is>
      </c>
      <c r="B21" t="inlineStr">
        <is>
          <t>mode</t>
        </is>
      </c>
      <c r="C21" t="inlineStr">
        <is>
          <t>Defend</t>
        </is>
      </c>
      <c r="D21" t="inlineStr">
        <is>
          <t>defend</t>
        </is>
      </c>
      <c r="E21" t="inlineStr">
        <is>
          <t>Assets/MachineBrigade/Resources/Data/balance.json: aiModeProfiles.modes.Defend</t>
        </is>
      </c>
      <c r="F21" t="inlineStr">
        <is>
          <t>"defend"</t>
        </is>
      </c>
    </row>
    <row r="22">
      <c r="A22" t="inlineStr">
        <is>
          <t>mode.Endless</t>
        </is>
      </c>
      <c r="B22" t="inlineStr">
        <is>
          <t>mode</t>
        </is>
      </c>
      <c r="C22" t="inlineStr">
        <is>
          <t>Endless</t>
        </is>
      </c>
      <c r="D22" t="inlineStr">
        <is>
          <t>defend</t>
        </is>
      </c>
      <c r="E22" t="inlineStr">
        <is>
          <t>Assets/MachineBrigade/Resources/Data/balance.json: aiModeProfiles.modes.Endless</t>
        </is>
      </c>
      <c r="F22" t="inlineStr">
        <is>
          <t>"defend"</t>
        </is>
      </c>
    </row>
    <row r="23">
      <c r="A23" t="inlineStr">
        <is>
          <t>mode.FixedDeck</t>
        </is>
      </c>
      <c r="B23" t="inlineStr">
        <is>
          <t>mode</t>
        </is>
      </c>
      <c r="C23" t="inlineStr">
        <is>
          <t>FixedDeck</t>
        </is>
      </c>
      <c r="D23" t="inlineStr">
        <is>
          <t>fixed_deck</t>
        </is>
      </c>
      <c r="E23" t="inlineStr">
        <is>
          <t>Assets/MachineBrigade/Resources/Data/balance.json: aiModeProfiles.modes.FixedDeck</t>
        </is>
      </c>
      <c r="F23" t="inlineStr">
        <is>
          <t>"fixed_deck"</t>
        </is>
      </c>
    </row>
    <row r="24">
      <c r="A24" t="inlineStr">
        <is>
          <t>mode.KingOfTheHill</t>
        </is>
      </c>
      <c r="B24" t="inlineStr">
        <is>
          <t>mode</t>
        </is>
      </c>
      <c r="C24" t="inlineStr">
        <is>
          <t>KingOfTheHill</t>
        </is>
      </c>
      <c r="D24" t="inlineStr">
        <is>
          <t>hill</t>
        </is>
      </c>
      <c r="E24" t="inlineStr">
        <is>
          <t>Assets/MachineBrigade/Resources/Data/balance.json: aiModeProfiles.modes.KingOfTheHill</t>
        </is>
      </c>
      <c r="F24" t="inlineStr">
        <is>
          <t>"hill"</t>
        </is>
      </c>
    </row>
    <row r="25">
      <c r="A25" t="inlineStr">
        <is>
          <t>mode.Operation</t>
        </is>
      </c>
      <c r="B25" t="inlineStr">
        <is>
          <t>mode</t>
        </is>
      </c>
      <c r="C25" t="inlineStr">
        <is>
          <t>Operation</t>
        </is>
      </c>
      <c r="D25" t="inlineStr">
        <is>
          <t>operation</t>
        </is>
      </c>
      <c r="E25" t="inlineStr">
        <is>
          <t>Assets/MachineBrigade/Resources/Data/balance.json: aiModeProfiles.modes.Operation</t>
        </is>
      </c>
      <c r="F25" t="inlineStr">
        <is>
          <t>"operation"</t>
        </is>
      </c>
    </row>
    <row r="26">
      <c r="A26" t="inlineStr">
        <is>
          <t>mode.Sandbox</t>
        </is>
      </c>
      <c r="B26" t="inlineStr">
        <is>
          <t>mode</t>
        </is>
      </c>
      <c r="C26" t="inlineStr">
        <is>
          <t>Sandbox</t>
        </is>
      </c>
      <c r="D26" t="inlineStr">
        <is>
          <t>conquest</t>
        </is>
      </c>
      <c r="E26" t="inlineStr">
        <is>
          <t>Assets/MachineBrigade/Resources/Data/balance.json: aiModeProfiles.modes.Sandbox</t>
        </is>
      </c>
      <c r="F26" t="inlineStr">
        <is>
          <t>"conquest"</t>
        </is>
      </c>
    </row>
    <row r="27">
      <c r="A27" t="inlineStr">
        <is>
          <t>mode.Showdown</t>
        </is>
      </c>
      <c r="B27" t="inlineStr">
        <is>
          <t>mode</t>
        </is>
      </c>
      <c r="C27" t="inlineStr">
        <is>
          <t>Showdown</t>
        </is>
      </c>
      <c r="D27" t="inlineStr">
        <is>
          <t>showdown</t>
        </is>
      </c>
      <c r="E27" t="inlineStr">
        <is>
          <t>Assets/MachineBrigade/Resources/Data/balance.json: aiModeProfiles.modes.Showdown</t>
        </is>
      </c>
      <c r="F27" t="inlineStr">
        <is>
          <t>"showdown"</t>
        </is>
      </c>
    </row>
    <row r="28">
      <c r="A28" t="inlineStr">
        <is>
          <t>mode.Siege</t>
        </is>
      </c>
      <c r="B28" t="inlineStr">
        <is>
          <t>mode</t>
        </is>
      </c>
      <c r="C28" t="inlineStr">
        <is>
          <t>Siege</t>
        </is>
      </c>
      <c r="D28" t="inlineStr">
        <is>
          <t>siege</t>
        </is>
      </c>
      <c r="E28" t="inlineStr">
        <is>
          <t>Assets/MachineBrigade/Resources/Data/balance.json: aiModeProfiles.modes.Siege</t>
        </is>
      </c>
      <c r="F28" t="inlineStr">
        <is>
          <t>"siege"</t>
        </is>
      </c>
    </row>
    <row r="29">
      <c r="A29" t="inlineStr">
        <is>
          <t>mode.Survival</t>
        </is>
      </c>
      <c r="B29" t="inlineStr">
        <is>
          <t>mode</t>
        </is>
      </c>
      <c r="C29" t="inlineStr">
        <is>
          <t>Survival</t>
        </is>
      </c>
      <c r="D29" t="inlineStr">
        <is>
          <t>survival</t>
        </is>
      </c>
      <c r="E29" t="inlineStr">
        <is>
          <t>Assets/MachineBrigade/Resources/Data/balance.json: aiModeProfiles.modes.Survival</t>
        </is>
      </c>
      <c r="F29" t="inlineStr">
        <is>
          <t>"survival"</t>
        </is>
      </c>
    </row>
    <row r="30">
      <c r="A30" t="inlineStr">
        <is>
          <t>mode.Weekly</t>
        </is>
      </c>
      <c r="B30" t="inlineStr">
        <is>
          <t>mode</t>
        </is>
      </c>
      <c r="C30" t="inlineStr">
        <is>
          <t>Weekly</t>
        </is>
      </c>
      <c r="D30" t="inlineStr">
        <is>
          <t>siege</t>
        </is>
      </c>
      <c r="E30" t="inlineStr">
        <is>
          <t>Assets/MachineBrigade/Resources/Data/balance.json: aiModeProfiles.modes.Weekly</t>
        </is>
      </c>
      <c r="F30" t="inlineStr">
        <is>
          <t>"siege"</t>
        </is>
      </c>
    </row>
  </sheetData>
  <autoFilter ref="A1:F30"/>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60" customWidth="1" min="3" max="3"/>
    <col width="43" customWidth="1" min="4" max="4"/>
    <col width="12" customWidth="1" min="5" max="5"/>
    <col width="18" customWidth="1" min="6" max="6"/>
    <col width="17" customWidth="1" min="7" max="7"/>
    <col width="19" customWidth="1" min="8" max="8"/>
    <col width="18" customWidth="1" min="9" max="9"/>
    <col width="60" customWidth="1" min="10" max="10"/>
    <col width="60" customWidth="1" min="11" max="11"/>
  </cols>
  <sheetData>
    <row r="1">
      <c r="A1" s="1" t="inlineStr">
        <is>
          <t>id</t>
        </is>
      </c>
      <c r="B1" s="1" t="inlineStr">
        <is>
          <t>chien_thuat_ua_thich</t>
        </is>
      </c>
      <c r="C1" s="1" t="inlineStr">
        <is>
          <t>chien_dich_deck</t>
        </is>
      </c>
      <c r="D1" s="1" t="inlineStr">
        <is>
          <t>chien_dich_supports</t>
        </is>
      </c>
      <c r="E1" s="1" t="inlineStr">
        <is>
          <t>noi_tai</t>
        </is>
      </c>
      <c r="F1" s="1" t="inlineStr">
        <is>
          <t>can_bang_deck</t>
        </is>
      </c>
      <c r="G1" s="1" t="inlineStr">
        <is>
          <t>can_bang_elites</t>
        </is>
      </c>
      <c r="H1" s="1" t="inlineStr">
        <is>
          <t>chien_dich_stance</t>
        </is>
      </c>
      <c r="I1" s="1" t="inlineStr">
        <is>
          <t>chien_dich_style</t>
        </is>
      </c>
      <c r="J1" s="1" t="inlineStr">
        <is>
          <t>nguon</t>
        </is>
      </c>
      <c r="K1" s="1" t="inlineStr">
        <is>
          <t>raw_json</t>
        </is>
      </c>
    </row>
    <row r="2">
      <c r="A2" t="inlineStr">
        <is>
          <t>aurel</t>
        </is>
      </c>
      <c r="B2" t="inlineStr">
        <is>
          <t>all_out</t>
        </is>
      </c>
      <c r="C2" t="inlineStr">
        <is>
          <t>heavy_tank;ifv;railgun_truck;attack_helicopter;long_sam;heavy_rocket_artillery;titan_tank;fighter_jet</t>
        </is>
      </c>
      <c r="D2" t="inlineStr">
        <is>
          <t>cruise_missile;airstrike;napalm_strike</t>
        </is>
      </c>
      <c r="E2" t="inlineStr">
        <is>
          <t>gen.aurel</t>
        </is>
      </c>
      <c r="H2" t="inlineStr">
        <is>
          <t>Attack</t>
        </is>
      </c>
      <c r="I2" t="inlineStr">
        <is>
          <t>aurel</t>
        </is>
      </c>
      <c r="J2" t="inlineStr">
        <is>
          <t>Assets/MachineBrigade/Resources/Data/campaign.json: generals / Assets/MachineBrigade/Resources/Data/balance.json: generals, aiBehaviour.generals</t>
        </is>
      </c>
      <c r="K2" t="inlineStr">
        <is>
          <t>{"id":"aurel","deck":["heavy_tank","ifv","railgun_truck","attack_helicopter","long_sam","heavy_rocket_artillery","titan_tank","fighter_jet"],"supports":["cruise_missile","airstrike","napalm_strike"],"style":"aurel","stance":"Attack"}</t>
        </is>
      </c>
    </row>
    <row r="3">
      <c r="A3" t="inlineStr">
        <is>
          <t>brandt</t>
        </is>
      </c>
      <c r="B3" t="inlineStr">
        <is>
          <t>depth</t>
        </is>
      </c>
      <c r="E3" t="inlineStr">
        <is>
          <t>gen.brandt</t>
        </is>
      </c>
      <c r="J3" t="inlineStr">
        <is>
          <t>Assets/MachineBrigade/Resources/Data/campaign.json: generals / Assets/MachineBrigade/Resources/Data/balance.json: generals, aiBehaviour.generals</t>
        </is>
      </c>
      <c r="K3" t="inlineStr"/>
    </row>
    <row r="4">
      <c r="A4" t="inlineStr">
        <is>
          <t>default</t>
        </is>
      </c>
      <c r="B4" t="inlineStr">
        <is>
          <t>balanced</t>
        </is>
      </c>
      <c r="E4" t="inlineStr">
        <is>
          <t>gen.default</t>
        </is>
      </c>
      <c r="J4" t="inlineStr">
        <is>
          <t>Assets/MachineBrigade/Resources/Data/campaign.json: generals / Assets/MachineBrigade/Resources/Data/balance.json: generals, aiBehaviour.generals</t>
        </is>
      </c>
      <c r="K4" t="inlineStr"/>
    </row>
    <row r="5">
      <c r="A5" t="inlineStr">
        <is>
          <t>hung</t>
        </is>
      </c>
      <c r="C5" t="inlineStr">
        <is>
          <t>main_battle_tank;heavy_tank;titan_tank;ifv;aa_vehicle;mlrs;tank_destroyer</t>
        </is>
      </c>
      <c r="D5" t="inlineStr">
        <is>
          <t>artillery_barrage;airstrike;cruise_missile</t>
        </is>
      </c>
      <c r="E5" t="inlineStr">
        <is>
          <t>gen.hung</t>
        </is>
      </c>
      <c r="H5" t="inlineStr">
        <is>
          <t>Attack</t>
        </is>
      </c>
      <c r="I5" t="inlineStr">
        <is>
          <t>aurel</t>
        </is>
      </c>
      <c r="J5" t="inlineStr">
        <is>
          <t>Assets/MachineBrigade/Resources/Data/campaign.json: generals / Assets/MachineBrigade/Resources/Data/balance.json: generals, aiBehaviour.generals</t>
        </is>
      </c>
      <c r="K5" t="inlineStr">
        <is>
          <t>{"id":"hung","deck":["main_battle_tank","heavy_tank","titan_tank","ifv","aa_vehicle","mlrs","tank_destroyer"],"supports":["artillery_barrage","airstrike","cruise_missile"],"style":"aurel","stance":"Attack"}</t>
        </is>
      </c>
    </row>
    <row r="6">
      <c r="A6" t="inlineStr">
        <is>
          <t>kessler</t>
        </is>
      </c>
      <c r="B6" t="inlineStr">
        <is>
          <t>attrition</t>
        </is>
      </c>
      <c r="C6" t="inlineStr">
        <is>
          <t>wheeled_gun;ifv;main_battle_tank;heavy_tank;sam_launcher;fpv_carrier;mine_layer;mlrs</t>
        </is>
      </c>
      <c r="D6" t="inlineStr">
        <is>
          <t>remote_mines;artillery_barrage;repair_drop</t>
        </is>
      </c>
      <c r="E6" t="inlineStr">
        <is>
          <t>gen.kessler</t>
        </is>
      </c>
      <c r="H6" t="inlineStr">
        <is>
          <t>Defend</t>
        </is>
      </c>
      <c r="I6" t="inlineStr">
        <is>
          <t>kessler</t>
        </is>
      </c>
      <c r="J6" t="inlineStr">
        <is>
          <t>Assets/MachineBrigade/Resources/Data/campaign.json: generals / Assets/MachineBrigade/Resources/Data/balance.json: generals, aiBehaviour.generals</t>
        </is>
      </c>
      <c r="K6" t="inlineStr">
        <is>
          <t>{"id":"kessler","deck":["wheeled_gun","ifv","main_battle_tank","heavy_tank","sam_launcher","fpv_carrier","mine_layer","mlrs"],"supports":["remote_mines","artillery_barrage","repair_drop"],"style":"kessler","stance":"Defend"}</t>
        </is>
      </c>
    </row>
    <row r="7">
      <c r="A7" t="inlineStr">
        <is>
          <t>orlov</t>
        </is>
      </c>
      <c r="B7" t="inlineStr">
        <is>
          <t>firepower</t>
        </is>
      </c>
      <c r="C7" t="inlineStr">
        <is>
          <t>mlrs;artillery;mortar_carrier;heavy_rocket_artillery;sam_launcher;main_battle_tank;aa_vehicle;command_vehicle</t>
        </is>
      </c>
      <c r="D7" t="inlineStr">
        <is>
          <t>artillery_barrage;cruise_missile;airstrike</t>
        </is>
      </c>
      <c r="E7" t="inlineStr">
        <is>
          <t>gen.orlov</t>
        </is>
      </c>
      <c r="G7" t="inlineStr">
        <is>
          <t>Artillery</t>
        </is>
      </c>
      <c r="H7" t="inlineStr">
        <is>
          <t>Defend</t>
        </is>
      </c>
      <c r="I7" t="inlineStr">
        <is>
          <t>orlov</t>
        </is>
      </c>
      <c r="J7" t="inlineStr">
        <is>
          <t>Assets/MachineBrigade/Resources/Data/campaign.json: generals / Assets/MachineBrigade/Resources/Data/balance.json: generals, aiBehaviour.generals</t>
        </is>
      </c>
      <c r="K7" t="inlineStr">
        <is>
          <t>{"id":"orlov","deck":["mlrs","artillery","mortar_carrier","heavy_rocket_artillery","sam_launcher","main_battle_tank","aa_vehicle","command_vehicle"],"supports":["artillery_barrage","cruise_missile","airstrike"],"style":"orlov","stance":"Defend"}</t>
        </is>
      </c>
    </row>
    <row r="8">
      <c r="A8" t="inlineStr">
        <is>
          <t>quaden</t>
        </is>
      </c>
      <c r="C8" t="inlineStr">
        <is>
          <t>attack_helicopter;attack_jet;fighter_jet;strike_drone;aa_vehicle;main_battle_tank;sam_launcher</t>
        </is>
      </c>
      <c r="D8" t="inlineStr">
        <is>
          <t>airstrike;cruise_missile;napalm_strike</t>
        </is>
      </c>
      <c r="E8" t="inlineStr">
        <is>
          <t>gen.quaden</t>
        </is>
      </c>
      <c r="G8" t="inlineStr">
        <is>
          <t>Air</t>
        </is>
      </c>
      <c r="H8" t="inlineStr">
        <is>
          <t>Attack</t>
        </is>
      </c>
      <c r="I8" t="inlineStr">
        <is>
          <t>quaden</t>
        </is>
      </c>
      <c r="J8" t="inlineStr">
        <is>
          <t>Assets/MachineBrigade/Resources/Data/campaign.json: generals / Assets/MachineBrigade/Resources/Data/balance.json: generals, aiBehaviour.generals</t>
        </is>
      </c>
      <c r="K8" t="inlineStr">
        <is>
          <t>{"id":"quaden","deck":["attack_helicopter","attack_jet","fighter_jet","strike_drone","aa_vehicle","main_battle_tank","sam_launcher"],"supports":["airstrike","cruise_missile","napalm_strike"],"style":"quaden","stance":"Attack"}</t>
        </is>
      </c>
    </row>
    <row r="9">
      <c r="A9" t="inlineStr">
        <is>
          <t>sen</t>
        </is>
      </c>
      <c r="C9" t="inlineStr">
        <is>
          <t>strike_drone;fpv_carrier;recon_drone;ew_jammer;ifv;main_battle_tank;aa_vehicle</t>
        </is>
      </c>
      <c r="D9" t="inlineStr">
        <is>
          <t>airstrike;cruise_missile;repair_drop</t>
        </is>
      </c>
      <c r="E9" t="inlineStr">
        <is>
          <t>gen.sen</t>
        </is>
      </c>
      <c r="G9" t="inlineStr">
        <is>
          <t>Drone</t>
        </is>
      </c>
      <c r="H9" t="inlineStr">
        <is>
          <t>Attack</t>
        </is>
      </c>
      <c r="I9" t="inlineStr">
        <is>
          <t>sen</t>
        </is>
      </c>
      <c r="J9" t="inlineStr">
        <is>
          <t>Assets/MachineBrigade/Resources/Data/campaign.json: generals / Assets/MachineBrigade/Resources/Data/balance.json: generals, aiBehaviour.generals</t>
        </is>
      </c>
      <c r="K9" t="inlineStr">
        <is>
          <t>{"id":"sen","deck":["strike_drone","fpv_carrier","recon_drone","ew_jammer","ifv","main_battle_tank","aa_vehicle"],"supports":["airstrike","cruise_missile","repair_drop"],"style":"sen","stance":"Attack"}</t>
        </is>
      </c>
    </row>
    <row r="10">
      <c r="A10" t="inlineStr">
        <is>
          <t>thorne</t>
        </is>
      </c>
      <c r="B10" t="inlineStr">
        <is>
          <t>balanced</t>
        </is>
      </c>
      <c r="E10" t="inlineStr">
        <is>
          <t>gen.thorne</t>
        </is>
      </c>
      <c r="J10" t="inlineStr">
        <is>
          <t>Assets/MachineBrigade/Resources/Data/campaign.json: generals / Assets/MachineBrigade/Resources/Data/balance.json: generals, aiBehaviour.generals</t>
        </is>
      </c>
      <c r="K10" t="inlineStr"/>
    </row>
    <row r="11">
      <c r="A11" t="inlineStr">
        <is>
          <t>varga</t>
        </is>
      </c>
      <c r="B11" t="inlineStr">
        <is>
          <t>breakthrough</t>
        </is>
      </c>
      <c r="C11" t="inlineStr">
        <is>
          <t>light_tank;main_battle_tank;heavy_tank;tank_destroyer;ifv;flame_tank;twin_tank;fpv_carrier</t>
        </is>
      </c>
      <c r="D11" t="inlineStr">
        <is>
          <t>artillery_barrage;airstrike;repair_drop</t>
        </is>
      </c>
      <c r="E11" t="inlineStr">
        <is>
          <t>gen.varga</t>
        </is>
      </c>
      <c r="F11" t="inlineStr">
        <is>
          <t>armored_bulldozer</t>
        </is>
      </c>
      <c r="G11" t="inlineStr">
        <is>
          <t>Tank;Heavy</t>
        </is>
      </c>
      <c r="H11" t="inlineStr">
        <is>
          <t>Attack</t>
        </is>
      </c>
      <c r="I11" t="inlineStr">
        <is>
          <t>varga</t>
        </is>
      </c>
      <c r="J11" t="inlineStr">
        <is>
          <t>Assets/MachineBrigade/Resources/Data/campaign.json: generals / Assets/MachineBrigade/Resources/Data/balance.json: generals, aiBehaviour.generals</t>
        </is>
      </c>
      <c r="K11" t="inlineStr">
        <is>
          <t>{"id":"varga","deck":["light_tank","main_battle_tank","heavy_tank","tank_destroyer","ifv","flame_tank","twin_tank","fpv_carrier"],"supports":["artillery_barrage","airstrike","repair_drop"],"style":"varga","stance":"Attack"}</t>
        </is>
      </c>
    </row>
    <row r="12">
      <c r="A12" t="inlineStr">
        <is>
          <t>venn</t>
        </is>
      </c>
      <c r="B12" t="inlineStr">
        <is>
          <t>dispersal</t>
        </is>
      </c>
      <c r="E12" t="inlineStr">
        <is>
          <t>gen.venn</t>
        </is>
      </c>
      <c r="J12" t="inlineStr">
        <is>
          <t>Assets/MachineBrigade/Resources/Data/campaign.json: generals / Assets/MachineBrigade/Resources/Data/balance.json: generals, aiBehaviour.generals</t>
        </is>
      </c>
      <c r="K12" t="inlineStr"/>
    </row>
    <row r="13">
      <c r="A13" t="inlineStr">
        <is>
          <t>wolff</t>
        </is>
      </c>
      <c r="B13" t="inlineStr">
        <is>
          <t>air_superiority</t>
        </is>
      </c>
      <c r="E13" t="inlineStr">
        <is>
          <t>gen.wolff</t>
        </is>
      </c>
      <c r="J13" t="inlineStr">
        <is>
          <t>Assets/MachineBrigade/Resources/Data/campaign.json: generals / Assets/MachineBrigade/Resources/Data/balance.json: generals, aiBehaviour.generals</t>
        </is>
      </c>
      <c r="K13" t="inlineStr"/>
    </row>
  </sheetData>
  <autoFilter ref="A1:K13"/>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8" customWidth="1" min="2" max="2"/>
    <col width="19" customWidth="1" min="3" max="3"/>
    <col width="8" customWidth="1" min="4" max="4"/>
    <col width="8" customWidth="1" min="5" max="5"/>
    <col width="57" customWidth="1" min="6" max="6"/>
    <col width="8" customWidth="1" min="7" max="7"/>
    <col width="60" customWidth="1" min="8" max="8"/>
    <col width="8" customWidth="1" min="9" max="9"/>
    <col width="60" customWidth="1" min="10" max="10"/>
    <col width="60" customWidth="1" min="11" max="11"/>
  </cols>
  <sheetData>
    <row r="1">
      <c r="A1" s="1" t="inlineStr">
        <is>
          <t>id</t>
        </is>
      </c>
      <c r="B1" s="1" t="inlineStr">
        <is>
          <t>khoi</t>
        </is>
      </c>
      <c r="C1" s="1" t="inlineStr">
        <is>
          <t>tham_so</t>
        </is>
      </c>
      <c r="D1" s="1" t="inlineStr">
        <is>
          <t>bac</t>
        </is>
      </c>
      <c r="E1" s="1" t="inlineStr">
        <is>
          <t>max</t>
        </is>
      </c>
      <c r="F1" s="1" t="inlineStr">
        <is>
          <t>metric</t>
        </is>
      </c>
      <c r="G1" s="1" t="inlineStr">
        <is>
          <t>min</t>
        </is>
      </c>
      <c r="H1" s="1" t="inlineStr">
        <is>
          <t>reason</t>
        </is>
      </c>
      <c r="I1" s="1" t="inlineStr">
        <is>
          <t>value</t>
        </is>
      </c>
      <c r="J1" s="1" t="inlineStr">
        <is>
          <t>nguon</t>
        </is>
      </c>
      <c r="K1" s="1" t="inlineStr">
        <is>
          <t>raw_json</t>
        </is>
      </c>
    </row>
    <row r="2">
      <c r="A2" t="inlineStr">
        <is>
          <t>economy.airCap</t>
        </is>
      </c>
      <c r="B2" t="inlineStr">
        <is>
          <t>economy</t>
        </is>
      </c>
      <c r="C2" t="inlineStr">
        <is>
          <t>airCap</t>
        </is>
      </c>
      <c r="D2" t="inlineStr"/>
      <c r="E2" t="n">
        <v>6</v>
      </c>
      <c r="F2" t="inlineStr">
        <is>
          <t>FPS ở trần quân</t>
        </is>
      </c>
      <c r="G2" t="n">
        <v>6</v>
      </c>
      <c r="H2" t="inlineStr"/>
      <c r="I2" t="n">
        <v>6</v>
      </c>
      <c r="J2" t="inlineStr">
        <is>
          <t>Assets/MachineBrigade/Resources/Data/balance.json: ai.economy.airCap</t>
        </is>
      </c>
      <c r="K2" t="inlineStr">
        <is>
          <t>{"value":6.0,"min":6.0,"max":6.0,"metric":"FPS ở trần quân","reason":""}</t>
        </is>
      </c>
    </row>
    <row r="3">
      <c r="A3" t="inlineStr">
        <is>
          <t>economy.attackThreshold</t>
        </is>
      </c>
      <c r="B3" t="inlineStr">
        <is>
          <t>economy</t>
        </is>
      </c>
      <c r="C3" t="inlineStr">
        <is>
          <t>attackThreshold</t>
        </is>
      </c>
      <c r="D3" t="inlineStr"/>
      <c r="E3" t="n">
        <v>1.2</v>
      </c>
      <c r="F3" t="inlineStr">
        <is>
          <t>Tỷ lệ thời gian có giao tranh</t>
        </is>
      </c>
      <c r="G3" t="n">
        <v>1.2</v>
      </c>
      <c r="H3" t="inlineStr">
        <is>
          <t>Tỷ lệ sức mạnh ta / địch tối thiểu</t>
        </is>
      </c>
      <c r="I3" t="n">
        <v>1.2</v>
      </c>
      <c r="J3" t="inlineStr">
        <is>
          <t>Assets/MachineBrigade/Resources/Data/balance.json: ai.economy.attackThreshold</t>
        </is>
      </c>
      <c r="K3" t="inlineStr">
        <is>
          <t>{"value":1.2,"min":1.2,"max":1.2,"metric":"Tỷ lệ thời gian có giao tranh","reason":"Tỷ lệ sức mạnh ta / địch tối thiểu"}</t>
        </is>
      </c>
    </row>
    <row r="4">
      <c r="A4" t="inlineStr">
        <is>
          <t>economy.baseIncome</t>
        </is>
      </c>
      <c r="B4" t="inlineStr">
        <is>
          <t>economy</t>
        </is>
      </c>
      <c r="C4" t="inlineStr">
        <is>
          <t>baseIncome</t>
        </is>
      </c>
      <c r="D4" t="inlineStr"/>
      <c r="E4" t="n">
        <v>1</v>
      </c>
      <c r="F4" t="inlineStr">
        <is>
          <t>Số quân trung bình còn sống mỗi phe</t>
        </is>
      </c>
      <c r="G4" t="n">
        <v>1</v>
      </c>
      <c r="H4" t="inlineStr">
        <is>
          <t>Thu nhập khi chưa có cứ điểm</t>
        </is>
      </c>
      <c r="I4" t="n">
        <v>1</v>
      </c>
      <c r="J4" t="inlineStr">
        <is>
          <t>Assets/MachineBrigade/Resources/Data/balance.json: ai.economy.baseIncome</t>
        </is>
      </c>
      <c r="K4" t="inlineStr">
        <is>
          <t>{"value":1.0,"min":1.0,"max":1.0,"metric":"Số quân trung bình còn sống mỗi phe","reason":"Thu nhập khi chưa có cứ điểm"}</t>
        </is>
      </c>
    </row>
    <row r="5">
      <c r="A5" t="inlineStr">
        <is>
          <t>economy.escalation/0</t>
        </is>
      </c>
      <c r="B5" t="inlineStr">
        <is>
          <t>economy</t>
        </is>
      </c>
      <c r="C5" t="inlineStr">
        <is>
          <t>escalation</t>
        </is>
      </c>
      <c r="D5" t="n">
        <v>0</v>
      </c>
      <c r="E5" t="n">
        <v>30</v>
      </c>
      <c r="F5" t="inlineStr">
        <is>
          <t>Tỷ lệ thời gian có giao tranh</t>
        </is>
      </c>
      <c r="G5" t="n">
        <v>30</v>
      </c>
      <c r="H5" t="inlineStr">
        <is>
          <t>Các bậc sau: khoảng 50, 70, 90 s (bảng luật bên dưới)</t>
        </is>
      </c>
      <c r="I5" t="n">
        <v>30</v>
      </c>
      <c r="J5" t="inlineStr">
        <is>
          <t>Assets/MachineBrigade/Resources/Data/balance.json: ai.economy.escalation[0]</t>
        </is>
      </c>
      <c r="K5" t="inlineStr">
        <is>
          <t>{"value":30.0,"min":30.0,"max":30.0,"metric":"Tỷ lệ thời gian có giao tranh","reason":"Các bậc sau: khoảng 50, 70, 90 s (bảng luật bên dưới)"}</t>
        </is>
      </c>
    </row>
    <row r="6">
      <c r="A6" t="inlineStr">
        <is>
          <t>economy.escalation/1</t>
        </is>
      </c>
      <c r="B6" t="inlineStr">
        <is>
          <t>economy</t>
        </is>
      </c>
      <c r="C6" t="inlineStr">
        <is>
          <t>escalation</t>
        </is>
      </c>
      <c r="D6" t="n">
        <v>1</v>
      </c>
      <c r="E6" t="n">
        <v>50</v>
      </c>
      <c r="F6" t="inlineStr">
        <is>
          <t>Tỷ lệ thời gian có giao tranh</t>
        </is>
      </c>
      <c r="G6" t="n">
        <v>50</v>
      </c>
      <c r="H6" t="inlineStr">
        <is>
          <t>Các bậc sau: khoảng 50, 70, 90 s (bảng luật bên dưới)</t>
        </is>
      </c>
      <c r="I6" t="n">
        <v>50</v>
      </c>
      <c r="J6" t="inlineStr">
        <is>
          <t>Assets/MachineBrigade/Resources/Data/balance.json: ai.economy.escalation[1]</t>
        </is>
      </c>
      <c r="K6" t="inlineStr">
        <is>
          <t>{"value":50.0,"min":50.0,"max":50.0,"metric":"Tỷ lệ thời gian có giao tranh","reason":"Các bậc sau: khoảng 50, 70, 90 s (bảng luật bên dưới)"}</t>
        </is>
      </c>
    </row>
    <row r="7">
      <c r="A7" t="inlineStr">
        <is>
          <t>economy.escalation/2</t>
        </is>
      </c>
      <c r="B7" t="inlineStr">
        <is>
          <t>economy</t>
        </is>
      </c>
      <c r="C7" t="inlineStr">
        <is>
          <t>escalation</t>
        </is>
      </c>
      <c r="D7" t="n">
        <v>2</v>
      </c>
      <c r="E7" t="n">
        <v>70</v>
      </c>
      <c r="F7" t="inlineStr">
        <is>
          <t>Tỷ lệ thời gian có giao tranh</t>
        </is>
      </c>
      <c r="G7" t="n">
        <v>70</v>
      </c>
      <c r="H7" t="inlineStr">
        <is>
          <t>Các bậc sau: khoảng 50, 70, 90 s (bảng luật bên dưới)</t>
        </is>
      </c>
      <c r="I7" t="n">
        <v>70</v>
      </c>
      <c r="J7" t="inlineStr">
        <is>
          <t>Assets/MachineBrigade/Resources/Data/balance.json: ai.economy.escalation[2]</t>
        </is>
      </c>
      <c r="K7" t="inlineStr">
        <is>
          <t>{"value":70.0,"min":70.0,"max":70.0,"metric":"Tỷ lệ thời gian có giao tranh","reason":"Các bậc sau: khoảng 50, 70, 90 s (bảng luật bên dưới)"}</t>
        </is>
      </c>
    </row>
    <row r="8">
      <c r="A8" t="inlineStr">
        <is>
          <t>economy.escalation/3</t>
        </is>
      </c>
      <c r="B8" t="inlineStr">
        <is>
          <t>economy</t>
        </is>
      </c>
      <c r="C8" t="inlineStr">
        <is>
          <t>escalation</t>
        </is>
      </c>
      <c r="D8" t="n">
        <v>3</v>
      </c>
      <c r="E8" t="n">
        <v>90</v>
      </c>
      <c r="F8" t="inlineStr">
        <is>
          <t>Tỷ lệ thời gian có giao tranh</t>
        </is>
      </c>
      <c r="G8" t="n">
        <v>90</v>
      </c>
      <c r="H8" t="inlineStr">
        <is>
          <t>Các bậc sau: khoảng 50, 70, 90 s (bảng luật bên dưới)</t>
        </is>
      </c>
      <c r="I8" t="n">
        <v>90</v>
      </c>
      <c r="J8" t="inlineStr">
        <is>
          <t>Assets/MachineBrigade/Resources/Data/balance.json: ai.economy.escalation[3]</t>
        </is>
      </c>
      <c r="K8" t="inlineStr">
        <is>
          <t>{"value":90.0,"min":90.0,"max":90.0,"metric":"Tỷ lệ thời gian có giao tranh","reason":"Các bậc sau: khoảng 50, 70, 90 s (bảng luật bên dưới)"}</t>
        </is>
      </c>
    </row>
    <row r="9">
      <c r="A9" t="inlineStr">
        <is>
          <t>economy.finalPhase</t>
        </is>
      </c>
      <c r="B9" t="inlineStr">
        <is>
          <t>economy</t>
        </is>
      </c>
      <c r="C9" t="inlineStr">
        <is>
          <t>finalPhase</t>
        </is>
      </c>
      <c r="D9" t="inlineStr"/>
      <c r="E9" t="n">
        <v>120</v>
      </c>
      <c r="F9" t="inlineStr">
        <is>
          <t>Tỷ lệ thời gian có giao tranh</t>
        </is>
      </c>
      <c r="G9" t="n">
        <v>120</v>
      </c>
      <c r="H9" t="inlineStr">
        <is>
          <t>Chế độ giao tranh có pha cuối (ví dụ 2 phút cuối, điểm từ cứ điểm ×2) để trận luôn kết thúc.</t>
        </is>
      </c>
      <c r="I9" t="n">
        <v>120</v>
      </c>
      <c r="J9" t="inlineStr">
        <is>
          <t>Assets/MachineBrigade/Resources/Data/balance.json: ai.economy.finalPhase</t>
        </is>
      </c>
      <c r="K9" t="inlineStr">
        <is>
          <t>{"value":120,"min":120,"max":120,"metric":"Tỷ lệ thời gian có giao tranh","reason":"Chế độ giao tranh có pha cuối (ví dụ 2 phút cuối, điểm từ cứ điểm ×2) để trận luôn kết thúc."}</t>
        </is>
      </c>
    </row>
    <row r="10">
      <c r="A10" t="inlineStr">
        <is>
          <t>economy.finalPhaseScale</t>
        </is>
      </c>
      <c r="B10" t="inlineStr">
        <is>
          <t>economy</t>
        </is>
      </c>
      <c r="C10" t="inlineStr">
        <is>
          <t>finalPhaseScale</t>
        </is>
      </c>
      <c r="D10" t="inlineStr"/>
      <c r="E10" t="n">
        <v>2</v>
      </c>
      <c r="F10" t="inlineStr">
        <is>
          <t>Tỷ lệ thời gian có giao tranh</t>
        </is>
      </c>
      <c r="G10" t="n">
        <v>2</v>
      </c>
      <c r="H10" t="inlineStr">
        <is>
          <t>Chế độ giao tranh có pha cuối (ví dụ 2 phút cuối, điểm từ cứ điểm ×2) để trận luôn kết thúc.</t>
        </is>
      </c>
      <c r="I10" t="n">
        <v>2</v>
      </c>
      <c r="J10" t="inlineStr">
        <is>
          <t>Assets/MachineBrigade/Resources/Data/balance.json: ai.economy.finalPhaseScale</t>
        </is>
      </c>
      <c r="K10" t="inlineStr">
        <is>
          <t>{"value":2,"min":2,"max":2,"metric":"Tỷ lệ thời gian có giao tranh","reason":"Chế độ giao tranh có pha cuối (ví dụ 2 phút cuối, điểm từ cứ điểm ×2) để trận luôn kết thúc."}</t>
        </is>
      </c>
    </row>
    <row r="11">
      <c r="A11" t="inlineStr">
        <is>
          <t>economy.groundCap</t>
        </is>
      </c>
      <c r="B11" t="inlineStr">
        <is>
          <t>economy</t>
        </is>
      </c>
      <c r="C11" t="inlineStr">
        <is>
          <t>groundCap</t>
        </is>
      </c>
      <c r="D11" t="inlineStr"/>
      <c r="E11" t="n">
        <v>32</v>
      </c>
      <c r="F11" t="inlineStr">
        <is>
          <t>FPS ở trần quân</t>
        </is>
      </c>
      <c r="G11" t="n">
        <v>32</v>
      </c>
      <c r="H11" t="inlineStr">
        <is>
          <t>Không chiến thuật nào được nới</t>
        </is>
      </c>
      <c r="I11" t="n">
        <v>32</v>
      </c>
      <c r="J11" t="inlineStr">
        <is>
          <t>Assets/MachineBrigade/Resources/Data/balance.json: ai.economy.groundCap</t>
        </is>
      </c>
      <c r="K11" t="inlineStr">
        <is>
          <t>{"value":32.0,"min":32.0,"max":32.0,"metric":"FPS ở trần quân","reason":"Không chiến thuật nào được nới"}</t>
        </is>
      </c>
    </row>
    <row r="12">
      <c r="A12" t="inlineStr">
        <is>
          <t>economy.perPoint</t>
        </is>
      </c>
      <c r="B12" t="inlineStr">
        <is>
          <t>economy</t>
        </is>
      </c>
      <c r="C12" t="inlineStr">
        <is>
          <t>perPoint</t>
        </is>
      </c>
      <c r="D12" t="inlineStr"/>
      <c r="E12" t="n">
        <v>0.25</v>
      </c>
      <c r="F12" t="inlineStr">
        <is>
          <t>Số quân trung bình còn sống mỗi phe</t>
        </is>
      </c>
      <c r="G12" t="n">
        <v>0.25</v>
      </c>
      <c r="H12" t="inlineStr">
        <is>
          <t>Như hiện tại; chỉnh theo dữ liệu game</t>
        </is>
      </c>
      <c r="I12" t="n">
        <v>0.25</v>
      </c>
      <c r="J12" t="inlineStr">
        <is>
          <t>Assets/MachineBrigade/Resources/Data/balance.json: ai.economy.perPoint</t>
        </is>
      </c>
      <c r="K12" t="inlineStr">
        <is>
          <t>{"value":0.25,"min":0.25,"max":0.25,"metric":"Số quân trung bình còn sống mỗi phe","reason":"Như hiện tại; chỉnh theo dữ liệu game"}</t>
        </is>
      </c>
    </row>
    <row r="13">
      <c r="A13" t="inlineStr">
        <is>
          <t>economy.stockCap</t>
        </is>
      </c>
      <c r="B13" t="inlineStr">
        <is>
          <t>economy</t>
        </is>
      </c>
      <c r="C13" t="inlineStr">
        <is>
          <t>stockCap</t>
        </is>
      </c>
      <c r="D13" t="inlineStr"/>
      <c r="E13" t="n">
        <v>30</v>
      </c>
      <c r="F13" t="inlineStr">
        <is>
          <t>Số quân trung bình còn sống mỗi phe</t>
        </is>
      </c>
      <c r="G13" t="n">
        <v>30</v>
      </c>
      <c r="H13" t="inlineStr">
        <is>
          <t>Chỉ huy Vault: 45</t>
        </is>
      </c>
      <c r="I13" t="n">
        <v>30</v>
      </c>
      <c r="J13" t="inlineStr">
        <is>
          <t>Assets/MachineBrigade/Resources/Data/balance.json: ai.economy.stockCap</t>
        </is>
      </c>
      <c r="K13" t="inlineStr">
        <is>
          <t>{"value":30.0,"min":30.0,"max":30.0,"metric":"Số quân trung bình còn sống mỗi phe","reason":"Chỉ huy Vault: 45"}</t>
        </is>
      </c>
    </row>
    <row r="14">
      <c r="A14" t="inlineStr">
        <is>
          <t>economy.stockCapVault</t>
        </is>
      </c>
      <c r="B14" t="inlineStr">
        <is>
          <t>economy</t>
        </is>
      </c>
      <c r="C14" t="inlineStr">
        <is>
          <t>stockCapVault</t>
        </is>
      </c>
      <c r="D14" t="inlineStr"/>
      <c r="E14" t="n">
        <v>45</v>
      </c>
      <c r="F14" t="inlineStr">
        <is>
          <t>Số quân trung bình còn sống mỗi phe</t>
        </is>
      </c>
      <c r="G14" t="n">
        <v>45</v>
      </c>
      <c r="H14" t="inlineStr">
        <is>
          <t>Chỉ huy Vault: 45</t>
        </is>
      </c>
      <c r="I14" t="n">
        <v>45</v>
      </c>
      <c r="J14" t="inlineStr">
        <is>
          <t>Assets/MachineBrigade/Resources/Data/balance.json: ai.economy.stockCapVault</t>
        </is>
      </c>
      <c r="K14" t="inlineStr">
        <is>
          <t>{"value":45.0,"min":45.0,"max":45.0,"metric":"Số quân trung bình còn sống mỗi phe","reason":"Chỉ huy Vault: 45"}</t>
        </is>
      </c>
    </row>
    <row r="15">
      <c r="A15" t="inlineStr">
        <is>
          <t>economy.useOrLoseRamp</t>
        </is>
      </c>
      <c r="B15" t="inlineStr">
        <is>
          <t>economy</t>
        </is>
      </c>
      <c r="C15" t="inlineStr">
        <is>
          <t>useOrLoseRamp</t>
        </is>
      </c>
      <c r="D15" t="inlineStr"/>
      <c r="E15" t="n">
        <v>30</v>
      </c>
      <c r="F15" t="inlineStr">
        <is>
          <t>Số quân trung bình còn sống mỗi phe</t>
        </is>
      </c>
      <c r="G15" t="n">
        <v>30</v>
      </c>
      <c r="H15" t="inlineStr">
        <is>
          <t>Từ ngưỡng mặc định xuống ngưỡng thấp nhất</t>
        </is>
      </c>
      <c r="I15" t="n">
        <v>30</v>
      </c>
      <c r="J15" t="inlineStr">
        <is>
          <t>Assets/MachineBrigade/Resources/Data/balance.json: ai.economy.useOrLoseRamp</t>
        </is>
      </c>
      <c r="K15" t="inlineStr">
        <is>
          <t>{"value":30.0,"min":30.0,"max":30.0,"metric":"Số quân trung bình còn sống mỗi phe","reason":"Từ ngưỡng mặc định xuống ngưỡng thấp nhất"}</t>
        </is>
      </c>
    </row>
    <row r="16">
      <c r="A16" t="inlineStr">
        <is>
          <t>economy.useOrLoseThreshold</t>
        </is>
      </c>
      <c r="B16" t="inlineStr">
        <is>
          <t>economy</t>
        </is>
      </c>
      <c r="C16" t="inlineStr">
        <is>
          <t>useOrLoseThreshold</t>
        </is>
      </c>
      <c r="D16" t="inlineStr"/>
      <c r="E16" t="n">
        <v>0.9</v>
      </c>
      <c r="F16" t="inlineStr">
        <is>
          <t>Số quân trung bình còn sống mỗi phe</t>
        </is>
      </c>
      <c r="G16" t="n">
        <v>0.9</v>
      </c>
      <c r="H16" t="inlineStr">
        <is>
          <t>Khi đã chạm trần quân và CP đầy</t>
        </is>
      </c>
      <c r="I16" t="n">
        <v>0.9</v>
      </c>
      <c r="J16" t="inlineStr">
        <is>
          <t>Assets/MachineBrigade/Resources/Data/balance.json: ai.economy.useOrLoseThreshold</t>
        </is>
      </c>
      <c r="K16" t="inlineStr">
        <is>
          <t>{"value":0.9,"min":0.9,"max":0.9,"metric":"Số quân trung bình còn sống mỗi phe","reason":"Khi đã chạm trần quân và CP đầy"}</t>
        </is>
      </c>
    </row>
    <row r="17">
      <c r="A17" t="inlineStr">
        <is>
          <t>params.airAaLimit</t>
        </is>
      </c>
      <c r="B17" t="inlineStr">
        <is>
          <t>params</t>
        </is>
      </c>
      <c r="C17" t="inlineStr">
        <is>
          <t>airAaLimit</t>
        </is>
      </c>
      <c r="D17" t="inlineStr"/>
      <c r="E17" t="n">
        <v>1.5</v>
      </c>
      <c r="F17" t="inlineStr">
        <is>
          <t>Số máy bay bị hạ mỗi lượt</t>
        </is>
      </c>
      <c r="G17" t="n">
        <v>0.5</v>
      </c>
      <c r="H17" t="inlineStr"/>
      <c r="I17" t="n">
        <v>1</v>
      </c>
      <c r="J17" t="inlineStr">
        <is>
          <t>Assets/MachineBrigade/Resources/Data/balance.json: ai.params.airAaLimit</t>
        </is>
      </c>
      <c r="K17" t="inlineStr">
        <is>
          <t>{"value":1.0,"min":0.5,"max":1.5,"metric":"Số máy bay bị hạ mỗi lượt","reason":""}</t>
        </is>
      </c>
    </row>
    <row r="18">
      <c r="A18" t="inlineStr">
        <is>
          <t>params.artilleryPrep</t>
        </is>
      </c>
      <c r="B18" t="inlineStr">
        <is>
          <t>params</t>
        </is>
      </c>
      <c r="C18" t="inlineStr">
        <is>
          <t>artilleryPrep</t>
        </is>
      </c>
      <c r="D18" t="inlineStr"/>
      <c r="E18" t="n">
        <v>2</v>
      </c>
      <c r="F18" t="inlineStr">
        <is>
          <t>Thời điểm đợt tấn công đầu tiên</t>
        </is>
      </c>
      <c r="G18" t="n">
        <v>0</v>
      </c>
      <c r="H18" t="inlineStr"/>
      <c r="I18" t="n">
        <v>0</v>
      </c>
      <c r="J18" t="inlineStr">
        <is>
          <t>Assets/MachineBrigade/Resources/Data/balance.json: ai.params.artilleryPrep</t>
        </is>
      </c>
      <c r="K18" t="inlineStr">
        <is>
          <t>{"value":0.0,"min":0.0,"max":2.0,"metric":"Thời điểm đợt tấn công đầu tiên","reason":""}</t>
        </is>
      </c>
    </row>
    <row r="19">
      <c r="A19" t="inlineStr">
        <is>
          <t>params.attackThreshold</t>
        </is>
      </c>
      <c r="B19" t="inlineStr">
        <is>
          <t>params</t>
        </is>
      </c>
      <c r="C19" t="inlineStr">
        <is>
          <t>attackThreshold</t>
        </is>
      </c>
      <c r="D19" t="inlineStr"/>
      <c r="E19" t="n">
        <v>1.6</v>
      </c>
      <c r="F19" t="inlineStr">
        <is>
          <t>Tỷ lệ thời gian có giao tranh; số đợt tấn công thất bại</t>
        </is>
      </c>
      <c r="G19" t="n">
        <v>0.8</v>
      </c>
      <c r="H19" t="inlineStr">
        <is>
          <t>Thấp quá: lao vào chỗ chết; cao quá: trận đứng yên</t>
        </is>
      </c>
      <c r="I19" t="n">
        <v>1.2</v>
      </c>
      <c r="J19" t="inlineStr">
        <is>
          <t>Assets/MachineBrigade/Resources/Data/balance.json: ai.params.attackThreshold</t>
        </is>
      </c>
      <c r="K19" t="inlineStr">
        <is>
          <t>{"value":1.2,"min":0.8,"max":1.6,"metric":"Tỷ lệ thời gian có giao tranh; số đợt tấn công thất bại","reason":"Thấp quá: lao vào chỗ chết; cao quá: trận đứng yên"}</t>
        </is>
      </c>
    </row>
    <row r="20">
      <c r="A20" t="inlineStr">
        <is>
          <t>params.cohesion</t>
        </is>
      </c>
      <c r="B20" t="inlineStr">
        <is>
          <t>params</t>
        </is>
      </c>
      <c r="C20" t="inlineStr">
        <is>
          <t>cohesion</t>
        </is>
      </c>
      <c r="D20" t="inlineStr"/>
      <c r="E20" t="n">
        <v>1</v>
      </c>
      <c r="F20" t="inlineStr">
        <is>
          <t>Vi phạm đội hình mỗi phút</t>
        </is>
      </c>
      <c r="G20" t="n">
        <v>0</v>
      </c>
      <c r="H20" t="inlineStr"/>
      <c r="I20" t="n">
        <v>1</v>
      </c>
      <c r="J20" t="inlineStr">
        <is>
          <t>Assets/MachineBrigade/Resources/Data/balance.json: ai.params.cohesion</t>
        </is>
      </c>
      <c r="K20" t="inlineStr">
        <is>
          <t>{"value":1.0,"min":0.0,"max":1.0,"metric":"Vi phạm đội hình mỗi phút","reason":""}</t>
        </is>
      </c>
    </row>
    <row r="21">
      <c r="A21" t="inlineStr">
        <is>
          <t>params.confidenceDecay</t>
        </is>
      </c>
      <c r="B21" t="inlineStr">
        <is>
          <t>params</t>
        </is>
      </c>
      <c r="C21" t="inlineStr">
        <is>
          <t>confidenceDecay</t>
        </is>
      </c>
      <c r="D21" t="inlineStr"/>
      <c r="E21" t="n">
        <v>0.12</v>
      </c>
      <c r="F21" t="inlineStr">
        <is>
          <t>Số lần AI đánh vào nơi địch đã đi; số lần bị bất ngờ</t>
        </is>
      </c>
      <c r="G21" t="n">
        <v>0.03</v>
      </c>
      <c r="H21" t="inlineStr">
        <is>
          <t>Theo độ khó: Cực khó giảm chậm hơn</t>
        </is>
      </c>
      <c r="I21" t="n">
        <v>0.06</v>
      </c>
      <c r="J21" t="inlineStr">
        <is>
          <t>Assets/MachineBrigade/Resources/Data/balance.json: ai.params.confidenceDecay</t>
        </is>
      </c>
      <c r="K21" t="inlineStr">
        <is>
          <t>{"value":0.06,"min":0.03,"max":0.12,"metric":"Số lần AI đánh vào nơi địch đã đi; số lần bị bất ngờ","reason":"Theo độ khó: Cực khó giảm chậm hơn"}</t>
        </is>
      </c>
    </row>
    <row r="22">
      <c r="A22" t="inlineStr">
        <is>
          <t>params.cpSaving</t>
        </is>
      </c>
      <c r="B22" t="inlineStr">
        <is>
          <t>params</t>
        </is>
      </c>
      <c r="C22" t="inlineStr">
        <is>
          <t>cpSaving</t>
        </is>
      </c>
      <c r="D22" t="inlineStr"/>
      <c r="E22" t="n">
        <v>1</v>
      </c>
      <c r="F22" t="inlineStr">
        <is>
          <t>CP trung bình tích trữ</t>
        </is>
      </c>
      <c r="G22" t="n">
        <v>0</v>
      </c>
      <c r="H22" t="inlineStr">
        <is>
          <t>Tổng tấn công</t>
        </is>
      </c>
      <c r="I22" t="n">
        <v>0</v>
      </c>
      <c r="J22" t="inlineStr">
        <is>
          <t>Assets/MachineBrigade/Resources/Data/balance.json: ai.params.cpSaving</t>
        </is>
      </c>
      <c r="K22" t="inlineStr">
        <is>
          <t>{"value":0.0,"min":0.0,"max":1.0,"metric":"CP trung bình tích trữ","reason":"Tổng tấn công"}</t>
        </is>
      </c>
    </row>
    <row r="23">
      <c r="A23" t="inlineStr">
        <is>
          <t>params.emergencyCooldown</t>
        </is>
      </c>
      <c r="B23" t="inlineStr">
        <is>
          <t>params</t>
        </is>
      </c>
      <c r="C23" t="inlineStr">
        <is>
          <t>emergencyCooldown</t>
        </is>
      </c>
      <c r="D23" t="inlineStr"/>
      <c r="E23" t="n">
        <v>40</v>
      </c>
      <c r="F23" t="inlineStr">
        <is>
          <t>Số lần dùng khẩn cấp mỗi phút; chỉ số đổi quyết định</t>
        </is>
      </c>
      <c r="G23" t="n">
        <v>15</v>
      </c>
      <c r="H23" t="inlineStr">
        <is>
          <t>Ngăn dùng khẩn cấp để lách luật cam kết</t>
        </is>
      </c>
      <c r="I23" t="n">
        <v>25</v>
      </c>
      <c r="J23" t="inlineStr">
        <is>
          <t>Assets/MachineBrigade/Resources/Data/balance.json: ai.params.emergencyCooldown</t>
        </is>
      </c>
      <c r="K23" t="inlineStr">
        <is>
          <t>{"value":25.0,"min":15.0,"max":40.0,"metric":"Số lần dùng khẩn cấp mỗi phút; chỉ số đổi quyết định","reason":"Ngăn dùng khẩn cấp để lách luật cam kết"}</t>
        </is>
      </c>
    </row>
    <row r="24">
      <c r="A24" t="inlineStr">
        <is>
          <t>params.fallbackRatio</t>
        </is>
      </c>
      <c r="B24" t="inlineStr">
        <is>
          <t>params</t>
        </is>
      </c>
      <c r="C24" t="inlineStr">
        <is>
          <t>fallbackRatio</t>
        </is>
      </c>
      <c r="D24" t="inlineStr"/>
      <c r="E24" t="n">
        <v>0.7</v>
      </c>
      <c r="F24" t="inlineStr">
        <is>
          <t>Số tuyến mất; thời lượng trận Phòng thủ</t>
        </is>
      </c>
      <c r="G24" t="n">
        <v>0.5</v>
      </c>
      <c r="H24" t="inlineStr">
        <is>
          <t>Không áp cho từng xe theo máu</t>
        </is>
      </c>
      <c r="I24" t="n">
        <v>0.6</v>
      </c>
      <c r="J24" t="inlineStr">
        <is>
          <t>Assets/MachineBrigade/Resources/Data/balance.json: ai.params.fallbackRatio</t>
        </is>
      </c>
      <c r="K24" t="inlineStr">
        <is>
          <t>{"value":0.6,"min":0.5,"max":0.7,"metric":"Số tuyến mất; thời lượng trận Phòng thủ","reason":"Không áp cho từng xe theo máu"}</t>
        </is>
      </c>
    </row>
    <row r="25">
      <c r="A25" t="inlineStr">
        <is>
          <t>params.flankWeight</t>
        </is>
      </c>
      <c r="B25" t="inlineStr">
        <is>
          <t>params</t>
        </is>
      </c>
      <c r="C25" t="inlineStr">
        <is>
          <t>flankWeight</t>
        </is>
      </c>
      <c r="D25" t="inlineStr"/>
      <c r="E25" t="n">
        <v>2</v>
      </c>
      <c r="F25" t="inlineStr">
        <is>
          <t>Tỷ lệ thời gian đánh sườn</t>
        </is>
      </c>
      <c r="G25" t="n">
        <v>0.5</v>
      </c>
      <c r="H25" t="inlineStr">
        <is>
          <t>Dấu vân hành vi</t>
        </is>
      </c>
      <c r="I25" t="n">
        <v>1</v>
      </c>
      <c r="J25" t="inlineStr">
        <is>
          <t>Assets/MachineBrigade/Resources/Data/balance.json: ai.params.flankWeight</t>
        </is>
      </c>
      <c r="K25" t="inlineStr">
        <is>
          <t>{"value":1.0,"min":0.5,"max":2.0,"metric":"Tỷ lệ thời gian đánh sườn","reason":"Dấu vân hành vi"}</t>
        </is>
      </c>
    </row>
    <row r="26">
      <c r="A26" t="inlineStr">
        <is>
          <t>params.focusWeight</t>
        </is>
      </c>
      <c r="B26" t="inlineStr">
        <is>
          <t>params</t>
        </is>
      </c>
      <c r="C26" t="inlineStr">
        <is>
          <t>focusWeight</t>
        </is>
      </c>
      <c r="D26" t="inlineStr"/>
      <c r="E26" t="n">
        <v>2</v>
      </c>
      <c r="F26" t="inlineStr">
        <is>
          <t>Số mục tiêu đổi mỗi phút; thời gian hạ mục tiêu</t>
        </is>
      </c>
      <c r="G26" t="n">
        <v>0.5</v>
      </c>
      <c r="H26" t="inlineStr"/>
      <c r="I26" t="n">
        <v>1</v>
      </c>
      <c r="J26" t="inlineStr">
        <is>
          <t>Assets/MachineBrigade/Resources/Data/balance.json: ai.params.focusWeight</t>
        </is>
      </c>
      <c r="K26" t="inlineStr">
        <is>
          <t>{"value":1.0,"min":0.5,"max":2.0,"metric":"Số mục tiêu đổi mỗi phút; thời gian hạ mục tiêu","reason":""}</t>
        </is>
      </c>
    </row>
    <row r="27">
      <c r="A27" t="inlineStr">
        <is>
          <t>params.holdFire</t>
        </is>
      </c>
      <c r="B27" t="inlineStr">
        <is>
          <t>params</t>
        </is>
      </c>
      <c r="C27" t="inlineStr">
        <is>
          <t>holdFire</t>
        </is>
      </c>
      <c r="D27" t="inlineStr"/>
      <c r="E27" t="n">
        <v>0.6</v>
      </c>
      <c r="F27" t="inlineStr">
        <is>
          <t>Tỷ lệ thời gian giữ lửa; sát thương phát đầu</t>
        </is>
      </c>
      <c r="G27" t="n">
        <v>0</v>
      </c>
      <c r="H27" t="inlineStr">
        <is>
          <t>Phục kích</t>
        </is>
      </c>
      <c r="I27" t="n">
        <v>0</v>
      </c>
      <c r="J27" t="inlineStr">
        <is>
          <t>Assets/MachineBrigade/Resources/Data/balance.json: ai.params.holdFire</t>
        </is>
      </c>
      <c r="K27" t="inlineStr">
        <is>
          <t>{"value":0.0,"min":0.0,"max":0.6,"metric":"Tỷ lệ thời gian giữ lửa; sát thương phát đầu","reason":"Phục kích"}</t>
        </is>
      </c>
    </row>
    <row r="28">
      <c r="A28" t="inlineStr">
        <is>
          <t>params.idleReassess</t>
        </is>
      </c>
      <c r="B28" t="inlineStr">
        <is>
          <t>params</t>
        </is>
      </c>
      <c r="C28" t="inlineStr">
        <is>
          <t>idleReassess</t>
        </is>
      </c>
      <c r="D28" t="inlineStr"/>
      <c r="E28" t="n">
        <v>10</v>
      </c>
      <c r="F28" t="inlineStr">
        <is>
          <t>Tỷ lệ thời gian đứng yên không lý do</t>
        </is>
      </c>
      <c r="G28" t="n">
        <v>3</v>
      </c>
      <c r="H28" t="inlineStr"/>
      <c r="I28" t="n">
        <v>5</v>
      </c>
      <c r="J28" t="inlineStr">
        <is>
          <t>Assets/MachineBrigade/Resources/Data/balance.json: ai.params.idleReassess</t>
        </is>
      </c>
      <c r="K28" t="inlineStr">
        <is>
          <t>{"value":5.0,"min":3.0,"max":10.0,"metric":"Tỷ lệ thời gian đứng yên không lý do","reason":""}</t>
        </is>
      </c>
    </row>
    <row r="29">
      <c r="A29" t="inlineStr">
        <is>
          <t>params.mainEffort</t>
        </is>
      </c>
      <c r="B29" t="inlineStr">
        <is>
          <t>params</t>
        </is>
      </c>
      <c r="C29" t="inlineStr">
        <is>
          <t>mainEffort</t>
        </is>
      </c>
      <c r="D29" t="inlineStr"/>
      <c r="E29" t="n">
        <v>0.8</v>
      </c>
      <c r="F29" t="inlineStr">
        <is>
          <t>Độ tập trung lực lượng</t>
        </is>
      </c>
      <c r="G29" t="n">
        <v>0.3</v>
      </c>
      <c r="H29" t="inlineStr"/>
      <c r="I29" t="n">
        <v>0.5</v>
      </c>
      <c r="J29" t="inlineStr">
        <is>
          <t>Assets/MachineBrigade/Resources/Data/balance.json: ai.params.mainEffort</t>
        </is>
      </c>
      <c r="K29" t="inlineStr">
        <is>
          <t>{"value":0.5,"min":0.3,"max":0.8,"metric":"Độ tập trung lực lượng","reason":""}</t>
        </is>
      </c>
    </row>
    <row r="30">
      <c r="A30" t="inlineStr">
        <is>
          <t>params.minCommit</t>
        </is>
      </c>
      <c r="B30" t="inlineStr">
        <is>
          <t>params</t>
        </is>
      </c>
      <c r="C30" t="inlineStr">
        <is>
          <t>minCommit</t>
        </is>
      </c>
      <c r="D30" t="inlineStr"/>
      <c r="E30" t="n">
        <v>8</v>
      </c>
      <c r="F30" t="inlineStr">
        <is>
          <t>Số lần đổi trạng thái mỗi phút; tỷ lệ hành động bị bỏ dở</t>
        </is>
      </c>
      <c r="G30" t="n">
        <v>2</v>
      </c>
      <c r="H30" t="inlineStr">
        <is>
          <t>Như trên</t>
        </is>
      </c>
      <c r="I30" t="n">
        <v>4</v>
      </c>
      <c r="J30" t="inlineStr">
        <is>
          <t>Assets/MachineBrigade/Resources/Data/balance.json: ai.params.minCommit</t>
        </is>
      </c>
      <c r="K30" t="inlineStr">
        <is>
          <t>{"value":4.0,"min":2.0,"max":8.0,"metric":"Số lần đổi trạng thái mỗi phút; tỷ lệ hành động bị bỏ dở","reason":"Như trên"}</t>
        </is>
      </c>
    </row>
    <row r="31">
      <c r="A31" t="inlineStr">
        <is>
          <t>params.overwhelmRatio</t>
        </is>
      </c>
      <c r="B31" t="inlineStr">
        <is>
          <t>params</t>
        </is>
      </c>
      <c r="C31" t="inlineStr">
        <is>
          <t>overwhelmRatio</t>
        </is>
      </c>
      <c r="D31" t="inlineStr"/>
      <c r="E31" t="n">
        <v>3</v>
      </c>
      <c r="F31" t="inlineStr">
        <is>
          <t>Số xe bị hạ khi bị áp đảo; số lần gom</t>
        </is>
      </c>
      <c r="G31" t="n">
        <v>1.6</v>
      </c>
      <c r="H31" t="inlineStr"/>
      <c r="I31" t="n">
        <v>2</v>
      </c>
      <c r="J31" t="inlineStr">
        <is>
          <t>Assets/MachineBrigade/Resources/Data/balance.json: ai.params.overwhelmRatio</t>
        </is>
      </c>
      <c r="K31" t="inlineStr">
        <is>
          <t>{"value":2.0,"min":1.6,"max":3.0,"metric":"Số xe bị hạ khi bị áp đảo; số lần gom","reason":""}</t>
        </is>
      </c>
    </row>
    <row r="32">
      <c r="A32" t="inlineStr">
        <is>
          <t>params.reactionDelay</t>
        </is>
      </c>
      <c r="B32" t="inlineStr">
        <is>
          <t>params</t>
        </is>
      </c>
      <c r="C32" t="inlineStr">
        <is>
          <t>reactionDelay</t>
        </is>
      </c>
      <c r="D32" t="inlineStr"/>
      <c r="E32" t="n">
        <v>1.5</v>
      </c>
      <c r="F32" t="inlineStr">
        <is>
          <t>Tỷ lệ né đòn có cảnh báo</t>
        </is>
      </c>
      <c r="G32" t="n">
        <v>0.3</v>
      </c>
      <c r="H32" t="inlineStr">
        <is>
          <t>Theo độ khó</t>
        </is>
      </c>
      <c r="I32" t="n">
        <v>0.8</v>
      </c>
      <c r="J32" t="inlineStr">
        <is>
          <t>Assets/MachineBrigade/Resources/Data/balance.json: ai.params.reactionDelay</t>
        </is>
      </c>
      <c r="K32" t="inlineStr">
        <is>
          <t>{"value":0.8,"min":0.3,"max":1.5,"metric":"Tỷ lệ né đòn có cảnh báo","reason":"Theo độ khó"}</t>
        </is>
      </c>
    </row>
    <row r="33">
      <c r="A33" t="inlineStr">
        <is>
          <t>params.splashSpread</t>
        </is>
      </c>
      <c r="B33" t="inlineStr">
        <is>
          <t>params</t>
        </is>
      </c>
      <c r="C33" t="inlineStr">
        <is>
          <t>splashSpread</t>
        </is>
      </c>
      <c r="D33" t="inlineStr"/>
      <c r="E33" t="n">
        <v>2</v>
      </c>
      <c r="F33" t="inlineStr">
        <is>
          <t>Số xe bị hạ bởi bắn lan mỗi phút; độ dàn trải đội</t>
        </is>
      </c>
      <c r="G33" t="n">
        <v>0.5</v>
      </c>
      <c r="H33" t="inlineStr"/>
      <c r="I33" t="n">
        <v>1</v>
      </c>
      <c r="J33" t="inlineStr">
        <is>
          <t>Assets/MachineBrigade/Resources/Data/balance.json: ai.params.splashSpread</t>
        </is>
      </c>
      <c r="K33" t="inlineStr">
        <is>
          <t>{"value":1.0,"min":0.5,"max":2.0,"metric":"Số xe bị hạ bởi bắn lan mỗi phút; độ dàn trải đội","reason":""}</t>
        </is>
      </c>
    </row>
    <row r="34">
      <c r="A34" t="inlineStr">
        <is>
          <t>params.stuckTime</t>
        </is>
      </c>
      <c r="B34" t="inlineStr">
        <is>
          <t>params</t>
        </is>
      </c>
      <c r="C34" t="inlineStr">
        <is>
          <t>stuckTime</t>
        </is>
      </c>
      <c r="D34" t="inlineStr"/>
      <c r="E34" t="n">
        <v>5</v>
      </c>
      <c r="F34" t="inlineStr">
        <is>
          <t>Số lần kẹt mỗi phút, thời gian kẹt trung bình</t>
        </is>
      </c>
      <c r="G34" t="n">
        <v>2</v>
      </c>
      <c r="H34" t="inlineStr"/>
      <c r="I34" t="n">
        <v>3</v>
      </c>
      <c r="J34" t="inlineStr">
        <is>
          <t>Assets/MachineBrigade/Resources/Data/balance.json: ai.params.stuckTime</t>
        </is>
      </c>
      <c r="K34" t="inlineStr">
        <is>
          <t>{"value":3.0,"min":2.0,"max":5.0,"metric":"Số lần kẹt mỗi phút, thời gian kẹt trung bình","reason":""}</t>
        </is>
      </c>
    </row>
    <row r="35">
      <c r="A35" t="inlineStr">
        <is>
          <t>params.switchMargin</t>
        </is>
      </c>
      <c r="B35" t="inlineStr">
        <is>
          <t>params</t>
        </is>
      </c>
      <c r="C35" t="inlineStr">
        <is>
          <t>switchMargin</t>
        </is>
      </c>
      <c r="D35" t="inlineStr"/>
      <c r="E35" t="n">
        <v>15</v>
      </c>
      <c r="F35" t="inlineStr">
        <is>
          <t>Số lần đổi hành động mỗi phút của đội</t>
        </is>
      </c>
      <c r="G35" t="n">
        <v>4</v>
      </c>
      <c r="H35" t="inlineStr">
        <is>
          <t>Thấp: đổi ý liên tục; cao: không phản ứng kịp</t>
        </is>
      </c>
      <c r="I35" t="n">
        <v>8</v>
      </c>
      <c r="J35" t="inlineStr">
        <is>
          <t>Assets/MachineBrigade/Resources/Data/balance.json: ai.params.switchMargin</t>
        </is>
      </c>
      <c r="K35" t="inlineStr">
        <is>
          <t>{"value":8.0,"min":4.0,"max":15.0,"metric":"Số lần đổi hành động mỗi phút của đội","reason":"Thấp: đổi ý liên tục; cao: không phản ứng kịp"}</t>
        </is>
      </c>
    </row>
    <row r="36">
      <c r="A36" t="inlineStr">
        <is>
          <t>params.tacticCooldown</t>
        </is>
      </c>
      <c r="B36" t="inlineStr">
        <is>
          <t>params</t>
        </is>
      </c>
      <c r="C36" t="inlineStr">
        <is>
          <t>tacticCooldown</t>
        </is>
      </c>
      <c r="D36" t="inlineStr"/>
      <c r="E36" t="n">
        <v>60</v>
      </c>
      <c r="F36" t="inlineStr">
        <is>
          <t>Số lần đổi mỗi trận; tỷ lệ thắng sau khi đổi</t>
        </is>
      </c>
      <c r="G36" t="n">
        <v>45</v>
      </c>
      <c r="H36" t="inlineStr"/>
      <c r="I36" t="n">
        <v>50</v>
      </c>
      <c r="J36" t="inlineStr">
        <is>
          <t>Assets/MachineBrigade/Resources/Data/balance.json: ai.params.tacticCooldown</t>
        </is>
      </c>
      <c r="K36" t="inlineStr">
        <is>
          <t>{"value":50.0,"min":45.0,"max":60.0,"metric":"Số lần đổi mỗi trận; tỷ lệ thắng sau khi đổi","reason":""}</t>
        </is>
      </c>
    </row>
    <row r="37">
      <c r="A37" t="inlineStr">
        <is>
          <t>params.tacticTransition</t>
        </is>
      </c>
      <c r="B37" t="inlineStr">
        <is>
          <t>params</t>
        </is>
      </c>
      <c r="C37" t="inlineStr">
        <is>
          <t>tacticTransition</t>
        </is>
      </c>
      <c r="D37" t="inlineStr"/>
      <c r="E37" t="n">
        <v>8</v>
      </c>
      <c r="F37" t="inlineStr">
        <is>
          <t>Sát thương mất trong lúc chuyển</t>
        </is>
      </c>
      <c r="G37" t="n">
        <v>3</v>
      </c>
      <c r="H37" t="inlineStr">
        <is>
          <t>Cái giá của việc đổi</t>
        </is>
      </c>
      <c r="I37" t="n">
        <v>5</v>
      </c>
      <c r="J37" t="inlineStr">
        <is>
          <t>Assets/MachineBrigade/Resources/Data/balance.json: ai.params.tacticTransition</t>
        </is>
      </c>
      <c r="K37" t="inlineStr">
        <is>
          <t>{"value":5.0,"min":3.0,"max":8.0,"metric":"Sát thương mất trong lúc chuyển","reason":"Cái giá của việc đổi"}</t>
        </is>
      </c>
    </row>
    <row r="38">
      <c r="A38" t="inlineStr">
        <is>
          <t>world.aaShare</t>
        </is>
      </c>
      <c r="B38" t="inlineStr">
        <is>
          <t>world</t>
        </is>
      </c>
      <c r="C38" t="inlineStr">
        <is>
          <t>aaShare</t>
        </is>
      </c>
      <c r="D38" t="inlineStr"/>
      <c r="E38" t="n">
        <v>0.2</v>
      </c>
      <c r="F38" t="inlineStr">
        <is>
          <t>Số máy bay bị hạ mỗi lượt</t>
        </is>
      </c>
      <c r="G38" t="n">
        <v>0.05</v>
      </c>
      <c r="H38" t="inlineStr">
        <is>
          <t>MISMATCH: own anti-air share below this</t>
        </is>
      </c>
      <c r="I38" t="n">
        <v>0.1</v>
      </c>
      <c r="J38" t="inlineStr">
        <is>
          <t>Assets/MachineBrigade/Resources/Data/balance.json: ai.world.aaShare</t>
        </is>
      </c>
      <c r="K38" t="inlineStr">
        <is>
          <t>{"value":0.1,"min":0.05,"max":0.2,"metric":"Số máy bay bị hạ mỗi lượt","reason":"MISMATCH: own anti-air share below this"}</t>
        </is>
      </c>
    </row>
    <row r="39">
      <c r="A39" t="inlineStr">
        <is>
          <t>world.airShare</t>
        </is>
      </c>
      <c r="B39" t="inlineStr">
        <is>
          <t>world</t>
        </is>
      </c>
      <c r="C39" t="inlineStr">
        <is>
          <t>airShare</t>
        </is>
      </c>
      <c r="D39" t="inlineStr"/>
      <c r="E39" t="n">
        <v>0.4</v>
      </c>
      <c r="F39" t="inlineStr">
        <is>
          <t>Số máy bay bị hạ mỗi lượt</t>
        </is>
      </c>
      <c r="G39" t="n">
        <v>0.15</v>
      </c>
      <c r="H39" t="inlineStr">
        <is>
          <t>MISMATCH: enemy aircraft share of its strength</t>
        </is>
      </c>
      <c r="I39" t="n">
        <v>0.25</v>
      </c>
      <c r="J39" t="inlineStr">
        <is>
          <t>Assets/MachineBrigade/Resources/Data/balance.json: ai.world.airShare</t>
        </is>
      </c>
      <c r="K39" t="inlineStr">
        <is>
          <t>{"value":0.25,"min":0.15,"max":0.4,"metric":"Số máy bay bị hạ mỗi lượt","reason":"MISMATCH: enemy aircraft share of its strength"}</t>
        </is>
      </c>
    </row>
    <row r="40">
      <c r="A40" t="inlineStr">
        <is>
          <t>world.armourShare</t>
        </is>
      </c>
      <c r="B40" t="inlineStr">
        <is>
          <t>world</t>
        </is>
      </c>
      <c r="C40" t="inlineStr">
        <is>
          <t>armourShare</t>
        </is>
      </c>
      <c r="D40" t="inlineStr"/>
      <c r="E40" t="n">
        <v>0.6</v>
      </c>
      <c r="F40" t="inlineStr">
        <is>
          <t>Thời gian hạ mục tiêu</t>
        </is>
      </c>
      <c r="G40" t="n">
        <v>0.3</v>
      </c>
      <c r="H40" t="inlineStr">
        <is>
          <t>MISMATCH: enemy armour share of its strength</t>
        </is>
      </c>
      <c r="I40" t="n">
        <v>0.4</v>
      </c>
      <c r="J40" t="inlineStr">
        <is>
          <t>Assets/MachineBrigade/Resources/Data/balance.json: ai.world.armourShare</t>
        </is>
      </c>
      <c r="K40" t="inlineStr">
        <is>
          <t>{"value":0.4,"min":0.3,"max":0.6,"metric":"Thời gian hạ mục tiêu","reason":"MISMATCH: enemy armour share of its strength"}</t>
        </is>
      </c>
    </row>
    <row r="41">
      <c r="A41" t="inlineStr">
        <is>
          <t>world.atShare</t>
        </is>
      </c>
      <c r="B41" t="inlineStr">
        <is>
          <t>world</t>
        </is>
      </c>
      <c r="C41" t="inlineStr">
        <is>
          <t>atShare</t>
        </is>
      </c>
      <c r="D41" t="inlineStr"/>
      <c r="E41" t="n">
        <v>0.3</v>
      </c>
      <c r="F41" t="inlineStr">
        <is>
          <t>Thời gian hạ mục tiêu</t>
        </is>
      </c>
      <c r="G41" t="n">
        <v>0.1</v>
      </c>
      <c r="H41" t="inlineStr">
        <is>
          <t>MISMATCH: own anti-tank share below this</t>
        </is>
      </c>
      <c r="I41" t="n">
        <v>0.15</v>
      </c>
      <c r="J41" t="inlineStr">
        <is>
          <t>Assets/MachineBrigade/Resources/Data/balance.json: ai.world.atShare</t>
        </is>
      </c>
      <c r="K41" t="inlineStr">
        <is>
          <t>{"value":0.15,"min":0.1,"max":0.3,"metric":"Thời gian hạ mục tiêu","reason":"MISMATCH: own anti-tank share below this"}</t>
        </is>
      </c>
    </row>
    <row r="42">
      <c r="A42" t="inlineStr">
        <is>
          <t>world.bigFight</t>
        </is>
      </c>
      <c r="B42" t="inlineStr">
        <is>
          <t>world</t>
        </is>
      </c>
      <c r="C42" t="inlineStr">
        <is>
          <t>bigFight</t>
        </is>
      </c>
      <c r="D42" t="inlineStr"/>
      <c r="E42" t="n">
        <v>1500</v>
      </c>
      <c r="F42" t="inlineStr">
        <is>
          <t>Tỷ lệ thời gian có giao tranh</t>
        </is>
      </c>
      <c r="G42" t="n">
        <v>300</v>
      </c>
      <c r="H42" t="inlineStr">
        <is>
          <t>health lost by both sides in 5 s that resets the pressure tiers</t>
        </is>
      </c>
      <c r="I42" t="n">
        <v>600</v>
      </c>
      <c r="J42" t="inlineStr">
        <is>
          <t>Assets/MachineBrigade/Resources/Data/balance.json: ai.world.bigFight</t>
        </is>
      </c>
      <c r="K42" t="inlineStr">
        <is>
          <t>{"value":600,"min":300,"max":1500,"metric":"Tỷ lệ thời gian có giao tranh","reason":"health lost by both sides in 5 s that resets the pressure tiers"}</t>
        </is>
      </c>
    </row>
    <row r="43">
      <c r="A43" t="inlineStr">
        <is>
          <t>world.cell</t>
        </is>
      </c>
      <c r="B43" t="inlineStr">
        <is>
          <t>world</t>
        </is>
      </c>
      <c r="C43" t="inlineStr">
        <is>
          <t>cell</t>
        </is>
      </c>
      <c r="D43" t="inlineStr"/>
      <c r="E43" t="n">
        <v>16</v>
      </c>
      <c r="F43" t="inlineStr">
        <is>
          <t>AI tick time (M.5)</t>
        </is>
      </c>
      <c r="G43" t="n">
        <v>6</v>
      </c>
      <c r="H43" t="inlineStr">
        <is>
          <t>10 m cells to start</t>
        </is>
      </c>
      <c r="I43" t="n">
        <v>10</v>
      </c>
      <c r="J43" t="inlineStr">
        <is>
          <t>Assets/MachineBrigade/Resources/Data/balance.json: ai.world.cell</t>
        </is>
      </c>
      <c r="K43" t="inlineStr">
        <is>
          <t>{"value":10,"min":6,"max":16,"metric":"AI tick time (M.5)","reason":"10 m cells to start"}</t>
        </is>
      </c>
    </row>
    <row r="44">
      <c r="A44" t="inlineStr">
        <is>
          <t>world.churnWarn</t>
        </is>
      </c>
      <c r="B44" t="inlineStr">
        <is>
          <t>world</t>
        </is>
      </c>
      <c r="C44" t="inlineStr">
        <is>
          <t>churnWarn</t>
        </is>
      </c>
      <c r="D44" t="inlineStr"/>
      <c r="E44" t="n">
        <v>12</v>
      </c>
      <c r="F44" t="inlineStr">
        <is>
          <t>Số lần đổi hành động mỗi phút của đội</t>
        </is>
      </c>
      <c r="G44" t="n">
        <v>3</v>
      </c>
      <c r="H44" t="inlineStr">
        <is>
          <t>switches a minute per squad above which the viewer warns (J.3)</t>
        </is>
      </c>
      <c r="I44" t="n">
        <v>6</v>
      </c>
      <c r="J44" t="inlineStr">
        <is>
          <t>Assets/MachineBrigade/Resources/Data/balance.json: ai.world.churnWarn</t>
        </is>
      </c>
      <c r="K44" t="inlineStr">
        <is>
          <t>{"value":6,"min":3,"max":12,"metric":"Số lần đổi hành động mỗi phút của đội","reason":"switches a minute per squad above which the viewer warns (J.3)"}</t>
        </is>
      </c>
    </row>
    <row r="45">
      <c r="A45" t="inlineStr">
        <is>
          <t>world.escalationPoints</t>
        </is>
      </c>
      <c r="B45" t="inlineStr">
        <is>
          <t>world</t>
        </is>
      </c>
      <c r="C45" t="inlineStr">
        <is>
          <t>escalationPoints</t>
        </is>
      </c>
      <c r="D45" t="inlineStr"/>
      <c r="E45" t="n">
        <v>2</v>
      </c>
      <c r="F45" t="inlineStr">
        <is>
          <t>Tỷ lệ thời gian có giao tranh</t>
        </is>
      </c>
      <c r="G45" t="n">
        <v>1.25</v>
      </c>
      <c r="H45" t="inlineStr">
        <is>
          <t>tier 1: points' income and bleed x this</t>
        </is>
      </c>
      <c r="I45" t="n">
        <v>1.5</v>
      </c>
      <c r="J45" t="inlineStr">
        <is>
          <t>Assets/MachineBrigade/Resources/Data/balance.json: ai.world.escalationPoints</t>
        </is>
      </c>
      <c r="K45" t="inlineStr">
        <is>
          <t>{"value":1.5,"min":1.25,"max":2,"metric":"Tỷ lệ thời gian có giao tranh","reason":"tier 1: points' income and bleed x this"}</t>
        </is>
      </c>
    </row>
    <row r="46">
      <c r="A46" t="inlineStr">
        <is>
          <t>world.eventLife</t>
        </is>
      </c>
      <c r="B46" t="inlineStr">
        <is>
          <t>world</t>
        </is>
      </c>
      <c r="C46" t="inlineStr">
        <is>
          <t>eventLife</t>
        </is>
      </c>
      <c r="D46" t="inlineStr"/>
      <c r="E46" t="n">
        <v>15</v>
      </c>
      <c r="F46" t="inlineStr">
        <is>
          <t>Số lần đổi hành động mỗi phút của đội</t>
        </is>
      </c>
      <c r="G46" t="n">
        <v>4</v>
      </c>
      <c r="H46" t="inlineStr">
        <is>
          <t>seconds an event lasts unless refreshed</t>
        </is>
      </c>
      <c r="I46" t="n">
        <v>8</v>
      </c>
      <c r="J46" t="inlineStr">
        <is>
          <t>Assets/MachineBrigade/Resources/Data/balance.json: ai.world.eventLife</t>
        </is>
      </c>
      <c r="K46" t="inlineStr">
        <is>
          <t>{"value":8,"min":4,"max":15,"metric":"Số lần đổi hành động mỗi phút của đội","reason":"seconds an event lasts unless refreshed"}</t>
        </is>
      </c>
    </row>
    <row r="47">
      <c r="A47" t="inlineStr">
        <is>
          <t>world.highValue</t>
        </is>
      </c>
      <c r="B47" t="inlineStr">
        <is>
          <t>world</t>
        </is>
      </c>
      <c r="C47" t="inlineStr">
        <is>
          <t>highValue</t>
        </is>
      </c>
      <c r="D47" t="inlineStr"/>
      <c r="E47" t="n">
        <v>2.5</v>
      </c>
      <c r="F47" t="inlineStr">
        <is>
          <t>Số mục tiêu giá trị bị hạ</t>
        </is>
      </c>
      <c r="G47" t="n">
        <v>1.2</v>
      </c>
      <c r="H47" t="inlineStr">
        <is>
          <t>a contact this many times the mean known strength is high value</t>
        </is>
      </c>
      <c r="I47" t="n">
        <v>1.5</v>
      </c>
      <c r="J47" t="inlineStr">
        <is>
          <t>Assets/MachineBrigade/Resources/Data/balance.json: ai.world.highValue</t>
        </is>
      </c>
      <c r="K47" t="inlineStr">
        <is>
          <t>{"value":1.5,"min":1.2,"max":2.5,"metric":"Số mục tiêu giá trị bị hạ","reason":"a contact this many times the mean known strength is high value"}</t>
        </is>
      </c>
    </row>
    <row r="48">
      <c r="A48" t="inlineStr">
        <is>
          <t>world.mergeThreshold</t>
        </is>
      </c>
      <c r="B48" t="inlineStr">
        <is>
          <t>world</t>
        </is>
      </c>
      <c r="C48" t="inlineStr">
        <is>
          <t>mergeThreshold</t>
        </is>
      </c>
      <c r="D48" t="inlineStr"/>
      <c r="E48" t="n">
        <v>0.25</v>
      </c>
      <c r="F48" t="inlineStr">
        <is>
          <t>Khoảng cách dấu vân giữa các cặp</t>
        </is>
      </c>
      <c r="G48" t="n">
        <v>0.1</v>
      </c>
      <c r="H48" t="inlineStr">
        <is>
          <t>H.3: pairs closer than this merge</t>
        </is>
      </c>
      <c r="I48" t="n">
        <v>0.15</v>
      </c>
      <c r="J48" t="inlineStr">
        <is>
          <t>Assets/MachineBrigade/Resources/Data/balance.json: ai.world.mergeThreshold</t>
        </is>
      </c>
      <c r="K48" t="inlineStr">
        <is>
          <t>{"value":0.15,"min":0.1,"max":0.25,"metric":"Khoảng cách dấu vân giữa các cặp","reason":"H.3: pairs closer than this merge"}</t>
        </is>
      </c>
    </row>
    <row r="49">
      <c r="A49" t="inlineStr">
        <is>
          <t>world.rate</t>
        </is>
      </c>
      <c r="B49" t="inlineStr">
        <is>
          <t>world</t>
        </is>
      </c>
      <c r="C49" t="inlineStr">
        <is>
          <t>rate</t>
        </is>
      </c>
      <c r="D49" t="inlineStr"/>
      <c r="E49" t="n">
        <v>4</v>
      </c>
      <c r="F49" t="inlineStr">
        <is>
          <t>AI tick time (M.5)</t>
        </is>
      </c>
      <c r="G49" t="n">
        <v>1</v>
      </c>
      <c r="H49" t="inlineStr">
        <is>
          <t>/M.1: about twice a second</t>
        </is>
      </c>
      <c r="I49" t="n">
        <v>2</v>
      </c>
      <c r="J49" t="inlineStr">
        <is>
          <t>Assets/MachineBrigade/Resources/Data/balance.json: ai.world.rate</t>
        </is>
      </c>
      <c r="K49" t="inlineStr">
        <is>
          <t>{"value":2,"min":1,"max":4,"metric":"AI tick time (M.5)","reason":"/M.1: about twice a second"}</t>
        </is>
      </c>
    </row>
    <row r="50">
      <c r="A50" t="inlineStr">
        <is>
          <t>world.splashMin</t>
        </is>
      </c>
      <c r="B50" t="inlineStr">
        <is>
          <t>world</t>
        </is>
      </c>
      <c r="C50" t="inlineStr">
        <is>
          <t>splashMin</t>
        </is>
      </c>
      <c r="D50" t="inlineStr"/>
      <c r="E50" t="n">
        <v>4</v>
      </c>
      <c r="F50" t="inlineStr">
        <is>
          <t>Số xe bị hạ bởi bắn lan mỗi phút</t>
        </is>
      </c>
      <c r="G50" t="n">
        <v>1</v>
      </c>
      <c r="H50" t="inlineStr">
        <is>
          <t>a weapon with a blast this wide (m) paints the splash threat</t>
        </is>
      </c>
      <c r="I50" t="n">
        <v>2</v>
      </c>
      <c r="J50" t="inlineStr">
        <is>
          <t>Assets/MachineBrigade/Resources/Data/balance.json: ai.world.splashMin</t>
        </is>
      </c>
      <c r="K50" t="inlineStr">
        <is>
          <t>{"value":2,"min":1,"max":4,"metric":"Số xe bị hạ bởi bắn lan mỗi phút","reason":"a weapon with a blast this wide (m) paints the splash threat"}</t>
        </is>
      </c>
    </row>
  </sheetData>
  <autoFilter ref="A1:K50"/>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13" customWidth="1" min="3" max="3"/>
    <col width="60" customWidth="1" min="4" max="4"/>
    <col width="44" customWidth="1" min="5" max="5"/>
  </cols>
  <sheetData>
    <row r="1">
      <c r="A1" s="1" t="inlineStr">
        <is>
          <t>id</t>
        </is>
      </c>
      <c r="B1" s="1" t="inlineStr">
        <is>
          <t>engage</t>
        </is>
      </c>
      <c r="C1" s="1" t="inlineStr">
        <is>
          <t>overwhelmed</t>
        </is>
      </c>
      <c r="D1" s="1" t="inlineStr">
        <is>
          <t>nguon</t>
        </is>
      </c>
      <c r="E1" s="1" t="inlineStr">
        <is>
          <t>raw_json</t>
        </is>
      </c>
    </row>
    <row r="2">
      <c r="A2" t="inlineStr">
        <is>
          <t>Arty</t>
        </is>
      </c>
      <c r="B2" t="inlineStr"/>
      <c r="C2" t="inlineStr">
        <is>
          <t>Scoot</t>
        </is>
      </c>
      <c r="D2" t="inlineStr">
        <is>
          <t>Assets/MachineBrigade/Resources/Data/balance.json: aiBehaviour.roles.Arty</t>
        </is>
      </c>
      <c r="E2" t="inlineStr">
        <is>
          <t>{"engage":[],"overwhelmed":"Scoot"}</t>
        </is>
      </c>
    </row>
    <row r="3">
      <c r="A3" t="inlineStr">
        <is>
          <t>AttackHeli</t>
        </is>
      </c>
      <c r="B3" t="inlineStr">
        <is>
          <t>0.85;1.0</t>
        </is>
      </c>
      <c r="C3" t="inlineStr">
        <is>
          <t>Rearm</t>
        </is>
      </c>
      <c r="D3" t="inlineStr">
        <is>
          <t>Assets/MachineBrigade/Resources/Data/balance.json: aiBehaviour.roles.AttackHeli</t>
        </is>
      </c>
      <c r="E3" t="inlineStr">
        <is>
          <t>{"engage":[0.85,1.0],"overwhelmed":"Rearm"}</t>
        </is>
      </c>
    </row>
    <row r="4">
      <c r="A4" t="inlineStr">
        <is>
          <t>Bomber</t>
        </is>
      </c>
      <c r="B4" t="inlineStr"/>
      <c r="C4" t="inlineStr">
        <is>
          <t>Hold</t>
        </is>
      </c>
      <c r="D4" t="inlineStr">
        <is>
          <t>Assets/MachineBrigade/Resources/Data/balance.json: aiBehaviour.roles.Bomber</t>
        </is>
      </c>
      <c r="E4" t="inlineStr">
        <is>
          <t>{"engage":[],"overwhelmed":"Hold"}</t>
        </is>
      </c>
    </row>
    <row r="5">
      <c r="A5" t="inlineStr">
        <is>
          <t>Bunker</t>
        </is>
      </c>
      <c r="B5" t="inlineStr"/>
      <c r="C5" t="inlineStr">
        <is>
          <t>Hold</t>
        </is>
      </c>
      <c r="D5" t="inlineStr">
        <is>
          <t>Assets/MachineBrigade/Resources/Data/balance.json: aiBehaviour.roles.Bunker</t>
        </is>
      </c>
      <c r="E5" t="inlineStr">
        <is>
          <t>{"engage":[],"overwhelmed":"Hold"}</t>
        </is>
      </c>
    </row>
    <row r="6">
      <c r="A6" t="inlineStr">
        <is>
          <t>CAS</t>
        </is>
      </c>
      <c r="B6" t="inlineStr">
        <is>
          <t>0.6;1.0</t>
        </is>
      </c>
      <c r="C6" t="inlineStr">
        <is>
          <t>Rearm</t>
        </is>
      </c>
      <c r="D6" t="inlineStr">
        <is>
          <t>Assets/MachineBrigade/Resources/Data/balance.json: aiBehaviour.roles.CAS</t>
        </is>
      </c>
      <c r="E6" t="inlineStr">
        <is>
          <t>{"engage":[0.6,1.0],"overwhelmed":"Rearm"}</t>
        </is>
      </c>
    </row>
    <row r="7">
      <c r="A7" t="inlineStr">
        <is>
          <t>Drone</t>
        </is>
      </c>
      <c r="B7" t="inlineStr"/>
      <c r="C7" t="inlineStr">
        <is>
          <t>Hold</t>
        </is>
      </c>
      <c r="D7" t="inlineStr">
        <is>
          <t>Assets/MachineBrigade/Resources/Data/balance.json: aiBehaviour.roles.Drone</t>
        </is>
      </c>
      <c r="E7" t="inlineStr">
        <is>
          <t>{"engage":[],"overwhelmed":"Hold"}</t>
        </is>
      </c>
    </row>
    <row r="8">
      <c r="A8" t="inlineStr">
        <is>
          <t>Fighter</t>
        </is>
      </c>
      <c r="B8" t="inlineStr">
        <is>
          <t>0.8;1.0</t>
        </is>
      </c>
      <c r="C8" t="inlineStr">
        <is>
          <t>Rearm</t>
        </is>
      </c>
      <c r="D8" t="inlineStr">
        <is>
          <t>Assets/MachineBrigade/Resources/Data/balance.json: aiBehaviour.roles.Fighter</t>
        </is>
      </c>
      <c r="E8" t="inlineStr">
        <is>
          <t>{"engage":[0.8,1.0],"overwhelmed":"Rearm"}</t>
        </is>
      </c>
    </row>
    <row r="9">
      <c r="A9" t="inlineStr">
        <is>
          <t>Flame</t>
        </is>
      </c>
      <c r="B9" t="inlineStr"/>
      <c r="C9" t="inlineStr">
        <is>
          <t>Hold</t>
        </is>
      </c>
      <c r="D9" t="inlineStr">
        <is>
          <t>Assets/MachineBrigade/Resources/Data/balance.json: aiBehaviour.roles.Flame</t>
        </is>
      </c>
      <c r="E9" t="inlineStr">
        <is>
          <t>{"engage":[],"overwhelmed":"Hold"}</t>
        </is>
      </c>
    </row>
    <row r="10">
      <c r="A10" t="inlineStr">
        <is>
          <t>Gunship</t>
        </is>
      </c>
      <c r="B10" t="inlineStr"/>
      <c r="C10" t="inlineStr">
        <is>
          <t>Shift</t>
        </is>
      </c>
      <c r="D10" t="inlineStr">
        <is>
          <t>Assets/MachineBrigade/Resources/Data/balance.json: aiBehaviour.roles.Gunship</t>
        </is>
      </c>
      <c r="E10" t="inlineStr">
        <is>
          <t>{"engage":[],"overwhelmed":"Shift"}</t>
        </is>
      </c>
    </row>
    <row r="11">
      <c r="A11" t="inlineStr">
        <is>
          <t>GunshipHeli</t>
        </is>
      </c>
      <c r="B11" t="inlineStr">
        <is>
          <t>0.7;0.9</t>
        </is>
      </c>
      <c r="C11" t="inlineStr">
        <is>
          <t>Rearm</t>
        </is>
      </c>
      <c r="D11" t="inlineStr">
        <is>
          <t>Assets/MachineBrigade/Resources/Data/balance.json: aiBehaviour.roles.GunshipHeli</t>
        </is>
      </c>
      <c r="E11" t="inlineStr">
        <is>
          <t>{"engage":[0.7,0.9],"overwhelmed":"Rearm"}</t>
        </is>
      </c>
    </row>
    <row r="12">
      <c r="A12" t="inlineStr">
        <is>
          <t>Heavy</t>
        </is>
      </c>
      <c r="B12" t="inlineStr">
        <is>
          <t>0.6;0.8</t>
        </is>
      </c>
      <c r="C12" t="inlineStr">
        <is>
          <t>Hold</t>
        </is>
      </c>
      <c r="D12" t="inlineStr">
        <is>
          <t>Assets/MachineBrigade/Resources/Data/balance.json: aiBehaviour.roles.Heavy</t>
        </is>
      </c>
      <c r="E12" t="inlineStr">
        <is>
          <t>{"engage":[0.6,0.8],"overwhelmed":"Hold"}</t>
        </is>
      </c>
    </row>
    <row r="13">
      <c r="A13" t="inlineStr">
        <is>
          <t>IFV</t>
        </is>
      </c>
      <c r="B13" t="inlineStr">
        <is>
          <t>0.7;0.9</t>
        </is>
      </c>
      <c r="C13" t="inlineStr">
        <is>
          <t>Shift</t>
        </is>
      </c>
      <c r="D13" t="inlineStr">
        <is>
          <t>Assets/MachineBrigade/Resources/Data/balance.json: aiBehaviour.roles.IFV</t>
        </is>
      </c>
      <c r="E13" t="inlineStr">
        <is>
          <t>{"engage":[0.7,0.9],"overwhelmed":"Shift"}</t>
        </is>
      </c>
    </row>
    <row r="14">
      <c r="A14" t="inlineStr">
        <is>
          <t>Laser</t>
        </is>
      </c>
      <c r="B14" t="inlineStr"/>
      <c r="C14" t="inlineStr">
        <is>
          <t>Shift</t>
        </is>
      </c>
      <c r="D14" t="inlineStr">
        <is>
          <t>Assets/MachineBrigade/Resources/Data/balance.json: aiBehaviour.roles.Laser</t>
        </is>
      </c>
      <c r="E14" t="inlineStr">
        <is>
          <t>{"engage":[],"overwhelmed":"Shift"}</t>
        </is>
      </c>
    </row>
    <row r="15">
      <c r="A15" t="inlineStr">
        <is>
          <t>Light</t>
        </is>
      </c>
      <c r="B15" t="inlineStr">
        <is>
          <t>0.85;1.0</t>
        </is>
      </c>
      <c r="C15" t="inlineStr">
        <is>
          <t>Hold</t>
        </is>
      </c>
      <c r="D15" t="inlineStr">
        <is>
          <t>Assets/MachineBrigade/Resources/Data/balance.json: aiBehaviour.roles.Light</t>
        </is>
      </c>
      <c r="E15" t="inlineStr">
        <is>
          <t>{"engage":[0.85,1.0],"overwhelmed":"Hold"}</t>
        </is>
      </c>
    </row>
    <row r="16">
      <c r="A16" t="inlineStr">
        <is>
          <t>MBT</t>
        </is>
      </c>
      <c r="B16" t="inlineStr">
        <is>
          <t>0.75;0.9</t>
        </is>
      </c>
      <c r="C16" t="inlineStr">
        <is>
          <t>Cover</t>
        </is>
      </c>
      <c r="D16" t="inlineStr">
        <is>
          <t>Assets/MachineBrigade/Resources/Data/balance.json: aiBehaviour.roles.MBT</t>
        </is>
      </c>
      <c r="E16" t="inlineStr">
        <is>
          <t>{"engage":[0.75,0.9],"overwhelmed":"Cover"}</t>
        </is>
      </c>
    </row>
    <row r="17">
      <c r="A17" t="inlineStr">
        <is>
          <t>MLRS</t>
        </is>
      </c>
      <c r="B17" t="inlineStr"/>
      <c r="C17" t="inlineStr">
        <is>
          <t>Scoot</t>
        </is>
      </c>
      <c r="D17" t="inlineStr">
        <is>
          <t>Assets/MachineBrigade/Resources/Data/balance.json: aiBehaviour.roles.MLRS</t>
        </is>
      </c>
      <c r="E17" t="inlineStr">
        <is>
          <t>{"engage":[],"overwhelmed":"Scoot"}</t>
        </is>
      </c>
    </row>
    <row r="18">
      <c r="A18" t="inlineStr">
        <is>
          <t>Rail</t>
        </is>
      </c>
      <c r="B18" t="inlineStr">
        <is>
          <t>0.9;1.0</t>
        </is>
      </c>
      <c r="C18" t="inlineStr">
        <is>
          <t>Shift</t>
        </is>
      </c>
      <c r="D18" t="inlineStr">
        <is>
          <t>Assets/MachineBrigade/Resources/Data/balance.json: aiBehaviour.roles.Rail</t>
        </is>
      </c>
      <c r="E18" t="inlineStr">
        <is>
          <t>{"engage":[0.9,1.0],"overwhelmed":"Shift"}</t>
        </is>
      </c>
    </row>
    <row r="19">
      <c r="A19" t="inlineStr">
        <is>
          <t>Recon</t>
        </is>
      </c>
      <c r="B19" t="inlineStr"/>
      <c r="C19" t="inlineStr">
        <is>
          <t>Shift</t>
        </is>
      </c>
      <c r="D19" t="inlineStr">
        <is>
          <t>Assets/MachineBrigade/Resources/Data/balance.json: aiBehaviour.roles.Recon</t>
        </is>
      </c>
      <c r="E19" t="inlineStr">
        <is>
          <t>{"engage":[],"overwhelmed":"Shift"}</t>
        </is>
      </c>
    </row>
    <row r="20">
      <c r="A20" t="inlineStr">
        <is>
          <t>SAM</t>
        </is>
      </c>
      <c r="B20" t="inlineStr">
        <is>
          <t>0.8;1.0</t>
        </is>
      </c>
      <c r="C20" t="inlineStr">
        <is>
          <t>Shift</t>
        </is>
      </c>
      <c r="D20" t="inlineStr">
        <is>
          <t>Assets/MachineBrigade/Resources/Data/balance.json: aiBehaviour.roles.SAM</t>
        </is>
      </c>
      <c r="E20" t="inlineStr">
        <is>
          <t>{"engage":[0.8,1.0],"overwhelmed":"Shift"}</t>
        </is>
      </c>
    </row>
    <row r="21">
      <c r="A21" t="inlineStr">
        <is>
          <t>SPAAG</t>
        </is>
      </c>
      <c r="B21" t="inlineStr">
        <is>
          <t>0.7;0.9</t>
        </is>
      </c>
      <c r="C21" t="inlineStr">
        <is>
          <t>Hold</t>
        </is>
      </c>
      <c r="D21" t="inlineStr">
        <is>
          <t>Assets/MachineBrigade/Resources/Data/balance.json: aiBehaviour.roles.SPAAG</t>
        </is>
      </c>
      <c r="E21" t="inlineStr">
        <is>
          <t>{"engage":[0.7,0.9],"overwhelmed":"Hold"}</t>
        </is>
      </c>
    </row>
    <row r="22">
      <c r="A22" t="inlineStr">
        <is>
          <t>ScoutHeli</t>
        </is>
      </c>
      <c r="B22" t="inlineStr">
        <is>
          <t>0.9;1.0</t>
        </is>
      </c>
      <c r="C22" t="inlineStr">
        <is>
          <t>Rearm</t>
        </is>
      </c>
      <c r="D22" t="inlineStr">
        <is>
          <t>Assets/MachineBrigade/Resources/Data/balance.json: aiBehaviour.roles.ScoutHeli</t>
        </is>
      </c>
      <c r="E22" t="inlineStr">
        <is>
          <t>{"engage":[0.9,1.0],"overwhelmed":"Rearm"}</t>
        </is>
      </c>
    </row>
    <row r="23">
      <c r="A23" t="inlineStr">
        <is>
          <t>Siege</t>
        </is>
      </c>
      <c r="B23" t="inlineStr"/>
      <c r="C23" t="inlineStr">
        <is>
          <t>Hold</t>
        </is>
      </c>
      <c r="D23" t="inlineStr">
        <is>
          <t>Assets/MachineBrigade/Resources/Data/balance.json: aiBehaviour.roles.Siege</t>
        </is>
      </c>
      <c r="E23" t="inlineStr">
        <is>
          <t>{"engage":[],"overwhelmed":"Hold"}</t>
        </is>
      </c>
    </row>
    <row r="24">
      <c r="A24" t="inlineStr">
        <is>
          <t>Stealth</t>
        </is>
      </c>
      <c r="B24" t="inlineStr">
        <is>
          <t>0.9;1.0</t>
        </is>
      </c>
      <c r="C24" t="inlineStr">
        <is>
          <t>Shift</t>
        </is>
      </c>
      <c r="D24" t="inlineStr">
        <is>
          <t>Assets/MachineBrigade/Resources/Data/balance.json: aiBehaviour.roles.Stealth</t>
        </is>
      </c>
      <c r="E24" t="inlineStr">
        <is>
          <t>{"engage":[0.9,1.0],"overwhelmed":"Shift"}</t>
        </is>
      </c>
    </row>
    <row r="25">
      <c r="A25" t="inlineStr">
        <is>
          <t>Strike</t>
        </is>
      </c>
      <c r="B25" t="inlineStr"/>
      <c r="C25" t="inlineStr">
        <is>
          <t>Scoot</t>
        </is>
      </c>
      <c r="D25" t="inlineStr">
        <is>
          <t>Assets/MachineBrigade/Resources/Data/balance.json: aiBehaviour.roles.Strike</t>
        </is>
      </c>
      <c r="E25" t="inlineStr">
        <is>
          <t>{"engage":[],"overwhelmed":"Scoot"}</t>
        </is>
      </c>
    </row>
    <row r="26">
      <c r="A26" t="inlineStr">
        <is>
          <t>Support</t>
        </is>
      </c>
      <c r="B26" t="inlineStr"/>
      <c r="C26" t="inlineStr">
        <is>
          <t>Hold</t>
        </is>
      </c>
      <c r="D26" t="inlineStr">
        <is>
          <t>Assets/MachineBrigade/Resources/Data/balance.json: aiBehaviour.roles.Support</t>
        </is>
      </c>
      <c r="E26" t="inlineStr">
        <is>
          <t>{"engage":[],"overwhelmed":"Hold"}</t>
        </is>
      </c>
    </row>
    <row r="27">
      <c r="A27" t="inlineStr">
        <is>
          <t>TD</t>
        </is>
      </c>
      <c r="B27" t="inlineStr">
        <is>
          <t>0.9;1.0</t>
        </is>
      </c>
      <c r="C27" t="inlineStr">
        <is>
          <t>Shift</t>
        </is>
      </c>
      <c r="D27" t="inlineStr">
        <is>
          <t>Assets/MachineBrigade/Resources/Data/balance.json: aiBehaviour.roles.TD</t>
        </is>
      </c>
      <c r="E27" t="inlineStr">
        <is>
          <t>{"engage":[0.9,1.0],"overwhelmed":"Shift"}</t>
        </is>
      </c>
    </row>
    <row r="28">
      <c r="A28" t="inlineStr">
        <is>
          <t>UAV</t>
        </is>
      </c>
      <c r="B28" t="inlineStr">
        <is>
          <t>0.9;1.0</t>
        </is>
      </c>
      <c r="C28" t="inlineStr">
        <is>
          <t>Shift</t>
        </is>
      </c>
      <c r="D28" t="inlineStr">
        <is>
          <t>Assets/MachineBrigade/Resources/Data/balance.json: aiBehaviour.roles.UAV</t>
        </is>
      </c>
      <c r="E28" t="inlineStr">
        <is>
          <t>{"engage":[0.9,1.0],"overwhelmed":"Shift"}</t>
        </is>
      </c>
    </row>
    <row r="29">
      <c r="A29" t="inlineStr">
        <is>
          <t>VBIED</t>
        </is>
      </c>
      <c r="B29" t="inlineStr"/>
      <c r="C29" t="inlineStr">
        <is>
          <t>Hold</t>
        </is>
      </c>
      <c r="D29" t="inlineStr">
        <is>
          <t>Assets/MachineBrigade/Resources/Data/balance.json: aiBehaviour.roles.VBIED</t>
        </is>
      </c>
      <c r="E29" t="inlineStr">
        <is>
          <t>{"engage":[],"overwhelmed":"Hold"}</t>
        </is>
      </c>
    </row>
  </sheetData>
  <autoFilter ref="A1:E29"/>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23" customWidth="1" min="2" max="2"/>
    <col width="11" customWidth="1" min="3" max="3"/>
    <col width="60" customWidth="1" min="4" max="4"/>
    <col width="13" customWidth="1" min="5" max="5"/>
  </cols>
  <sheetData>
    <row r="1">
      <c r="A1" s="1" t="inlineStr">
        <is>
          <t>id</t>
        </is>
      </c>
      <c r="B1" s="1" t="inlineStr">
        <is>
          <t>don_vi</t>
        </is>
      </c>
      <c r="C1" s="1" t="inlineStr">
        <is>
          <t>vai_tro</t>
        </is>
      </c>
      <c r="D1" s="1" t="inlineStr">
        <is>
          <t>nguon</t>
        </is>
      </c>
      <c r="E1" s="1" t="inlineStr">
        <is>
          <t>raw_json</t>
        </is>
      </c>
    </row>
    <row r="2">
      <c r="A2" t="inlineStr">
        <is>
          <t>aa_corvette</t>
        </is>
      </c>
      <c r="B2" t="inlineStr">
        <is>
          <t>aa_corvette</t>
        </is>
      </c>
      <c r="C2" t="inlineStr">
        <is>
          <t>SAM</t>
        </is>
      </c>
      <c r="D2" t="inlineStr">
        <is>
          <t>Assets/MachineBrigade/Resources/Data/balance.json: aiBehaviour.units.aa_corvette</t>
        </is>
      </c>
      <c r="E2" t="inlineStr">
        <is>
          <t>"SAM"</t>
        </is>
      </c>
    </row>
    <row r="3">
      <c r="A3" t="inlineStr">
        <is>
          <t>aa_destroyer</t>
        </is>
      </c>
      <c r="B3" t="inlineStr">
        <is>
          <t>aa_destroyer</t>
        </is>
      </c>
      <c r="C3" t="inlineStr">
        <is>
          <t>SAM</t>
        </is>
      </c>
      <c r="D3" t="inlineStr">
        <is>
          <t>Assets/MachineBrigade/Resources/Data/balance.json: aiBehaviour.units.aa_destroyer</t>
        </is>
      </c>
      <c r="E3" t="inlineStr">
        <is>
          <t>"SAM"</t>
        </is>
      </c>
    </row>
    <row r="4">
      <c r="A4" t="inlineStr">
        <is>
          <t>aa_frigate</t>
        </is>
      </c>
      <c r="B4" t="inlineStr">
        <is>
          <t>aa_frigate</t>
        </is>
      </c>
      <c r="C4" t="inlineStr">
        <is>
          <t>SAM</t>
        </is>
      </c>
      <c r="D4" t="inlineStr">
        <is>
          <t>Assets/MachineBrigade/Resources/Data/balance.json: aiBehaviour.units.aa_frigate</t>
        </is>
      </c>
      <c r="E4" t="inlineStr">
        <is>
          <t>"SAM"</t>
        </is>
      </c>
    </row>
    <row r="5">
      <c r="A5" t="inlineStr">
        <is>
          <t>aa_vehicle</t>
        </is>
      </c>
      <c r="B5" t="inlineStr">
        <is>
          <t>aa_vehicle</t>
        </is>
      </c>
      <c r="C5" t="inlineStr">
        <is>
          <t>SPAAG</t>
        </is>
      </c>
      <c r="D5" t="inlineStr">
        <is>
          <t>Assets/MachineBrigade/Resources/Data/balance.json: aiBehaviour.units.aa_vehicle</t>
        </is>
      </c>
      <c r="E5" t="inlineStr">
        <is>
          <t>"SPAAG"</t>
        </is>
      </c>
    </row>
    <row r="6">
      <c r="A6" t="inlineStr">
        <is>
          <t>ammo_carrier</t>
        </is>
      </c>
      <c r="B6" t="inlineStr">
        <is>
          <t>ammo_carrier</t>
        </is>
      </c>
      <c r="C6" t="inlineStr">
        <is>
          <t>Support</t>
        </is>
      </c>
      <c r="D6" t="inlineStr">
        <is>
          <t>Assets/MachineBrigade/Resources/Data/balance.json: aiBehaviour.units.ammo_carrier</t>
        </is>
      </c>
      <c r="E6" t="inlineStr">
        <is>
          <t>"Support"</t>
        </is>
      </c>
    </row>
    <row r="7">
      <c r="A7" t="inlineStr">
        <is>
          <t>armored_bulldozer</t>
        </is>
      </c>
      <c r="B7" t="inlineStr">
        <is>
          <t>armored_bulldozer</t>
        </is>
      </c>
      <c r="C7" t="inlineStr">
        <is>
          <t>Bunker</t>
        </is>
      </c>
      <c r="D7" t="inlineStr">
        <is>
          <t>Assets/MachineBrigade/Resources/Data/balance.json: aiBehaviour.units.armored_bulldozer</t>
        </is>
      </c>
      <c r="E7" t="inlineStr">
        <is>
          <t>"Bunker"</t>
        </is>
      </c>
    </row>
    <row r="8">
      <c r="A8" t="inlineStr">
        <is>
          <t>armored_car</t>
        </is>
      </c>
      <c r="B8" t="inlineStr">
        <is>
          <t>armored_car</t>
        </is>
      </c>
      <c r="C8" t="inlineStr">
        <is>
          <t>Light</t>
        </is>
      </c>
      <c r="D8" t="inlineStr">
        <is>
          <t>Assets/MachineBrigade/Resources/Data/balance.json: aiBehaviour.units.armored_car</t>
        </is>
      </c>
      <c r="E8" t="inlineStr">
        <is>
          <t>"Light"</t>
        </is>
      </c>
    </row>
    <row r="9">
      <c r="A9" t="inlineStr">
        <is>
          <t>artillery</t>
        </is>
      </c>
      <c r="B9" t="inlineStr">
        <is>
          <t>artillery</t>
        </is>
      </c>
      <c r="C9" t="inlineStr">
        <is>
          <t>Arty</t>
        </is>
      </c>
      <c r="D9" t="inlineStr">
        <is>
          <t>Assets/MachineBrigade/Resources/Data/balance.json: aiBehaviour.units.artillery</t>
        </is>
      </c>
      <c r="E9" t="inlineStr">
        <is>
          <t>"Arty"</t>
        </is>
      </c>
    </row>
    <row r="10">
      <c r="A10" t="inlineStr">
        <is>
          <t>ashm_corvette</t>
        </is>
      </c>
      <c r="B10" t="inlineStr">
        <is>
          <t>ashm_corvette</t>
        </is>
      </c>
      <c r="C10" t="inlineStr">
        <is>
          <t>TD</t>
        </is>
      </c>
      <c r="D10" t="inlineStr">
        <is>
          <t>Assets/MachineBrigade/Resources/Data/balance.json: aiBehaviour.units.ashm_corvette</t>
        </is>
      </c>
      <c r="E10" t="inlineStr">
        <is>
          <t>"TD"</t>
        </is>
      </c>
    </row>
    <row r="11">
      <c r="A11" t="inlineStr">
        <is>
          <t>attack_helicopter</t>
        </is>
      </c>
      <c r="B11" t="inlineStr">
        <is>
          <t>attack_helicopter</t>
        </is>
      </c>
      <c r="C11" t="inlineStr">
        <is>
          <t>AttackHeli</t>
        </is>
      </c>
      <c r="D11" t="inlineStr">
        <is>
          <t>Assets/MachineBrigade/Resources/Data/balance.json: aiBehaviour.units.attack_helicopter</t>
        </is>
      </c>
      <c r="E11" t="inlineStr">
        <is>
          <t>"AttackHeli"</t>
        </is>
      </c>
    </row>
    <row r="12">
      <c r="A12" t="inlineStr">
        <is>
          <t>attack_jet</t>
        </is>
      </c>
      <c r="B12" t="inlineStr">
        <is>
          <t>attack_jet</t>
        </is>
      </c>
      <c r="C12" t="inlineStr">
        <is>
          <t>CAS</t>
        </is>
      </c>
      <c r="D12" t="inlineStr">
        <is>
          <t>Assets/MachineBrigade/Resources/Data/balance.json: aiBehaviour.units.attack_jet</t>
        </is>
      </c>
      <c r="E12" t="inlineStr">
        <is>
          <t>"CAS"</t>
        </is>
      </c>
    </row>
    <row r="13">
      <c r="A13" t="inlineStr">
        <is>
          <t>ballistic_launcher</t>
        </is>
      </c>
      <c r="B13" t="inlineStr">
        <is>
          <t>ballistic_launcher</t>
        </is>
      </c>
      <c r="C13" t="inlineStr">
        <is>
          <t>Strike</t>
        </is>
      </c>
      <c r="D13" t="inlineStr">
        <is>
          <t>Assets/MachineBrigade/Resources/Data/balance.json: aiBehaviour.units.ballistic_launcher</t>
        </is>
      </c>
      <c r="E13" t="inlineStr">
        <is>
          <t>"Strike"</t>
        </is>
      </c>
    </row>
    <row r="14">
      <c r="A14" t="inlineStr">
        <is>
          <t>battlecruiser</t>
        </is>
      </c>
      <c r="B14" t="inlineStr">
        <is>
          <t>battlecruiser</t>
        </is>
      </c>
      <c r="C14" t="inlineStr">
        <is>
          <t>Heavy</t>
        </is>
      </c>
      <c r="D14" t="inlineStr">
        <is>
          <t>Assets/MachineBrigade/Resources/Data/balance.json: aiBehaviour.units.battlecruiser</t>
        </is>
      </c>
      <c r="E14" t="inlineStr">
        <is>
          <t>"Heavy"</t>
        </is>
      </c>
    </row>
    <row r="15">
      <c r="A15" t="inlineStr">
        <is>
          <t>battleship</t>
        </is>
      </c>
      <c r="B15" t="inlineStr">
        <is>
          <t>battleship</t>
        </is>
      </c>
      <c r="C15" t="inlineStr">
        <is>
          <t>Heavy</t>
        </is>
      </c>
      <c r="D15" t="inlineStr">
        <is>
          <t>Assets/MachineBrigade/Resources/Data/balance.json: aiBehaviour.units.battleship</t>
        </is>
      </c>
      <c r="E15" t="inlineStr">
        <is>
          <t>"Heavy"</t>
        </is>
      </c>
    </row>
    <row r="16">
      <c r="A16" t="inlineStr">
        <is>
          <t>ciws_escort_ship</t>
        </is>
      </c>
      <c r="B16" t="inlineStr">
        <is>
          <t>ciws_escort_ship</t>
        </is>
      </c>
      <c r="C16" t="inlineStr">
        <is>
          <t>Support</t>
        </is>
      </c>
      <c r="D16" t="inlineStr">
        <is>
          <t>Assets/MachineBrigade/Resources/Data/balance.json: aiBehaviour.units.ciws_escort_ship</t>
        </is>
      </c>
      <c r="E16" t="inlineStr">
        <is>
          <t>"Support"</t>
        </is>
      </c>
    </row>
    <row r="17">
      <c r="A17" t="inlineStr">
        <is>
          <t>command_vehicle</t>
        </is>
      </c>
      <c r="B17" t="inlineStr">
        <is>
          <t>command_vehicle</t>
        </is>
      </c>
      <c r="C17" t="inlineStr">
        <is>
          <t>Support</t>
        </is>
      </c>
      <c r="D17" t="inlineStr">
        <is>
          <t>Assets/MachineBrigade/Resources/Data/balance.json: aiBehaviour.units.command_vehicle</t>
        </is>
      </c>
      <c r="E17" t="inlineStr">
        <is>
          <t>"Support"</t>
        </is>
      </c>
    </row>
    <row r="18">
      <c r="A18" t="inlineStr">
        <is>
          <t>destroyer</t>
        </is>
      </c>
      <c r="B18" t="inlineStr">
        <is>
          <t>destroyer</t>
        </is>
      </c>
      <c r="C18" t="inlineStr">
        <is>
          <t>Heavy</t>
        </is>
      </c>
      <c r="D18" t="inlineStr">
        <is>
          <t>Assets/MachineBrigade/Resources/Data/balance.json: aiBehaviour.units.destroyer</t>
        </is>
      </c>
      <c r="E18" t="inlineStr">
        <is>
          <t>"Heavy"</t>
        </is>
      </c>
    </row>
    <row r="19">
      <c r="A19" t="inlineStr">
        <is>
          <t>engineer_vehicle</t>
        </is>
      </c>
      <c r="B19" t="inlineStr">
        <is>
          <t>engineer_vehicle</t>
        </is>
      </c>
      <c r="C19" t="inlineStr">
        <is>
          <t>Support</t>
        </is>
      </c>
      <c r="D19" t="inlineStr">
        <is>
          <t>Assets/MachineBrigade/Resources/Data/balance.json: aiBehaviour.units.engineer_vehicle</t>
        </is>
      </c>
      <c r="E19" t="inlineStr">
        <is>
          <t>"Support"</t>
        </is>
      </c>
    </row>
    <row r="20">
      <c r="A20" t="inlineStr">
        <is>
          <t>ew_corvette</t>
        </is>
      </c>
      <c r="B20" t="inlineStr">
        <is>
          <t>ew_corvette</t>
        </is>
      </c>
      <c r="C20" t="inlineStr">
        <is>
          <t>Support</t>
        </is>
      </c>
      <c r="D20" t="inlineStr">
        <is>
          <t>Assets/MachineBrigade/Resources/Data/balance.json: aiBehaviour.units.ew_corvette</t>
        </is>
      </c>
      <c r="E20" t="inlineStr">
        <is>
          <t>"Support"</t>
        </is>
      </c>
    </row>
    <row r="21">
      <c r="A21" t="inlineStr">
        <is>
          <t>ew_jammer</t>
        </is>
      </c>
      <c r="B21" t="inlineStr">
        <is>
          <t>ew_jammer</t>
        </is>
      </c>
      <c r="C21" t="inlineStr">
        <is>
          <t>Support</t>
        </is>
      </c>
      <c r="D21" t="inlineStr">
        <is>
          <t>Assets/MachineBrigade/Resources/Data/balance.json: aiBehaviour.units.ew_jammer</t>
        </is>
      </c>
      <c r="E21" t="inlineStr">
        <is>
          <t>"Support"</t>
        </is>
      </c>
    </row>
    <row r="22">
      <c r="A22" t="inlineStr">
        <is>
          <t>fighter_jet</t>
        </is>
      </c>
      <c r="B22" t="inlineStr">
        <is>
          <t>fighter_jet</t>
        </is>
      </c>
      <c r="C22" t="inlineStr">
        <is>
          <t>Fighter</t>
        </is>
      </c>
      <c r="D22" t="inlineStr">
        <is>
          <t>Assets/MachineBrigade/Resources/Data/balance.json: aiBehaviour.units.fighter_jet</t>
        </is>
      </c>
      <c r="E22" t="inlineStr">
        <is>
          <t>"Fighter"</t>
        </is>
      </c>
    </row>
    <row r="23">
      <c r="A23" t="inlineStr">
        <is>
          <t>flame_tank</t>
        </is>
      </c>
      <c r="B23" t="inlineStr">
        <is>
          <t>flame_tank</t>
        </is>
      </c>
      <c r="C23" t="inlineStr">
        <is>
          <t>Flame</t>
        </is>
      </c>
      <c r="D23" t="inlineStr">
        <is>
          <t>Assets/MachineBrigade/Resources/Data/balance.json: aiBehaviour.units.flame_tank</t>
        </is>
      </c>
      <c r="E23" t="inlineStr">
        <is>
          <t>"Flame"</t>
        </is>
      </c>
    </row>
    <row r="24">
      <c r="A24" t="inlineStr">
        <is>
          <t>fpv_carrier</t>
        </is>
      </c>
      <c r="B24" t="inlineStr">
        <is>
          <t>fpv_carrier</t>
        </is>
      </c>
      <c r="C24" t="inlineStr">
        <is>
          <t>Drone</t>
        </is>
      </c>
      <c r="D24" t="inlineStr">
        <is>
          <t>Assets/MachineBrigade/Resources/Data/balance.json: aiBehaviour.units.fpv_carrier</t>
        </is>
      </c>
      <c r="E24" t="inlineStr">
        <is>
          <t>"Drone"</t>
        </is>
      </c>
    </row>
    <row r="25">
      <c r="A25" t="inlineStr">
        <is>
          <t>frigate</t>
        </is>
      </c>
      <c r="B25" t="inlineStr">
        <is>
          <t>frigate</t>
        </is>
      </c>
      <c r="C25" t="inlineStr">
        <is>
          <t>MBT</t>
        </is>
      </c>
      <c r="D25" t="inlineStr">
        <is>
          <t>Assets/MachineBrigade/Resources/Data/balance.json: aiBehaviour.units.frigate</t>
        </is>
      </c>
      <c r="E25" t="inlineStr">
        <is>
          <t>"MBT"</t>
        </is>
      </c>
    </row>
    <row r="26">
      <c r="A26" t="inlineStr">
        <is>
          <t>gun_destroyer</t>
        </is>
      </c>
      <c r="B26" t="inlineStr">
        <is>
          <t>gun_destroyer</t>
        </is>
      </c>
      <c r="C26" t="inlineStr">
        <is>
          <t>Heavy</t>
        </is>
      </c>
      <c r="D26" t="inlineStr">
        <is>
          <t>Assets/MachineBrigade/Resources/Data/balance.json: aiBehaviour.units.gun_destroyer</t>
        </is>
      </c>
      <c r="E26" t="inlineStr">
        <is>
          <t>"Heavy"</t>
        </is>
      </c>
    </row>
    <row r="27">
      <c r="A27" t="inlineStr">
        <is>
          <t>heavy_aa</t>
        </is>
      </c>
      <c r="B27" t="inlineStr">
        <is>
          <t>heavy_aa</t>
        </is>
      </c>
      <c r="C27" t="inlineStr">
        <is>
          <t>SPAAG</t>
        </is>
      </c>
      <c r="D27" t="inlineStr">
        <is>
          <t>Assets/MachineBrigade/Resources/Data/balance.json: aiBehaviour.units.heavy_aa</t>
        </is>
      </c>
      <c r="E27" t="inlineStr">
        <is>
          <t>"SPAAG"</t>
        </is>
      </c>
    </row>
    <row r="28">
      <c r="A28" t="inlineStr">
        <is>
          <t>heavy_bomber</t>
        </is>
      </c>
      <c r="B28" t="inlineStr">
        <is>
          <t>heavy_bomber</t>
        </is>
      </c>
      <c r="C28" t="inlineStr">
        <is>
          <t>Bomber</t>
        </is>
      </c>
      <c r="D28" t="inlineStr">
        <is>
          <t>Assets/MachineBrigade/Resources/Data/balance.json: aiBehaviour.units.heavy_bomber</t>
        </is>
      </c>
      <c r="E28" t="inlineStr">
        <is>
          <t>"Bomber"</t>
        </is>
      </c>
    </row>
    <row r="29">
      <c r="A29" t="inlineStr">
        <is>
          <t>heavy_monitor</t>
        </is>
      </c>
      <c r="B29" t="inlineStr">
        <is>
          <t>heavy_monitor</t>
        </is>
      </c>
      <c r="C29" t="inlineStr">
        <is>
          <t>Heavy</t>
        </is>
      </c>
      <c r="D29" t="inlineStr">
        <is>
          <t>Assets/MachineBrigade/Resources/Data/balance.json: aiBehaviour.units.heavy_monitor</t>
        </is>
      </c>
      <c r="E29" t="inlineStr">
        <is>
          <t>"Heavy"</t>
        </is>
      </c>
    </row>
    <row r="30">
      <c r="A30" t="inlineStr">
        <is>
          <t>heavy_rocket_artillery</t>
        </is>
      </c>
      <c r="B30" t="inlineStr">
        <is>
          <t>heavy_rocket_artillery</t>
        </is>
      </c>
      <c r="C30" t="inlineStr">
        <is>
          <t>MLRS</t>
        </is>
      </c>
      <c r="D30" t="inlineStr">
        <is>
          <t>Assets/MachineBrigade/Resources/Data/balance.json: aiBehaviour.units.heavy_rocket_artillery</t>
        </is>
      </c>
      <c r="E30" t="inlineStr">
        <is>
          <t>"MLRS"</t>
        </is>
      </c>
    </row>
    <row r="31">
      <c r="A31" t="inlineStr">
        <is>
          <t>heavy_tank</t>
        </is>
      </c>
      <c r="B31" t="inlineStr">
        <is>
          <t>heavy_tank</t>
        </is>
      </c>
      <c r="C31" t="inlineStr">
        <is>
          <t>Heavy</t>
        </is>
      </c>
      <c r="D31" t="inlineStr">
        <is>
          <t>Assets/MachineBrigade/Resources/Data/balance.json: aiBehaviour.units.heavy_tank</t>
        </is>
      </c>
      <c r="E31" t="inlineStr">
        <is>
          <t>"Heavy"</t>
        </is>
      </c>
    </row>
    <row r="32">
      <c r="A32" t="inlineStr">
        <is>
          <t>hover_gunboat</t>
        </is>
      </c>
      <c r="B32" t="inlineStr">
        <is>
          <t>hover_gunboat</t>
        </is>
      </c>
      <c r="C32" t="inlineStr">
        <is>
          <t>Light</t>
        </is>
      </c>
      <c r="D32" t="inlineStr">
        <is>
          <t>Assets/MachineBrigade/Resources/Data/balance.json: aiBehaviour.units.hover_gunboat</t>
        </is>
      </c>
      <c r="E32" t="inlineStr">
        <is>
          <t>"Light"</t>
        </is>
      </c>
    </row>
    <row r="33">
      <c r="A33" t="inlineStr">
        <is>
          <t>ifv</t>
        </is>
      </c>
      <c r="B33" t="inlineStr">
        <is>
          <t>ifv</t>
        </is>
      </c>
      <c r="C33" t="inlineStr">
        <is>
          <t>IFV</t>
        </is>
      </c>
      <c r="D33" t="inlineStr">
        <is>
          <t>Assets/MachineBrigade/Resources/Data/balance.json: aiBehaviour.units.ifv</t>
        </is>
      </c>
      <c r="E33" t="inlineStr">
        <is>
          <t>"IFV"</t>
        </is>
      </c>
    </row>
    <row r="34">
      <c r="A34" t="inlineStr">
        <is>
          <t>iron_beam</t>
        </is>
      </c>
      <c r="B34" t="inlineStr">
        <is>
          <t>iron_beam</t>
        </is>
      </c>
      <c r="C34" t="inlineStr">
        <is>
          <t>Laser</t>
        </is>
      </c>
      <c r="D34" t="inlineStr">
        <is>
          <t>Assets/MachineBrigade/Resources/Data/balance.json: aiBehaviour.units.iron_beam</t>
        </is>
      </c>
      <c r="E34" t="inlineStr">
        <is>
          <t>"Laser"</t>
        </is>
      </c>
    </row>
    <row r="35">
      <c r="A35" t="inlineStr">
        <is>
          <t>laser_tank</t>
        </is>
      </c>
      <c r="B35" t="inlineStr">
        <is>
          <t>laser_tank</t>
        </is>
      </c>
      <c r="C35" t="inlineStr">
        <is>
          <t>Rail</t>
        </is>
      </c>
      <c r="D35" t="inlineStr">
        <is>
          <t>Assets/MachineBrigade/Resources/Data/balance.json: aiBehaviour.units.laser_tank</t>
        </is>
      </c>
      <c r="E35" t="inlineStr">
        <is>
          <t>"Rail"</t>
        </is>
      </c>
    </row>
    <row r="36">
      <c r="A36" t="inlineStr">
        <is>
          <t>light_tank</t>
        </is>
      </c>
      <c r="B36" t="inlineStr">
        <is>
          <t>light_tank</t>
        </is>
      </c>
      <c r="C36" t="inlineStr">
        <is>
          <t>Light</t>
        </is>
      </c>
      <c r="D36" t="inlineStr">
        <is>
          <t>Assets/MachineBrigade/Resources/Data/balance.json: aiBehaviour.units.light_tank</t>
        </is>
      </c>
      <c r="E36" t="inlineStr">
        <is>
          <t>"Light"</t>
        </is>
      </c>
    </row>
    <row r="37">
      <c r="A37" t="inlineStr">
        <is>
          <t>long_sam</t>
        </is>
      </c>
      <c r="B37" t="inlineStr">
        <is>
          <t>long_sam</t>
        </is>
      </c>
      <c r="C37" t="inlineStr">
        <is>
          <t>SAM</t>
        </is>
      </c>
      <c r="D37" t="inlineStr">
        <is>
          <t>Assets/MachineBrigade/Resources/Data/balance.json: aiBehaviour.units.long_sam</t>
        </is>
      </c>
      <c r="E37" t="inlineStr">
        <is>
          <t>"SAM"</t>
        </is>
      </c>
    </row>
    <row r="38">
      <c r="A38" t="inlineStr">
        <is>
          <t>main_battle_tank</t>
        </is>
      </c>
      <c r="B38" t="inlineStr">
        <is>
          <t>main_battle_tank</t>
        </is>
      </c>
      <c r="C38" t="inlineStr">
        <is>
          <t>MBT</t>
        </is>
      </c>
      <c r="D38" t="inlineStr">
        <is>
          <t>Assets/MachineBrigade/Resources/Data/balance.json: aiBehaviour.units.main_battle_tank</t>
        </is>
      </c>
      <c r="E38" t="inlineStr">
        <is>
          <t>"MBT"</t>
        </is>
      </c>
    </row>
    <row r="39">
      <c r="A39" t="inlineStr">
        <is>
          <t>mine_layer</t>
        </is>
      </c>
      <c r="B39" t="inlineStr">
        <is>
          <t>mine_layer</t>
        </is>
      </c>
      <c r="C39" t="inlineStr">
        <is>
          <t>Support</t>
        </is>
      </c>
      <c r="D39" t="inlineStr">
        <is>
          <t>Assets/MachineBrigade/Resources/Data/balance.json: aiBehaviour.units.mine_layer</t>
        </is>
      </c>
      <c r="E39" t="inlineStr">
        <is>
          <t>"Support"</t>
        </is>
      </c>
    </row>
    <row r="40">
      <c r="A40" t="inlineStr">
        <is>
          <t>missile_cruiser</t>
        </is>
      </c>
      <c r="B40" t="inlineStr">
        <is>
          <t>missile_cruiser</t>
        </is>
      </c>
      <c r="C40" t="inlineStr">
        <is>
          <t>TD</t>
        </is>
      </c>
      <c r="D40" t="inlineStr">
        <is>
          <t>Assets/MachineBrigade/Resources/Data/balance.json: aiBehaviour.units.missile_cruiser</t>
        </is>
      </c>
      <c r="E40" t="inlineStr">
        <is>
          <t>"TD"</t>
        </is>
      </c>
    </row>
    <row r="41">
      <c r="A41" t="inlineStr">
        <is>
          <t>missile_destroyer</t>
        </is>
      </c>
      <c r="B41" t="inlineStr">
        <is>
          <t>missile_destroyer</t>
        </is>
      </c>
      <c r="C41" t="inlineStr">
        <is>
          <t>TD</t>
        </is>
      </c>
      <c r="D41" t="inlineStr">
        <is>
          <t>Assets/MachineBrigade/Resources/Data/balance.json: aiBehaviour.units.missile_destroyer</t>
        </is>
      </c>
      <c r="E41" t="inlineStr">
        <is>
          <t>"TD"</t>
        </is>
      </c>
    </row>
    <row r="42">
      <c r="A42" t="inlineStr">
        <is>
          <t>missile_frigate</t>
        </is>
      </c>
      <c r="B42" t="inlineStr">
        <is>
          <t>missile_frigate</t>
        </is>
      </c>
      <c r="C42" t="inlineStr">
        <is>
          <t>TD</t>
        </is>
      </c>
      <c r="D42" t="inlineStr">
        <is>
          <t>Assets/MachineBrigade/Resources/Data/balance.json: aiBehaviour.units.missile_frigate</t>
        </is>
      </c>
      <c r="E42" t="inlineStr">
        <is>
          <t>"TD"</t>
        </is>
      </c>
    </row>
    <row r="43">
      <c r="A43" t="inlineStr">
        <is>
          <t>mlrs</t>
        </is>
      </c>
      <c r="B43" t="inlineStr">
        <is>
          <t>mlrs</t>
        </is>
      </c>
      <c r="C43" t="inlineStr">
        <is>
          <t>MLRS</t>
        </is>
      </c>
      <c r="D43" t="inlineStr">
        <is>
          <t>Assets/MachineBrigade/Resources/Data/balance.json: aiBehaviour.units.mlrs</t>
        </is>
      </c>
      <c r="E43" t="inlineStr">
        <is>
          <t>"MLRS"</t>
        </is>
      </c>
    </row>
    <row r="44">
      <c r="A44" t="inlineStr">
        <is>
          <t>mortar_carrier</t>
        </is>
      </c>
      <c r="B44" t="inlineStr">
        <is>
          <t>mortar_carrier</t>
        </is>
      </c>
      <c r="C44" t="inlineStr">
        <is>
          <t>Arty</t>
        </is>
      </c>
      <c r="D44" t="inlineStr">
        <is>
          <t>Assets/MachineBrigade/Resources/Data/balance.json: aiBehaviour.units.mortar_carrier</t>
        </is>
      </c>
      <c r="E44" t="inlineStr">
        <is>
          <t>"Arty"</t>
        </is>
      </c>
    </row>
    <row r="45">
      <c r="A45" t="inlineStr">
        <is>
          <t>railgun_truck</t>
        </is>
      </c>
      <c r="B45" t="inlineStr">
        <is>
          <t>railgun_truck</t>
        </is>
      </c>
      <c r="C45" t="inlineStr">
        <is>
          <t>Rail</t>
        </is>
      </c>
      <c r="D45" t="inlineStr">
        <is>
          <t>Assets/MachineBrigade/Resources/Data/balance.json: aiBehaviour.units.railgun_truck</t>
        </is>
      </c>
      <c r="E45" t="inlineStr">
        <is>
          <t>"Rail"</t>
        </is>
      </c>
    </row>
    <row r="46">
      <c r="A46" t="inlineStr">
        <is>
          <t>recon_drone</t>
        </is>
      </c>
      <c r="B46" t="inlineStr">
        <is>
          <t>recon_drone</t>
        </is>
      </c>
      <c r="C46" t="inlineStr">
        <is>
          <t>UAV</t>
        </is>
      </c>
      <c r="D46" t="inlineStr">
        <is>
          <t>Assets/MachineBrigade/Resources/Data/balance.json: aiBehaviour.units.recon_drone</t>
        </is>
      </c>
      <c r="E46" t="inlineStr">
        <is>
          <t>"UAV"</t>
        </is>
      </c>
    </row>
    <row r="47">
      <c r="A47" t="inlineStr">
        <is>
          <t>rocket_artillery_ship</t>
        </is>
      </c>
      <c r="B47" t="inlineStr">
        <is>
          <t>rocket_artillery_ship</t>
        </is>
      </c>
      <c r="C47" t="inlineStr">
        <is>
          <t>MLRS</t>
        </is>
      </c>
      <c r="D47" t="inlineStr">
        <is>
          <t>Assets/MachineBrigade/Resources/Data/balance.json: aiBehaviour.units.rocket_artillery_ship</t>
        </is>
      </c>
      <c r="E47" t="inlineStr">
        <is>
          <t>"MLRS"</t>
        </is>
      </c>
    </row>
    <row r="48">
      <c r="A48" t="inlineStr">
        <is>
          <t>rocket_technical</t>
        </is>
      </c>
      <c r="B48" t="inlineStr">
        <is>
          <t>rocket_technical</t>
        </is>
      </c>
      <c r="C48" t="inlineStr">
        <is>
          <t>MLRS</t>
        </is>
      </c>
      <c r="D48" t="inlineStr">
        <is>
          <t>Assets/MachineBrigade/Resources/Data/balance.json: aiBehaviour.units.rocket_technical</t>
        </is>
      </c>
      <c r="E48" t="inlineStr">
        <is>
          <t>"MLRS"</t>
        </is>
      </c>
    </row>
    <row r="49">
      <c r="A49" t="inlineStr">
        <is>
          <t>sam_launcher</t>
        </is>
      </c>
      <c r="B49" t="inlineStr">
        <is>
          <t>sam_launcher</t>
        </is>
      </c>
      <c r="C49" t="inlineStr">
        <is>
          <t>SAM</t>
        </is>
      </c>
      <c r="D49" t="inlineStr">
        <is>
          <t>Assets/MachineBrigade/Resources/Data/balance.json: aiBehaviour.units.sam_launcher</t>
        </is>
      </c>
      <c r="E49" t="inlineStr">
        <is>
          <t>"SAM"</t>
        </is>
      </c>
    </row>
    <row r="50">
      <c r="A50" t="inlineStr">
        <is>
          <t>scout_heli</t>
        </is>
      </c>
      <c r="B50" t="inlineStr">
        <is>
          <t>scout_heli</t>
        </is>
      </c>
      <c r="C50" t="inlineStr">
        <is>
          <t>ScoutHeli</t>
        </is>
      </c>
      <c r="D50" t="inlineStr">
        <is>
          <t>Assets/MachineBrigade/Resources/Data/balance.json: aiBehaviour.units.scout_heli</t>
        </is>
      </c>
      <c r="E50" t="inlineStr">
        <is>
          <t>"ScoutHeli"</t>
        </is>
      </c>
    </row>
    <row r="51">
      <c r="A51" t="inlineStr">
        <is>
          <t>scout_jeep</t>
        </is>
      </c>
      <c r="B51" t="inlineStr">
        <is>
          <t>scout_jeep</t>
        </is>
      </c>
      <c r="C51" t="inlineStr">
        <is>
          <t>Recon</t>
        </is>
      </c>
      <c r="D51" t="inlineStr">
        <is>
          <t>Assets/MachineBrigade/Resources/Data/balance.json: aiBehaviour.units.scout_jeep</t>
        </is>
      </c>
      <c r="E51" t="inlineStr">
        <is>
          <t>"Recon"</t>
        </is>
      </c>
    </row>
    <row r="52">
      <c r="A52" t="inlineStr">
        <is>
          <t>shahed_truck</t>
        </is>
      </c>
      <c r="B52" t="inlineStr">
        <is>
          <t>shahed_truck</t>
        </is>
      </c>
      <c r="C52" t="inlineStr">
        <is>
          <t>Strike</t>
        </is>
      </c>
      <c r="D52" t="inlineStr">
        <is>
          <t>Assets/MachineBrigade/Resources/Data/balance.json: aiBehaviour.units.shahed_truck</t>
        </is>
      </c>
      <c r="E52" t="inlineStr">
        <is>
          <t>"Strike"</t>
        </is>
      </c>
    </row>
    <row r="53">
      <c r="A53" t="inlineStr">
        <is>
          <t>shield_carrier</t>
        </is>
      </c>
      <c r="B53" t="inlineStr">
        <is>
          <t>shield_carrier</t>
        </is>
      </c>
      <c r="C53" t="inlineStr">
        <is>
          <t>Support</t>
        </is>
      </c>
      <c r="D53" t="inlineStr">
        <is>
          <t>Assets/MachineBrigade/Resources/Data/balance.json: aiBehaviour.units.shield_carrier</t>
        </is>
      </c>
      <c r="E53" t="inlineStr">
        <is>
          <t>"Support"</t>
        </is>
      </c>
    </row>
    <row r="54">
      <c r="A54" t="inlineStr">
        <is>
          <t>siege_tank</t>
        </is>
      </c>
      <c r="B54" t="inlineStr">
        <is>
          <t>siege_tank</t>
        </is>
      </c>
      <c r="C54" t="inlineStr">
        <is>
          <t>Siege</t>
        </is>
      </c>
      <c r="D54" t="inlineStr">
        <is>
          <t>Assets/MachineBrigade/Resources/Data/balance.json: aiBehaviour.units.siege_tank</t>
        </is>
      </c>
      <c r="E54" t="inlineStr">
        <is>
          <t>"Siege"</t>
        </is>
      </c>
    </row>
    <row r="55">
      <c r="A55" t="inlineStr">
        <is>
          <t>sky_gunship</t>
        </is>
      </c>
      <c r="B55" t="inlineStr">
        <is>
          <t>sky_gunship</t>
        </is>
      </c>
      <c r="C55" t="inlineStr">
        <is>
          <t>Gunship</t>
        </is>
      </c>
      <c r="D55" t="inlineStr">
        <is>
          <t>Assets/MachineBrigade/Resources/Data/balance.json: aiBehaviour.units.sky_gunship</t>
        </is>
      </c>
      <c r="E55" t="inlineStr">
        <is>
          <t>"Gunship"</t>
        </is>
      </c>
    </row>
    <row r="56">
      <c r="A56" t="inlineStr">
        <is>
          <t>stealth_bomber</t>
        </is>
      </c>
      <c r="B56" t="inlineStr">
        <is>
          <t>stealth_bomber</t>
        </is>
      </c>
      <c r="C56" t="inlineStr">
        <is>
          <t>Bomber</t>
        </is>
      </c>
      <c r="D56" t="inlineStr">
        <is>
          <t>Assets/MachineBrigade/Resources/Data/balance.json: aiBehaviour.units.stealth_bomber</t>
        </is>
      </c>
      <c r="E56" t="inlineStr">
        <is>
          <t>"Bomber"</t>
        </is>
      </c>
    </row>
    <row r="57">
      <c r="A57" t="inlineStr">
        <is>
          <t>stealth_fighter</t>
        </is>
      </c>
      <c r="B57" t="inlineStr">
        <is>
          <t>stealth_fighter</t>
        </is>
      </c>
      <c r="C57" t="inlineStr">
        <is>
          <t>Stealth</t>
        </is>
      </c>
      <c r="D57" t="inlineStr">
        <is>
          <t>Assets/MachineBrigade/Resources/Data/balance.json: aiBehaviour.units.stealth_fighter</t>
        </is>
      </c>
      <c r="E57" t="inlineStr">
        <is>
          <t>"Stealth"</t>
        </is>
      </c>
    </row>
    <row r="58">
      <c r="A58" t="inlineStr">
        <is>
          <t>strike_drone</t>
        </is>
      </c>
      <c r="B58" t="inlineStr">
        <is>
          <t>strike_drone</t>
        </is>
      </c>
      <c r="C58" t="inlineStr">
        <is>
          <t>UAV</t>
        </is>
      </c>
      <c r="D58" t="inlineStr">
        <is>
          <t>Assets/MachineBrigade/Resources/Data/balance.json: aiBehaviour.units.strike_drone</t>
        </is>
      </c>
      <c r="E58" t="inlineStr">
        <is>
          <t>"UAV"</t>
        </is>
      </c>
    </row>
    <row r="59">
      <c r="A59" t="inlineStr">
        <is>
          <t>supply_truck</t>
        </is>
      </c>
      <c r="B59" t="inlineStr">
        <is>
          <t>supply_truck</t>
        </is>
      </c>
      <c r="C59" t="inlineStr">
        <is>
          <t>Support</t>
        </is>
      </c>
      <c r="D59" t="inlineStr">
        <is>
          <t>Assets/MachineBrigade/Resources/Data/balance.json: aiBehaviour.units.supply_truck</t>
        </is>
      </c>
      <c r="E59" t="inlineStr">
        <is>
          <t>"Support"</t>
        </is>
      </c>
    </row>
    <row r="60">
      <c r="A60" t="inlineStr">
        <is>
          <t>swarm_carrier</t>
        </is>
      </c>
      <c r="B60" t="inlineStr">
        <is>
          <t>swarm_carrier</t>
        </is>
      </c>
      <c r="C60" t="inlineStr">
        <is>
          <t>Bomber</t>
        </is>
      </c>
      <c r="D60" t="inlineStr">
        <is>
          <t>Assets/MachineBrigade/Resources/Data/balance.json: aiBehaviour.units.swarm_carrier</t>
        </is>
      </c>
      <c r="E60" t="inlineStr">
        <is>
          <t>"Bomber"</t>
        </is>
      </c>
    </row>
    <row r="61">
      <c r="A61" t="inlineStr">
        <is>
          <t>tank_destroyer</t>
        </is>
      </c>
      <c r="B61" t="inlineStr">
        <is>
          <t>tank_destroyer</t>
        </is>
      </c>
      <c r="C61" t="inlineStr">
        <is>
          <t>TD</t>
        </is>
      </c>
      <c r="D61" t="inlineStr">
        <is>
          <t>Assets/MachineBrigade/Resources/Data/balance.json: aiBehaviour.units.tank_destroyer</t>
        </is>
      </c>
      <c r="E61" t="inlineStr">
        <is>
          <t>"TD"</t>
        </is>
      </c>
    </row>
    <row r="62">
      <c r="A62" t="inlineStr">
        <is>
          <t>thermobaric_launcher</t>
        </is>
      </c>
      <c r="B62" t="inlineStr">
        <is>
          <t>thermobaric_launcher</t>
        </is>
      </c>
      <c r="C62" t="inlineStr">
        <is>
          <t>MLRS</t>
        </is>
      </c>
      <c r="D62" t="inlineStr">
        <is>
          <t>Assets/MachineBrigade/Resources/Data/balance.json: aiBehaviour.units.thermobaric_launcher</t>
        </is>
      </c>
      <c r="E62" t="inlineStr">
        <is>
          <t>"MLRS"</t>
        </is>
      </c>
    </row>
    <row r="63">
      <c r="A63" t="inlineStr">
        <is>
          <t>titan_tank</t>
        </is>
      </c>
      <c r="B63" t="inlineStr">
        <is>
          <t>titan_tank</t>
        </is>
      </c>
      <c r="C63" t="inlineStr">
        <is>
          <t>Heavy</t>
        </is>
      </c>
      <c r="D63" t="inlineStr">
        <is>
          <t>Assets/MachineBrigade/Resources/Data/balance.json: aiBehaviour.units.titan_tank</t>
        </is>
      </c>
      <c r="E63" t="inlineStr">
        <is>
          <t>"Heavy"</t>
        </is>
      </c>
    </row>
    <row r="64">
      <c r="A64" t="inlineStr">
        <is>
          <t>torpedo_boat</t>
        </is>
      </c>
      <c r="B64" t="inlineStr">
        <is>
          <t>torpedo_boat</t>
        </is>
      </c>
      <c r="C64" t="inlineStr">
        <is>
          <t>TD</t>
        </is>
      </c>
      <c r="D64" t="inlineStr">
        <is>
          <t>Assets/MachineBrigade/Resources/Data/balance.json: aiBehaviour.units.torpedo_boat</t>
        </is>
      </c>
      <c r="E64" t="inlineStr">
        <is>
          <t>"TD"</t>
        </is>
      </c>
    </row>
    <row r="65">
      <c r="A65" t="inlineStr">
        <is>
          <t>twin_tank</t>
        </is>
      </c>
      <c r="B65" t="inlineStr">
        <is>
          <t>twin_tank</t>
        </is>
      </c>
      <c r="C65" t="inlineStr">
        <is>
          <t>MBT</t>
        </is>
      </c>
      <c r="D65" t="inlineStr">
        <is>
          <t>Assets/MachineBrigade/Resources/Data/balance.json: aiBehaviour.units.twin_tank</t>
        </is>
      </c>
      <c r="E65" t="inlineStr">
        <is>
          <t>"MBT"</t>
        </is>
      </c>
    </row>
    <row r="66">
      <c r="A66" t="inlineStr">
        <is>
          <t>vbied</t>
        </is>
      </c>
      <c r="B66" t="inlineStr">
        <is>
          <t>vbied</t>
        </is>
      </c>
      <c r="C66" t="inlineStr">
        <is>
          <t>VBIED</t>
        </is>
      </c>
      <c r="D66" t="inlineStr">
        <is>
          <t>Assets/MachineBrigade/Resources/Data/balance.json: aiBehaviour.units.vbied</t>
        </is>
      </c>
      <c r="E66" t="inlineStr">
        <is>
          <t>"VBIED"</t>
        </is>
      </c>
    </row>
    <row r="67">
      <c r="A67" t="inlineStr">
        <is>
          <t>wheeled_gun</t>
        </is>
      </c>
      <c r="B67" t="inlineStr">
        <is>
          <t>wheeled_gun</t>
        </is>
      </c>
      <c r="C67" t="inlineStr">
        <is>
          <t>TD</t>
        </is>
      </c>
      <c r="D67" t="inlineStr">
        <is>
          <t>Assets/MachineBrigade/Resources/Data/balance.json: aiBehaviour.units.wheeled_gun</t>
        </is>
      </c>
      <c r="E67" t="inlineStr">
        <is>
          <t>"TD"</t>
        </is>
      </c>
    </row>
    <row r="68">
      <c r="A68" t="inlineStr">
        <is>
          <t>zu23_technical</t>
        </is>
      </c>
      <c r="B68" t="inlineStr">
        <is>
          <t>zu23_technical</t>
        </is>
      </c>
      <c r="C68" t="inlineStr">
        <is>
          <t>SPAAG</t>
        </is>
      </c>
      <c r="D68" t="inlineStr">
        <is>
          <t>Assets/MachineBrigade/Resources/Data/balance.json: aiBehaviour.units.zu23_technical</t>
        </is>
      </c>
      <c r="E68" t="inlineStr">
        <is>
          <t>"SPAAG"</t>
        </is>
      </c>
    </row>
  </sheetData>
  <autoFilter ref="A1:E68"/>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0" customWidth="1" min="3" max="3"/>
    <col width="60" customWidth="1" min="4" max="4"/>
    <col width="28" customWidth="1" min="5" max="5"/>
  </cols>
  <sheetData>
    <row r="1">
      <c r="A1" s="1" t="inlineStr">
        <is>
          <t>id</t>
        </is>
      </c>
      <c r="B1" s="1" t="inlineStr">
        <is>
          <t>commit</t>
        </is>
      </c>
      <c r="C1" s="1" t="inlineStr">
        <is>
          <t>priority</t>
        </is>
      </c>
      <c r="D1" s="1" t="inlineStr">
        <is>
          <t>nguon</t>
        </is>
      </c>
      <c r="E1" s="1" t="inlineStr">
        <is>
          <t>raw_json</t>
        </is>
      </c>
    </row>
    <row r="2">
      <c r="A2" t="inlineStr">
        <is>
          <t>APPROACH</t>
        </is>
      </c>
      <c r="B2" t="n">
        <v>3</v>
      </c>
      <c r="C2" t="n">
        <v>2</v>
      </c>
      <c r="D2" t="inlineStr">
        <is>
          <t>Assets/MachineBrigade/Resources/Data/balance.json: aiBehaviour.states.APPROACH</t>
        </is>
      </c>
      <c r="E2" t="inlineStr">
        <is>
          <t>{"priority":2,"commit":3.0}</t>
        </is>
      </c>
    </row>
    <row r="3">
      <c r="A3" t="inlineStr">
        <is>
          <t>COMBAT</t>
        </is>
      </c>
      <c r="B3" t="n">
        <v>4</v>
      </c>
      <c r="C3" t="n">
        <v>3</v>
      </c>
      <c r="D3" t="inlineStr">
        <is>
          <t>Assets/MachineBrigade/Resources/Data/balance.json: aiBehaviour.states.COMBAT</t>
        </is>
      </c>
      <c r="E3" t="inlineStr">
        <is>
          <t>{"priority":3,"commit":4.0}</t>
        </is>
      </c>
    </row>
    <row r="4">
      <c r="A4" t="inlineStr">
        <is>
          <t>FLANK</t>
        </is>
      </c>
      <c r="B4" t="n">
        <v>6</v>
      </c>
      <c r="C4" t="n">
        <v>2</v>
      </c>
      <c r="D4" t="inlineStr">
        <is>
          <t>Assets/MachineBrigade/Resources/Data/balance.json: aiBehaviour.states.FLANK</t>
        </is>
      </c>
      <c r="E4" t="inlineStr">
        <is>
          <t>{"priority":2,"commit":6.0}</t>
        </is>
      </c>
    </row>
    <row r="5">
      <c r="A5" t="inlineStr">
        <is>
          <t>HOLD</t>
        </is>
      </c>
      <c r="B5" t="n">
        <v>5</v>
      </c>
      <c r="C5" t="n">
        <v>2</v>
      </c>
      <c r="D5" t="inlineStr">
        <is>
          <t>Assets/MachineBrigade/Resources/Data/balance.json: aiBehaviour.states.HOLD</t>
        </is>
      </c>
      <c r="E5" t="inlineStr">
        <is>
          <t>{"priority":2,"commit":5.0}</t>
        </is>
      </c>
    </row>
    <row r="6">
      <c r="A6" t="inlineStr">
        <is>
          <t>OVERWATCH</t>
        </is>
      </c>
      <c r="B6" t="n">
        <v>4</v>
      </c>
      <c r="C6" t="n">
        <v>2</v>
      </c>
      <c r="D6" t="inlineStr">
        <is>
          <t>Assets/MachineBrigade/Resources/Data/balance.json: aiBehaviour.states.OVERWATCH</t>
        </is>
      </c>
      <c r="E6" t="inlineStr">
        <is>
          <t>{"priority":2,"commit":4.0}</t>
        </is>
      </c>
    </row>
    <row r="7">
      <c r="A7" t="inlineStr">
        <is>
          <t>REGROUP</t>
        </is>
      </c>
      <c r="B7" t="n">
        <v>3</v>
      </c>
      <c r="C7" t="n">
        <v>3</v>
      </c>
      <c r="D7" t="inlineStr">
        <is>
          <t>Assets/MachineBrigade/Resources/Data/balance.json: aiBehaviour.states.REGROUP</t>
        </is>
      </c>
      <c r="E7" t="inlineStr">
        <is>
          <t>{"priority":3,"commit":3.0}</t>
        </is>
      </c>
    </row>
    <row r="8">
      <c r="A8" t="inlineStr">
        <is>
          <t>TRAVEL</t>
        </is>
      </c>
      <c r="B8" t="n">
        <v>4</v>
      </c>
      <c r="C8" t="n">
        <v>1</v>
      </c>
      <c r="D8" t="inlineStr">
        <is>
          <t>Assets/MachineBrigade/Resources/Data/balance.json: aiBehaviour.states.TRAVEL</t>
        </is>
      </c>
      <c r="E8" t="inlineStr">
        <is>
          <t>{"priority":1,"commit":4.0}</t>
        </is>
      </c>
    </row>
  </sheetData>
  <autoFilter ref="A1:E8"/>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21" customWidth="1" min="2" max="2"/>
    <col width="16" customWidth="1" min="3" max="3"/>
    <col width="23" customWidth="1" min="4" max="4"/>
    <col width="60" customWidth="1" min="5" max="5"/>
    <col width="60" customWidth="1" min="6" max="6"/>
  </cols>
  <sheetData>
    <row r="1">
      <c r="A1" s="1" t="inlineStr">
        <is>
          <t>id</t>
        </is>
      </c>
      <c r="B1" s="1" t="inlineStr">
        <is>
          <t>thap</t>
        </is>
      </c>
      <c r="C1" s="1" t="inlineStr">
        <is>
          <t>mode</t>
        </is>
      </c>
      <c r="D1" s="1" t="inlineStr">
        <is>
          <t>modes</t>
        </is>
      </c>
      <c r="E1" s="1" t="inlineStr">
        <is>
          <t>nguon</t>
        </is>
      </c>
      <c r="F1" s="1" t="inlineStr">
        <is>
          <t>raw_json</t>
        </is>
      </c>
    </row>
    <row r="2">
      <c r="A2" t="inlineStr">
        <is>
          <t>aa_gun_tower</t>
        </is>
      </c>
      <c r="B2" t="inlineStr">
        <is>
          <t>aa_gun_tower</t>
        </is>
      </c>
      <c r="C2" t="inlineStr">
        <is>
          <t>AirFirst</t>
        </is>
      </c>
      <c r="D2" t="inlineStr">
        <is>
          <t>Nearest</t>
        </is>
      </c>
      <c r="E2" t="inlineStr">
        <is>
          <t>Assets/MachineBrigade/Resources/Data/balance.json: aiBehaviour.towers.aa_gun_tower</t>
        </is>
      </c>
      <c r="F2" t="inlineStr">
        <is>
          <t>{"mode":"AirFirst","modes":["Nearest"]}</t>
        </is>
      </c>
    </row>
    <row r="3">
      <c r="A3" t="inlineStr">
        <is>
          <t>aa_turret</t>
        </is>
      </c>
      <c r="B3" t="inlineStr">
        <is>
          <t>aa_turret</t>
        </is>
      </c>
      <c r="C3" t="inlineStr">
        <is>
          <t>AirFirst</t>
        </is>
      </c>
      <c r="D3" t="inlineStr">
        <is>
          <t>Nearest</t>
        </is>
      </c>
      <c r="E3" t="inlineStr">
        <is>
          <t>Assets/MachineBrigade/Resources/Data/balance.json: aiBehaviour.towers.aa_turret</t>
        </is>
      </c>
      <c r="F3" t="inlineStr">
        <is>
          <t>{"mode":"AirFirst","modes":["Nearest"]}</t>
        </is>
      </c>
    </row>
    <row r="4">
      <c r="A4" t="inlineStr">
        <is>
          <t>atgm_tower</t>
        </is>
      </c>
      <c r="B4" t="inlineStr">
        <is>
          <t>atgm_tower</t>
        </is>
      </c>
      <c r="C4" t="inlineStr">
        <is>
          <t>Strongest</t>
        </is>
      </c>
      <c r="D4" t="inlineStr">
        <is>
          <t>Lead</t>
        </is>
      </c>
      <c r="E4" t="inlineStr">
        <is>
          <t>Assets/MachineBrigade/Resources/Data/balance.json: aiBehaviour.towers.atgm_tower</t>
        </is>
      </c>
      <c r="F4" t="inlineStr">
        <is>
          <t>{"mode":"Strongest","modes":["Lead"]}</t>
        </is>
      </c>
    </row>
    <row r="5">
      <c r="A5" t="inlineStr">
        <is>
          <t>c_ram</t>
        </is>
      </c>
      <c r="B5" t="inlineStr">
        <is>
          <t>c_ram</t>
        </is>
      </c>
      <c r="C5" t="inlineStr">
        <is>
          <t>ShieldKey</t>
        </is>
      </c>
      <c r="D5" t="inlineStr">
        <is>
          <t>NearestRound</t>
        </is>
      </c>
      <c r="E5" t="inlineStr">
        <is>
          <t>Assets/MachineBrigade/Resources/Data/balance.json: aiBehaviour.towers.c_ram</t>
        </is>
      </c>
      <c r="F5" t="inlineStr">
        <is>
          <t>{"mode":"ShieldKey","modes":["NearestRound"]}</t>
        </is>
      </c>
    </row>
    <row r="6">
      <c r="A6" t="inlineStr">
        <is>
          <t>coastal_battery</t>
        </is>
      </c>
      <c r="B6" t="inlineStr">
        <is>
          <t>coastal_battery</t>
        </is>
      </c>
      <c r="C6" t="inlineStr">
        <is>
          <t>Strongest</t>
        </is>
      </c>
      <c r="D6" t="inlineStr">
        <is>
          <t>Lead</t>
        </is>
      </c>
      <c r="E6" t="inlineStr">
        <is>
          <t>Assets/MachineBrigade/Resources/Data/balance.json: aiBehaviour.towers.coastal_battery</t>
        </is>
      </c>
      <c r="F6" t="inlineStr">
        <is>
          <t>{"mode":"Strongest","modes":["Lead"]}</t>
        </is>
      </c>
    </row>
    <row r="7">
      <c r="A7" t="inlineStr">
        <is>
          <t>drone_hangar</t>
        </is>
      </c>
      <c r="B7" t="inlineStr">
        <is>
          <t>drone_hangar</t>
        </is>
      </c>
      <c r="C7" t="inlineStr">
        <is>
          <t>Strongest</t>
        </is>
      </c>
      <c r="D7" t="inlineStr">
        <is>
          <t>ArtilleryFirst</t>
        </is>
      </c>
      <c r="E7" t="inlineStr">
        <is>
          <t>Assets/MachineBrigade/Resources/Data/balance.json: aiBehaviour.towers.drone_hangar</t>
        </is>
      </c>
      <c r="F7" t="inlineStr">
        <is>
          <t>{"mode":"Strongest","modes":["ArtilleryFirst"]}</t>
        </is>
      </c>
    </row>
    <row r="8">
      <c r="A8" t="inlineStr">
        <is>
          <t>ew_tower</t>
        </is>
      </c>
      <c r="B8" t="inlineStr">
        <is>
          <t>ew_tower</t>
        </is>
      </c>
      <c r="C8" t="inlineStr">
        <is>
          <t>None</t>
        </is>
      </c>
      <c r="D8" t="inlineStr"/>
      <c r="E8" t="inlineStr">
        <is>
          <t>Assets/MachineBrigade/Resources/Data/balance.json: aiBehaviour.towers.ew_tower</t>
        </is>
      </c>
      <c r="F8" t="inlineStr">
        <is>
          <t>{"mode":"None","modes":[]}</t>
        </is>
      </c>
    </row>
    <row r="9">
      <c r="A9" t="inlineStr">
        <is>
          <t>guard_tower</t>
        </is>
      </c>
      <c r="B9" t="inlineStr">
        <is>
          <t>guard_tower</t>
        </is>
      </c>
      <c r="C9" t="inlineStr">
        <is>
          <t>Nearest</t>
        </is>
      </c>
      <c r="D9" t="inlineStr">
        <is>
          <t>Weakest;AirFirst</t>
        </is>
      </c>
      <c r="E9" t="inlineStr">
        <is>
          <t>Assets/MachineBrigade/Resources/Data/balance.json: aiBehaviour.towers.guard_tower</t>
        </is>
      </c>
      <c r="F9" t="inlineStr">
        <is>
          <t>{"mode":"Nearest","modes":["Weakest","AirFirst"]}</t>
        </is>
      </c>
    </row>
    <row r="10">
      <c r="A10" t="inlineStr">
        <is>
          <t>gun_turret</t>
        </is>
      </c>
      <c r="B10" t="inlineStr">
        <is>
          <t>gun_turret</t>
        </is>
      </c>
      <c r="C10" t="inlineStr">
        <is>
          <t>Strongest</t>
        </is>
      </c>
      <c r="D10" t="inlineStr">
        <is>
          <t>Nearest;Lead</t>
        </is>
      </c>
      <c r="E10" t="inlineStr">
        <is>
          <t>Assets/MachineBrigade/Resources/Data/balance.json: aiBehaviour.towers.gun_turret</t>
        </is>
      </c>
      <c r="F10" t="inlineStr">
        <is>
          <t>{"mode":"Strongest","modes":["Nearest","Lead"]}</t>
        </is>
      </c>
    </row>
    <row r="11">
      <c r="A11" t="inlineStr">
        <is>
          <t>heavy_turret</t>
        </is>
      </c>
      <c r="B11" t="inlineStr">
        <is>
          <t>heavy_turret</t>
        </is>
      </c>
      <c r="C11" t="inlineStr">
        <is>
          <t>Strongest</t>
        </is>
      </c>
      <c r="D11" t="inlineStr">
        <is>
          <t>Lead</t>
        </is>
      </c>
      <c r="E11" t="inlineStr">
        <is>
          <t>Assets/MachineBrigade/Resources/Data/balance.json: aiBehaviour.towers.heavy_turret</t>
        </is>
      </c>
      <c r="F11" t="inlineStr">
        <is>
          <t>{"mode":"Strongest","modes":["Lead"]}</t>
        </is>
      </c>
    </row>
    <row r="12">
      <c r="A12" t="inlineStr">
        <is>
          <t>laser_ad_station</t>
        </is>
      </c>
      <c r="B12" t="inlineStr">
        <is>
          <t>laser_ad_station</t>
        </is>
      </c>
      <c r="C12" t="inlineStr">
        <is>
          <t>ShieldKey</t>
        </is>
      </c>
      <c r="D12" t="inlineStr">
        <is>
          <t>NearestRound</t>
        </is>
      </c>
      <c r="E12" t="inlineStr">
        <is>
          <t>Assets/MachineBrigade/Resources/Data/balance.json: aiBehaviour.towers.laser_ad_station</t>
        </is>
      </c>
      <c r="F12" t="inlineStr">
        <is>
          <t>{"mode":"ShieldKey","modes":["NearestRound"]}</t>
        </is>
      </c>
    </row>
    <row r="13">
      <c r="A13" t="inlineStr">
        <is>
          <t>manpads_tower</t>
        </is>
      </c>
      <c r="B13" t="inlineStr">
        <is>
          <t>manpads_tower</t>
        </is>
      </c>
      <c r="C13" t="inlineStr">
        <is>
          <t>AirFirst</t>
        </is>
      </c>
      <c r="D13" t="inlineStr">
        <is>
          <t>Nearest</t>
        </is>
      </c>
      <c r="E13" t="inlineStr">
        <is>
          <t>Assets/MachineBrigade/Resources/Data/balance.json: aiBehaviour.towers.manpads_tower</t>
        </is>
      </c>
      <c r="F13" t="inlineStr">
        <is>
          <t>{"mode":"AirFirst","modes":["Nearest"]}</t>
        </is>
      </c>
    </row>
    <row r="14">
      <c r="A14" t="inlineStr">
        <is>
          <t>mg_bunker</t>
        </is>
      </c>
      <c r="B14" t="inlineStr">
        <is>
          <t>mg_bunker</t>
        </is>
      </c>
      <c r="C14" t="inlineStr">
        <is>
          <t>Nearest</t>
        </is>
      </c>
      <c r="D14" t="inlineStr">
        <is>
          <t>Weakest</t>
        </is>
      </c>
      <c r="E14" t="inlineStr">
        <is>
          <t>Assets/MachineBrigade/Resources/Data/balance.json: aiBehaviour.towers.mg_bunker</t>
        </is>
      </c>
      <c r="F14" t="inlineStr">
        <is>
          <t>{"mode":"Nearest","modes":["Weakest"]}</t>
        </is>
      </c>
    </row>
    <row r="15">
      <c r="A15" t="inlineStr">
        <is>
          <t>missile_battery</t>
        </is>
      </c>
      <c r="B15" t="inlineStr">
        <is>
          <t>missile_battery</t>
        </is>
      </c>
      <c r="C15" t="inlineStr">
        <is>
          <t>BiggestAircraft</t>
        </is>
      </c>
      <c r="D15" t="inlineStr">
        <is>
          <t>AirFirst;MissilesFirst</t>
        </is>
      </c>
      <c r="E15" t="inlineStr">
        <is>
          <t>Assets/MachineBrigade/Resources/Data/balance.json: aiBehaviour.towers.missile_battery</t>
        </is>
      </c>
      <c r="F15" t="inlineStr">
        <is>
          <t>{"mode":"BiggestAircraft","modes":["AirFirst","MissilesFirst"]}</t>
        </is>
      </c>
    </row>
    <row r="16">
      <c r="A16" t="inlineStr">
        <is>
          <t>one_shot_atgm_tower</t>
        </is>
      </c>
      <c r="B16" t="inlineStr">
        <is>
          <t>one_shot_atgm_tower</t>
        </is>
      </c>
      <c r="C16" t="inlineStr">
        <is>
          <t>Strongest</t>
        </is>
      </c>
      <c r="D16" t="inlineStr">
        <is>
          <t>Lead</t>
        </is>
      </c>
      <c r="E16" t="inlineStr">
        <is>
          <t>Assets/MachineBrigade/Resources/Data/balance.json: aiBehaviour.towers.one_shot_atgm_tower</t>
        </is>
      </c>
      <c r="F16" t="inlineStr">
        <is>
          <t>{"mode":"Strongest","modes":["Lead"]}</t>
        </is>
      </c>
    </row>
    <row r="17">
      <c r="A17" t="inlineStr">
        <is>
          <t>recoilless_gun_tower</t>
        </is>
      </c>
      <c r="B17" t="inlineStr">
        <is>
          <t>recoilless_gun_tower</t>
        </is>
      </c>
      <c r="C17" t="inlineStr">
        <is>
          <t>Strongest</t>
        </is>
      </c>
      <c r="D17" t="inlineStr">
        <is>
          <t>Lead</t>
        </is>
      </c>
      <c r="E17" t="inlineStr">
        <is>
          <t>Assets/MachineBrigade/Resources/Data/balance.json: aiBehaviour.towers.recoilless_gun_tower</t>
        </is>
      </c>
      <c r="F17" t="inlineStr">
        <is>
          <t>{"mode":"Strongest","modes":["Lead"]}</t>
        </is>
      </c>
    </row>
    <row r="18">
      <c r="A18" t="inlineStr">
        <is>
          <t>rocket_turret</t>
        </is>
      </c>
      <c r="B18" t="inlineStr">
        <is>
          <t>rocket_turret</t>
        </is>
      </c>
      <c r="C18" t="inlineStr">
        <is>
          <t>Cluster</t>
        </is>
      </c>
      <c r="D18" t="inlineStr">
        <is>
          <t>Nearest</t>
        </is>
      </c>
      <c r="E18" t="inlineStr">
        <is>
          <t>Assets/MachineBrigade/Resources/Data/balance.json: aiBehaviour.towers.rocket_turret</t>
        </is>
      </c>
      <c r="F18" t="inlineStr">
        <is>
          <t>{"mode":"Cluster","modes":["Nearest"]}</t>
        </is>
      </c>
    </row>
    <row r="19">
      <c r="A19" t="inlineStr">
        <is>
          <t>shield_tower</t>
        </is>
      </c>
      <c r="B19" t="inlineStr">
        <is>
          <t>shield_tower</t>
        </is>
      </c>
      <c r="C19" t="inlineStr">
        <is>
          <t>None</t>
        </is>
      </c>
      <c r="D19" t="inlineStr"/>
      <c r="E19" t="inlineStr">
        <is>
          <t>Assets/MachineBrigade/Resources/Data/balance.json: aiBehaviour.towers.shield_tower</t>
        </is>
      </c>
      <c r="F19" t="inlineStr">
        <is>
          <t>{"mode":"None","modes":[]}</t>
        </is>
      </c>
    </row>
  </sheetData>
  <autoFilter ref="A1:F19"/>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31" customWidth="1" min="3" max="3"/>
    <col width="60" customWidth="1" min="4" max="4"/>
    <col width="37" customWidth="1" min="5" max="5"/>
  </cols>
  <sheetData>
    <row r="1">
      <c r="A1" s="1" t="inlineStr">
        <is>
          <t>id</t>
        </is>
      </c>
      <c r="B1" s="1" t="inlineStr">
        <is>
          <t>boss</t>
        </is>
      </c>
      <c r="C1" s="1" t="inlineStr">
        <is>
          <t>hanh_vi</t>
        </is>
      </c>
      <c r="D1" s="1" t="inlineStr">
        <is>
          <t>nguon</t>
        </is>
      </c>
      <c r="E1" s="1" t="inlineStr">
        <is>
          <t>raw_json</t>
        </is>
      </c>
    </row>
    <row r="2">
      <c r="A2" t="inlineStr">
        <is>
          <t>behemoth</t>
        </is>
      </c>
      <c r="B2" t="inlineStr">
        <is>
          <t>behemoth</t>
        </is>
      </c>
      <c r="C2" t="inlineStr">
        <is>
          <t>AntiBlob;FlankPunishment</t>
        </is>
      </c>
      <c r="D2" t="inlineStr">
        <is>
          <t>Assets/MachineBrigade/Resources/Data/balance.json: aiBehaviour.bosses.behemoth</t>
        </is>
      </c>
      <c r="E2" t="inlineStr">
        <is>
          <t>["AntiBlob","FlankPunishment"]</t>
        </is>
      </c>
    </row>
    <row r="3">
      <c r="A3" t="inlineStr">
        <is>
          <t>command_airship</t>
        </is>
      </c>
      <c r="B3" t="inlineStr">
        <is>
          <t>command_airship</t>
        </is>
      </c>
      <c r="C3" t="inlineStr">
        <is>
          <t>AntiAir;AntiBlob</t>
        </is>
      </c>
      <c r="D3" t="inlineStr">
        <is>
          <t>Assets/MachineBrigade/Resources/Data/balance.json: aiBehaviour.bosses.command_airship</t>
        </is>
      </c>
      <c r="E3" t="inlineStr">
        <is>
          <t>["AntiAir","AntiBlob"]</t>
        </is>
      </c>
    </row>
    <row r="4">
      <c r="A4" t="inlineStr">
        <is>
          <t>daedalus</t>
        </is>
      </c>
      <c r="B4" t="inlineStr">
        <is>
          <t>daedalus</t>
        </is>
      </c>
      <c r="C4" t="inlineStr">
        <is>
          <t>AntiBlob</t>
        </is>
      </c>
      <c r="D4" t="inlineStr">
        <is>
          <t>Assets/MachineBrigade/Resources/Data/balance.json: aiBehaviour.bosses.daedalus</t>
        </is>
      </c>
      <c r="E4" t="inlineStr">
        <is>
          <t>["AntiBlob"]</t>
        </is>
      </c>
    </row>
    <row r="5">
      <c r="A5" t="inlineStr">
        <is>
          <t>drone_mothership</t>
        </is>
      </c>
      <c r="B5" t="inlineStr">
        <is>
          <t>drone_mothership</t>
        </is>
      </c>
      <c r="C5" t="inlineStr">
        <is>
          <t>AntiBlob</t>
        </is>
      </c>
      <c r="D5" t="inlineStr">
        <is>
          <t>Assets/MachineBrigade/Resources/Data/balance.json: aiBehaviour.bosses.drone_mothership</t>
        </is>
      </c>
      <c r="E5" t="inlineStr">
        <is>
          <t>["AntiBlob"]</t>
        </is>
      </c>
    </row>
    <row r="6">
      <c r="A6" t="inlineStr">
        <is>
          <t>fortress_bastion</t>
        </is>
      </c>
      <c r="B6" t="inlineStr">
        <is>
          <t>fortress_bastion</t>
        </is>
      </c>
      <c r="C6" t="inlineStr">
        <is>
          <t>AreaDenial</t>
        </is>
      </c>
      <c r="D6" t="inlineStr">
        <is>
          <t>Assets/MachineBrigade/Resources/Data/balance.json: aiBehaviour.bosses.fortress_bastion</t>
        </is>
      </c>
      <c r="E6" t="inlineStr">
        <is>
          <t>["AreaDenial"]</t>
        </is>
      </c>
    </row>
    <row r="7">
      <c r="A7" t="inlineStr">
        <is>
          <t>leviathan</t>
        </is>
      </c>
      <c r="B7" t="inlineStr">
        <is>
          <t>leviathan</t>
        </is>
      </c>
      <c r="C7" t="inlineStr">
        <is>
          <t>AreaDenial;AntiAir</t>
        </is>
      </c>
      <c r="D7" t="inlineStr">
        <is>
          <t>Assets/MachineBrigade/Resources/Data/balance.json: aiBehaviour.bosses.leviathan</t>
        </is>
      </c>
      <c r="E7" t="inlineStr">
        <is>
          <t>["AreaDenial","AntiAir"]</t>
        </is>
      </c>
    </row>
    <row r="8">
      <c r="A8" t="inlineStr">
        <is>
          <t>mobile_fortress</t>
        </is>
      </c>
      <c r="B8" t="inlineStr">
        <is>
          <t>mobile_fortress</t>
        </is>
      </c>
      <c r="C8" t="inlineStr">
        <is>
          <t>AntiArtillery;AreaDenial</t>
        </is>
      </c>
      <c r="D8" t="inlineStr">
        <is>
          <t>Assets/MachineBrigade/Resources/Data/balance.json: aiBehaviour.bosses.mobile_fortress</t>
        </is>
      </c>
      <c r="E8" t="inlineStr">
        <is>
          <t>["AntiArtillery","AreaDenial"]</t>
        </is>
      </c>
    </row>
    <row r="9">
      <c r="A9" t="inlineStr">
        <is>
          <t>moloch</t>
        </is>
      </c>
      <c r="B9" t="inlineStr">
        <is>
          <t>moloch</t>
        </is>
      </c>
      <c r="C9" t="inlineStr">
        <is>
          <t>CoreProtection;FlankPunishment</t>
        </is>
      </c>
      <c r="D9" t="inlineStr">
        <is>
          <t>Assets/MachineBrigade/Resources/Data/balance.json: aiBehaviour.bosses.moloch</t>
        </is>
      </c>
      <c r="E9" t="inlineStr">
        <is>
          <t>["CoreProtection","FlankPunishment"]</t>
        </is>
      </c>
    </row>
    <row r="10">
      <c r="A10" t="inlineStr">
        <is>
          <t>nuke_train</t>
        </is>
      </c>
      <c r="B10" t="inlineStr">
        <is>
          <t>nuke_train</t>
        </is>
      </c>
      <c r="C10" t="inlineStr">
        <is>
          <t>AreaDenial</t>
        </is>
      </c>
      <c r="D10" t="inlineStr">
        <is>
          <t>Assets/MachineBrigade/Resources/Data/balance.json: aiBehaviour.bosses.nuke_train</t>
        </is>
      </c>
      <c r="E10" t="inlineStr">
        <is>
          <t>["AreaDenial"]</t>
        </is>
      </c>
    </row>
    <row r="11">
      <c r="A11" t="inlineStr">
        <is>
          <t>silver_bug</t>
        </is>
      </c>
      <c r="B11" t="inlineStr">
        <is>
          <t>silver_bug</t>
        </is>
      </c>
      <c r="C11" t="inlineStr">
        <is>
          <t>AntiBlob;CoreProtection</t>
        </is>
      </c>
      <c r="D11" t="inlineStr">
        <is>
          <t>Assets/MachineBrigade/Resources/Data/balance.json: aiBehaviour.bosses.silver_bug</t>
        </is>
      </c>
      <c r="E11" t="inlineStr">
        <is>
          <t>["AntiBlob","CoreProtection"]</t>
        </is>
      </c>
    </row>
    <row r="12">
      <c r="A12" t="inlineStr">
        <is>
          <t>typhon</t>
        </is>
      </c>
      <c r="B12" t="inlineStr">
        <is>
          <t>typhon</t>
        </is>
      </c>
      <c r="C12" t="inlineStr">
        <is>
          <t>AntiArtillery;AntiAir</t>
        </is>
      </c>
      <c r="D12" t="inlineStr">
        <is>
          <t>Assets/MachineBrigade/Resources/Data/balance.json: aiBehaviour.bosses.typhon</t>
        </is>
      </c>
      <c r="E12" t="inlineStr">
        <is>
          <t>["AntiArtillery","AntiAir"]</t>
        </is>
      </c>
    </row>
  </sheetData>
  <autoFilter ref="A1:E12"/>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5" customWidth="1" min="2" max="2"/>
    <col width="8" customWidth="1" min="3" max="3"/>
    <col width="23" customWidth="1" min="4" max="4"/>
    <col width="60" customWidth="1" min="5" max="5"/>
    <col width="60" customWidth="1" min="6" max="6"/>
    <col width="60" customWidth="1" min="7" max="7"/>
    <col width="60" customWidth="1" min="8" max="8"/>
    <col width="21" customWidth="1" min="9" max="9"/>
    <col width="60" customWidth="1" min="10" max="10"/>
    <col width="17" customWidth="1" min="11" max="11"/>
    <col width="30" customWidth="1" min="12" max="12"/>
    <col width="16" customWidth="1" min="13" max="13"/>
    <col width="60" customWidth="1" min="14" max="14"/>
    <col width="16" customWidth="1" min="15" max="15"/>
    <col width="60" customWidth="1" min="16" max="16"/>
    <col width="60" customWidth="1" min="17" max="17"/>
    <col width="10" customWidth="1" min="18" max="18"/>
  </cols>
  <sheetData>
    <row r="1">
      <c r="A1" s="1" t="inlineStr">
        <is>
          <t>id</t>
        </is>
      </c>
      <c r="B1" s="1" t="inlineStr">
        <is>
          <t>anh_xa</t>
        </is>
      </c>
      <c r="C1" s="1" t="inlineStr">
        <is>
          <t>tuong</t>
        </is>
      </c>
      <c r="D1" s="1" t="inlineStr">
        <is>
          <t>ho_so</t>
        </is>
      </c>
      <c r="E1" s="1" t="inlineStr">
        <is>
          <t>chien_thuat_cho_phep</t>
        </is>
      </c>
      <c r="F1" s="1" t="inlineStr">
        <is>
          <t>ho_so_dung_tuong</t>
        </is>
      </c>
      <c r="G1" s="1" t="inlineStr">
        <is>
          <t>co_khong_tuong</t>
        </is>
      </c>
      <c r="H1" s="1" t="inlineStr">
        <is>
          <t>ua_thich_tuong</t>
        </is>
      </c>
      <c r="I1" s="1" t="inlineStr">
        <is>
          <t>ua_thich_tuong_game</t>
        </is>
      </c>
      <c r="J1" s="1" t="inlineStr">
        <is>
          <t>dung_tuong</t>
        </is>
      </c>
      <c r="K1" s="1" t="inlineStr">
        <is>
          <t>dung_tuong_game</t>
        </is>
      </c>
      <c r="L1" s="1" t="inlineStr">
        <is>
          <t>yeu_cau</t>
        </is>
      </c>
      <c r="M1" s="1" t="inlineStr">
        <is>
          <t>yeu_cau_game</t>
        </is>
      </c>
      <c r="N1" s="1" t="inlineStr">
        <is>
          <t>vao_tran</t>
        </is>
      </c>
      <c r="O1" s="1" t="inlineStr">
        <is>
          <t>vao_tran_game</t>
        </is>
      </c>
      <c r="P1" s="1" t="inlineStr">
        <is>
          <t>trang_thai</t>
        </is>
      </c>
      <c r="Q1" s="1" t="inlineStr">
        <is>
          <t>nguon</t>
        </is>
      </c>
      <c r="R1" s="1" t="inlineStr">
        <is>
          <t>raw_json</t>
        </is>
      </c>
    </row>
    <row r="2">
      <c r="A2" t="inlineStr">
        <is>
          <t>goal.Boss/aurel</t>
        </is>
      </c>
      <c r="B2" t="inlineStr">
        <is>
          <t>goal.Boss</t>
        </is>
      </c>
      <c r="C2" t="inlineStr">
        <is>
          <t>aurel</t>
        </is>
      </c>
      <c r="D2">
        <f>AI_ho_so_anh_xa!$D$2</f>
        <v/>
      </c>
      <c r="E2">
        <f>INDEX(AI_ho_so_che_do!$B$2:$B$21,MATCH($D$2,AI_ho_so_che_do!$A$2:$A$21,0))&amp;""</f>
        <v/>
      </c>
      <c r="F2">
        <f>INDEX(AI_ho_so_che_do!$P$2:$P$21,MATCH($D$2,AI_ho_so_che_do!$A$2:$A$21,0))=TRUE</f>
        <v/>
      </c>
      <c r="G2">
        <f>ISNUMBER(FIND(";noGeneralTactic;",";"&amp;INDEX(AI_ho_so_che_do!$O$2:$O$21,MATCH($D$2,AI_ho_so_che_do!$A$2:$A$21,0))&amp;";"))</f>
        <v/>
      </c>
      <c r="H2">
        <f>IF(AI_tuong!$B$2&amp;""&lt;&gt;"",AI_tuong!$B$2,IF(AI_tuong!$B$4&amp;""&lt;&gt;"",AI_tuong!$B$4,"balanced"))</f>
        <v/>
      </c>
      <c r="I2" t="inlineStr">
        <is>
          <t>all_out</t>
        </is>
      </c>
      <c r="J2">
        <f>OR($F$2,AND(AI_ho_so_anh_xa!$B$2="mode",OR(AI_ho_so_anh_xa!$C$2="Weekly",AI_ho_so_anh_xa!$C$2="Operation")))</f>
        <v/>
      </c>
      <c r="K2" t="b">
        <v>0</v>
      </c>
      <c r="L2">
        <f>IF($J$2,$H$2,"balanced")</f>
        <v/>
      </c>
      <c r="M2" t="inlineStr">
        <is>
          <t>balanced</t>
        </is>
      </c>
      <c r="N2">
        <f>IF(OR($E$2="",$G$2),"balanced",IF(OR($E$2="*",ISNUMBER(FIND(";"&amp;$L$2&amp;";",";"&amp;$E$2&amp;";"))),$L$2,IF(ISNUMBER(FIND(";"&amp;"balanced"&amp;";",";"&amp;$E$2&amp;";")),"balanced",LEFT($E$2,FIND(";",$E$2&amp;";")-1))))</f>
        <v/>
      </c>
      <c r="O2" t="inlineStr">
        <is>
          <t>balanced</t>
        </is>
      </c>
      <c r="P2">
        <f>IF(OR($E$2="",$G$2),"KHONG_CHIEN_THUAT",IF(NOT($J$2),IF($H$2="balanced","GIU","CHE_DO_BO_QUA"),IF($N$2=$H$2,"GIU","HO_SO_GHI_DE")))</f>
        <v/>
      </c>
      <c r="Q2" t="inlineStr">
        <is>
          <t>Sim/AI/ConquestAi.P28.cs TickLayered + Sim/AI/Commander.cs AllowedTactic (goal.Boss, aurel)</t>
        </is>
      </c>
      <c r="R2" t="inlineStr"/>
    </row>
    <row r="3">
      <c r="A3" t="inlineStr">
        <is>
          <t>goal.Boss/brandt</t>
        </is>
      </c>
      <c r="B3" t="inlineStr">
        <is>
          <t>goal.Boss</t>
        </is>
      </c>
      <c r="C3" t="inlineStr">
        <is>
          <t>brandt</t>
        </is>
      </c>
      <c r="D3">
        <f>AI_ho_so_anh_xa!$D$2</f>
        <v/>
      </c>
      <c r="E3">
        <f>INDEX(AI_ho_so_che_do!$B$2:$B$21,MATCH($D$3,AI_ho_so_che_do!$A$2:$A$21,0))&amp;""</f>
        <v/>
      </c>
      <c r="F3">
        <f>INDEX(AI_ho_so_che_do!$P$2:$P$21,MATCH($D$3,AI_ho_so_che_do!$A$2:$A$21,0))=TRUE</f>
        <v/>
      </c>
      <c r="G3">
        <f>ISNUMBER(FIND(";noGeneralTactic;",";"&amp;INDEX(AI_ho_so_che_do!$O$2:$O$21,MATCH($D$3,AI_ho_so_che_do!$A$2:$A$21,0))&amp;";"))</f>
        <v/>
      </c>
      <c r="H3">
        <f>IF(AI_tuong!$B$3&amp;""&lt;&gt;"",AI_tuong!$B$3,IF(AI_tuong!$B$4&amp;""&lt;&gt;"",AI_tuong!$B$4,"balanced"))</f>
        <v/>
      </c>
      <c r="I3" t="inlineStr">
        <is>
          <t>depth</t>
        </is>
      </c>
      <c r="J3">
        <f>OR($F$3,AND(AI_ho_so_anh_xa!$B$2="mode",OR(AI_ho_so_anh_xa!$C$2="Weekly",AI_ho_so_anh_xa!$C$2="Operation")))</f>
        <v/>
      </c>
      <c r="K3" t="b">
        <v>0</v>
      </c>
      <c r="L3">
        <f>IF($J$3,$H$3,"balanced")</f>
        <v/>
      </c>
      <c r="M3" t="inlineStr">
        <is>
          <t>balanced</t>
        </is>
      </c>
      <c r="N3">
        <f>IF(OR($E$3="",$G$3),"balanced",IF(OR($E$3="*",ISNUMBER(FIND(";"&amp;$L$3&amp;";",";"&amp;$E$3&amp;";"))),$L$3,IF(ISNUMBER(FIND(";"&amp;"balanced"&amp;";",";"&amp;$E$3&amp;";")),"balanced",LEFT($E$3,FIND(";",$E$3&amp;";")-1))))</f>
        <v/>
      </c>
      <c r="O3" t="inlineStr">
        <is>
          <t>balanced</t>
        </is>
      </c>
      <c r="P3">
        <f>IF(OR($E$3="",$G$3),"KHONG_CHIEN_THUAT",IF(NOT($J$3),IF($H$3="balanced","GIU","CHE_DO_BO_QUA"),IF($N$3=$H$3,"GIU","HO_SO_GHI_DE")))</f>
        <v/>
      </c>
      <c r="Q3" t="inlineStr">
        <is>
          <t>Sim/AI/ConquestAi.P28.cs TickLayered + Sim/AI/Commander.cs AllowedTactic (goal.Boss, brandt)</t>
        </is>
      </c>
      <c r="R3" t="inlineStr"/>
    </row>
    <row r="4">
      <c r="A4" t="inlineStr">
        <is>
          <t>goal.Boss/default</t>
        </is>
      </c>
      <c r="B4" t="inlineStr">
        <is>
          <t>goal.Boss</t>
        </is>
      </c>
      <c r="C4" t="inlineStr">
        <is>
          <t>default</t>
        </is>
      </c>
      <c r="D4">
        <f>AI_ho_so_anh_xa!$D$2</f>
        <v/>
      </c>
      <c r="E4">
        <f>INDEX(AI_ho_so_che_do!$B$2:$B$21,MATCH($D$4,AI_ho_so_che_do!$A$2:$A$21,0))&amp;""</f>
        <v/>
      </c>
      <c r="F4">
        <f>INDEX(AI_ho_so_che_do!$P$2:$P$21,MATCH($D$4,AI_ho_so_che_do!$A$2:$A$21,0))=TRUE</f>
        <v/>
      </c>
      <c r="G4">
        <f>ISNUMBER(FIND(";noGeneralTactic;",";"&amp;INDEX(AI_ho_so_che_do!$O$2:$O$21,MATCH($D$4,AI_ho_so_che_do!$A$2:$A$21,0))&amp;";"))</f>
        <v/>
      </c>
      <c r="H4">
        <f>IF(AI_tuong!$B$4&amp;""&lt;&gt;"",AI_tuong!$B$4,IF(AI_tuong!$B$4&amp;""&lt;&gt;"",AI_tuong!$B$4,"balanced"))</f>
        <v/>
      </c>
      <c r="I4" t="inlineStr">
        <is>
          <t>balanced</t>
        </is>
      </c>
      <c r="J4">
        <f>OR($F$4,AND(AI_ho_so_anh_xa!$B$2="mode",OR(AI_ho_so_anh_xa!$C$2="Weekly",AI_ho_so_anh_xa!$C$2="Operation")))</f>
        <v/>
      </c>
      <c r="K4" t="b">
        <v>0</v>
      </c>
      <c r="L4">
        <f>IF($J$4,$H$4,"balanced")</f>
        <v/>
      </c>
      <c r="M4" t="inlineStr">
        <is>
          <t>balanced</t>
        </is>
      </c>
      <c r="N4">
        <f>IF(OR($E$4="",$G$4),"balanced",IF(OR($E$4="*",ISNUMBER(FIND(";"&amp;$L$4&amp;";",";"&amp;$E$4&amp;";"))),$L$4,IF(ISNUMBER(FIND(";"&amp;"balanced"&amp;";",";"&amp;$E$4&amp;";")),"balanced",LEFT($E$4,FIND(";",$E$4&amp;";")-1))))</f>
        <v/>
      </c>
      <c r="O4" t="inlineStr">
        <is>
          <t>balanced</t>
        </is>
      </c>
      <c r="P4">
        <f>IF(OR($E$4="",$G$4),"KHONG_CHIEN_THUAT",IF(NOT($J$4),IF($H$4="balanced","GIU","CHE_DO_BO_QUA"),IF($N$4=$H$4,"GIU","HO_SO_GHI_DE")))</f>
        <v/>
      </c>
      <c r="Q4" t="inlineStr">
        <is>
          <t>Sim/AI/ConquestAi.P28.cs TickLayered + Sim/AI/Commander.cs AllowedTactic (goal.Boss, default)</t>
        </is>
      </c>
      <c r="R4" t="inlineStr"/>
    </row>
    <row r="5">
      <c r="A5" t="inlineStr">
        <is>
          <t>goal.Boss/hung</t>
        </is>
      </c>
      <c r="B5" t="inlineStr">
        <is>
          <t>goal.Boss</t>
        </is>
      </c>
      <c r="C5" t="inlineStr">
        <is>
          <t>hung</t>
        </is>
      </c>
      <c r="D5">
        <f>AI_ho_so_anh_xa!$D$2</f>
        <v/>
      </c>
      <c r="E5">
        <f>INDEX(AI_ho_so_che_do!$B$2:$B$21,MATCH($D$5,AI_ho_so_che_do!$A$2:$A$21,0))&amp;""</f>
        <v/>
      </c>
      <c r="F5">
        <f>INDEX(AI_ho_so_che_do!$P$2:$P$21,MATCH($D$5,AI_ho_so_che_do!$A$2:$A$21,0))=TRUE</f>
        <v/>
      </c>
      <c r="G5">
        <f>ISNUMBER(FIND(";noGeneralTactic;",";"&amp;INDEX(AI_ho_so_che_do!$O$2:$O$21,MATCH($D$5,AI_ho_so_che_do!$A$2:$A$21,0))&amp;";"))</f>
        <v/>
      </c>
      <c r="H5">
        <f>IF(AI_tuong!$B$5&amp;""&lt;&gt;"",AI_tuong!$B$5,IF(AI_tuong!$B$4&amp;""&lt;&gt;"",AI_tuong!$B$4,"balanced"))</f>
        <v/>
      </c>
      <c r="I5" t="inlineStr">
        <is>
          <t>balanced</t>
        </is>
      </c>
      <c r="J5">
        <f>OR($F$5,AND(AI_ho_so_anh_xa!$B$2="mode",OR(AI_ho_so_anh_xa!$C$2="Weekly",AI_ho_so_anh_xa!$C$2="Operation")))</f>
        <v/>
      </c>
      <c r="K5" t="b">
        <v>0</v>
      </c>
      <c r="L5">
        <f>IF($J$5,$H$5,"balanced")</f>
        <v/>
      </c>
      <c r="M5" t="inlineStr">
        <is>
          <t>balanced</t>
        </is>
      </c>
      <c r="N5">
        <f>IF(OR($E$5="",$G$5),"balanced",IF(OR($E$5="*",ISNUMBER(FIND(";"&amp;$L$5&amp;";",";"&amp;$E$5&amp;";"))),$L$5,IF(ISNUMBER(FIND(";"&amp;"balanced"&amp;";",";"&amp;$E$5&amp;";")),"balanced",LEFT($E$5,FIND(";",$E$5&amp;";")-1))))</f>
        <v/>
      </c>
      <c r="O5" t="inlineStr">
        <is>
          <t>balanced</t>
        </is>
      </c>
      <c r="P5">
        <f>IF(OR($E$5="",$G$5),"KHONG_CHIEN_THUAT",IF(NOT($J$5),IF($H$5="balanced","GIU","CHE_DO_BO_QUA"),IF($N$5=$H$5,"GIU","HO_SO_GHI_DE")))</f>
        <v/>
      </c>
      <c r="Q5" t="inlineStr">
        <is>
          <t>Sim/AI/ConquestAi.P28.cs TickLayered + Sim/AI/Commander.cs AllowedTactic (goal.Boss, hung)</t>
        </is>
      </c>
      <c r="R5" t="inlineStr"/>
    </row>
    <row r="6">
      <c r="A6" t="inlineStr">
        <is>
          <t>goal.Boss/kessler</t>
        </is>
      </c>
      <c r="B6" t="inlineStr">
        <is>
          <t>goal.Boss</t>
        </is>
      </c>
      <c r="C6" t="inlineStr">
        <is>
          <t>kessler</t>
        </is>
      </c>
      <c r="D6">
        <f>AI_ho_so_anh_xa!$D$2</f>
        <v/>
      </c>
      <c r="E6">
        <f>INDEX(AI_ho_so_che_do!$B$2:$B$21,MATCH($D$6,AI_ho_so_che_do!$A$2:$A$21,0))&amp;""</f>
        <v/>
      </c>
      <c r="F6">
        <f>INDEX(AI_ho_so_che_do!$P$2:$P$21,MATCH($D$6,AI_ho_so_che_do!$A$2:$A$21,0))=TRUE</f>
        <v/>
      </c>
      <c r="G6">
        <f>ISNUMBER(FIND(";noGeneralTactic;",";"&amp;INDEX(AI_ho_so_che_do!$O$2:$O$21,MATCH($D$6,AI_ho_so_che_do!$A$2:$A$21,0))&amp;";"))</f>
        <v/>
      </c>
      <c r="H6">
        <f>IF(AI_tuong!$B$6&amp;""&lt;&gt;"",AI_tuong!$B$6,IF(AI_tuong!$B$4&amp;""&lt;&gt;"",AI_tuong!$B$4,"balanced"))</f>
        <v/>
      </c>
      <c r="I6" t="inlineStr">
        <is>
          <t>attrition</t>
        </is>
      </c>
      <c r="J6">
        <f>OR($F$6,AND(AI_ho_so_anh_xa!$B$2="mode",OR(AI_ho_so_anh_xa!$C$2="Weekly",AI_ho_so_anh_xa!$C$2="Operation")))</f>
        <v/>
      </c>
      <c r="K6" t="b">
        <v>0</v>
      </c>
      <c r="L6">
        <f>IF($J$6,$H$6,"balanced")</f>
        <v/>
      </c>
      <c r="M6" t="inlineStr">
        <is>
          <t>balanced</t>
        </is>
      </c>
      <c r="N6">
        <f>IF(OR($E$6="",$G$6),"balanced",IF(OR($E$6="*",ISNUMBER(FIND(";"&amp;$L$6&amp;";",";"&amp;$E$6&amp;";"))),$L$6,IF(ISNUMBER(FIND(";"&amp;"balanced"&amp;";",";"&amp;$E$6&amp;";")),"balanced",LEFT($E$6,FIND(";",$E$6&amp;";")-1))))</f>
        <v/>
      </c>
      <c r="O6" t="inlineStr">
        <is>
          <t>balanced</t>
        </is>
      </c>
      <c r="P6">
        <f>IF(OR($E$6="",$G$6),"KHONG_CHIEN_THUAT",IF(NOT($J$6),IF($H$6="balanced","GIU","CHE_DO_BO_QUA"),IF($N$6=$H$6,"GIU","HO_SO_GHI_DE")))</f>
        <v/>
      </c>
      <c r="Q6" t="inlineStr">
        <is>
          <t>Sim/AI/ConquestAi.P28.cs TickLayered + Sim/AI/Commander.cs AllowedTactic (goal.Boss, kessler)</t>
        </is>
      </c>
      <c r="R6" t="inlineStr"/>
    </row>
    <row r="7">
      <c r="A7" t="inlineStr">
        <is>
          <t>goal.Boss/orlov</t>
        </is>
      </c>
      <c r="B7" t="inlineStr">
        <is>
          <t>goal.Boss</t>
        </is>
      </c>
      <c r="C7" t="inlineStr">
        <is>
          <t>orlov</t>
        </is>
      </c>
      <c r="D7">
        <f>AI_ho_so_anh_xa!$D$2</f>
        <v/>
      </c>
      <c r="E7">
        <f>INDEX(AI_ho_so_che_do!$B$2:$B$21,MATCH($D$7,AI_ho_so_che_do!$A$2:$A$21,0))&amp;""</f>
        <v/>
      </c>
      <c r="F7">
        <f>INDEX(AI_ho_so_che_do!$P$2:$P$21,MATCH($D$7,AI_ho_so_che_do!$A$2:$A$21,0))=TRUE</f>
        <v/>
      </c>
      <c r="G7">
        <f>ISNUMBER(FIND(";noGeneralTactic;",";"&amp;INDEX(AI_ho_so_che_do!$O$2:$O$21,MATCH($D$7,AI_ho_so_che_do!$A$2:$A$21,0))&amp;";"))</f>
        <v/>
      </c>
      <c r="H7">
        <f>IF(AI_tuong!$B$7&amp;""&lt;&gt;"",AI_tuong!$B$7,IF(AI_tuong!$B$4&amp;""&lt;&gt;"",AI_tuong!$B$4,"balanced"))</f>
        <v/>
      </c>
      <c r="I7" t="inlineStr">
        <is>
          <t>firepower</t>
        </is>
      </c>
      <c r="J7">
        <f>OR($F$7,AND(AI_ho_so_anh_xa!$B$2="mode",OR(AI_ho_so_anh_xa!$C$2="Weekly",AI_ho_so_anh_xa!$C$2="Operation")))</f>
        <v/>
      </c>
      <c r="K7" t="b">
        <v>0</v>
      </c>
      <c r="L7">
        <f>IF($J$7,$H$7,"balanced")</f>
        <v/>
      </c>
      <c r="M7" t="inlineStr">
        <is>
          <t>balanced</t>
        </is>
      </c>
      <c r="N7">
        <f>IF(OR($E$7="",$G$7),"balanced",IF(OR($E$7="*",ISNUMBER(FIND(";"&amp;$L$7&amp;";",";"&amp;$E$7&amp;";"))),$L$7,IF(ISNUMBER(FIND(";"&amp;"balanced"&amp;";",";"&amp;$E$7&amp;";")),"balanced",LEFT($E$7,FIND(";",$E$7&amp;";")-1))))</f>
        <v/>
      </c>
      <c r="O7" t="inlineStr">
        <is>
          <t>balanced</t>
        </is>
      </c>
      <c r="P7">
        <f>IF(OR($E$7="",$G$7),"KHONG_CHIEN_THUAT",IF(NOT($J$7),IF($H$7="balanced","GIU","CHE_DO_BO_QUA"),IF($N$7=$H$7,"GIU","HO_SO_GHI_DE")))</f>
        <v/>
      </c>
      <c r="Q7" t="inlineStr">
        <is>
          <t>Sim/AI/ConquestAi.P28.cs TickLayered + Sim/AI/Commander.cs AllowedTactic (goal.Boss, orlov)</t>
        </is>
      </c>
      <c r="R7" t="inlineStr"/>
    </row>
    <row r="8">
      <c r="A8" t="inlineStr">
        <is>
          <t>goal.Boss/quaden</t>
        </is>
      </c>
      <c r="B8" t="inlineStr">
        <is>
          <t>goal.Boss</t>
        </is>
      </c>
      <c r="C8" t="inlineStr">
        <is>
          <t>quaden</t>
        </is>
      </c>
      <c r="D8">
        <f>AI_ho_so_anh_xa!$D$2</f>
        <v/>
      </c>
      <c r="E8">
        <f>INDEX(AI_ho_so_che_do!$B$2:$B$21,MATCH($D$8,AI_ho_so_che_do!$A$2:$A$21,0))&amp;""</f>
        <v/>
      </c>
      <c r="F8">
        <f>INDEX(AI_ho_so_che_do!$P$2:$P$21,MATCH($D$8,AI_ho_so_che_do!$A$2:$A$21,0))=TRUE</f>
        <v/>
      </c>
      <c r="G8">
        <f>ISNUMBER(FIND(";noGeneralTactic;",";"&amp;INDEX(AI_ho_so_che_do!$O$2:$O$21,MATCH($D$8,AI_ho_so_che_do!$A$2:$A$21,0))&amp;";"))</f>
        <v/>
      </c>
      <c r="H8">
        <f>IF(AI_tuong!$B$8&amp;""&lt;&gt;"",AI_tuong!$B$8,IF(AI_tuong!$B$4&amp;""&lt;&gt;"",AI_tuong!$B$4,"balanced"))</f>
        <v/>
      </c>
      <c r="I8" t="inlineStr">
        <is>
          <t>balanced</t>
        </is>
      </c>
      <c r="J8">
        <f>OR($F$8,AND(AI_ho_so_anh_xa!$B$2="mode",OR(AI_ho_so_anh_xa!$C$2="Weekly",AI_ho_so_anh_xa!$C$2="Operation")))</f>
        <v/>
      </c>
      <c r="K8" t="b">
        <v>0</v>
      </c>
      <c r="L8">
        <f>IF($J$8,$H$8,"balanced")</f>
        <v/>
      </c>
      <c r="M8" t="inlineStr">
        <is>
          <t>balanced</t>
        </is>
      </c>
      <c r="N8">
        <f>IF(OR($E$8="",$G$8),"balanced",IF(OR($E$8="*",ISNUMBER(FIND(";"&amp;$L$8&amp;";",";"&amp;$E$8&amp;";"))),$L$8,IF(ISNUMBER(FIND(";"&amp;"balanced"&amp;";",";"&amp;$E$8&amp;";")),"balanced",LEFT($E$8,FIND(";",$E$8&amp;";")-1))))</f>
        <v/>
      </c>
      <c r="O8" t="inlineStr">
        <is>
          <t>balanced</t>
        </is>
      </c>
      <c r="P8">
        <f>IF(OR($E$8="",$G$8),"KHONG_CHIEN_THUAT",IF(NOT($J$8),IF($H$8="balanced","GIU","CHE_DO_BO_QUA"),IF($N$8=$H$8,"GIU","HO_SO_GHI_DE")))</f>
        <v/>
      </c>
      <c r="Q8" t="inlineStr">
        <is>
          <t>Sim/AI/ConquestAi.P28.cs TickLayered + Sim/AI/Commander.cs AllowedTactic (goal.Boss, quaden)</t>
        </is>
      </c>
      <c r="R8" t="inlineStr"/>
    </row>
    <row r="9">
      <c r="A9" t="inlineStr">
        <is>
          <t>goal.Boss/sen</t>
        </is>
      </c>
      <c r="B9" t="inlineStr">
        <is>
          <t>goal.Boss</t>
        </is>
      </c>
      <c r="C9" t="inlineStr">
        <is>
          <t>sen</t>
        </is>
      </c>
      <c r="D9">
        <f>AI_ho_so_anh_xa!$D$2</f>
        <v/>
      </c>
      <c r="E9">
        <f>INDEX(AI_ho_so_che_do!$B$2:$B$21,MATCH($D$9,AI_ho_so_che_do!$A$2:$A$21,0))&amp;""</f>
        <v/>
      </c>
      <c r="F9">
        <f>INDEX(AI_ho_so_che_do!$P$2:$P$21,MATCH($D$9,AI_ho_so_che_do!$A$2:$A$21,0))=TRUE</f>
        <v/>
      </c>
      <c r="G9">
        <f>ISNUMBER(FIND(";noGeneralTactic;",";"&amp;INDEX(AI_ho_so_che_do!$O$2:$O$21,MATCH($D$9,AI_ho_so_che_do!$A$2:$A$21,0))&amp;";"))</f>
        <v/>
      </c>
      <c r="H9">
        <f>IF(AI_tuong!$B$9&amp;""&lt;&gt;"",AI_tuong!$B$9,IF(AI_tuong!$B$4&amp;""&lt;&gt;"",AI_tuong!$B$4,"balanced"))</f>
        <v/>
      </c>
      <c r="I9" t="inlineStr">
        <is>
          <t>balanced</t>
        </is>
      </c>
      <c r="J9">
        <f>OR($F$9,AND(AI_ho_so_anh_xa!$B$2="mode",OR(AI_ho_so_anh_xa!$C$2="Weekly",AI_ho_so_anh_xa!$C$2="Operation")))</f>
        <v/>
      </c>
      <c r="K9" t="b">
        <v>0</v>
      </c>
      <c r="L9">
        <f>IF($J$9,$H$9,"balanced")</f>
        <v/>
      </c>
      <c r="M9" t="inlineStr">
        <is>
          <t>balanced</t>
        </is>
      </c>
      <c r="N9">
        <f>IF(OR($E$9="",$G$9),"balanced",IF(OR($E$9="*",ISNUMBER(FIND(";"&amp;$L$9&amp;";",";"&amp;$E$9&amp;";"))),$L$9,IF(ISNUMBER(FIND(";"&amp;"balanced"&amp;";",";"&amp;$E$9&amp;";")),"balanced",LEFT($E$9,FIND(";",$E$9&amp;";")-1))))</f>
        <v/>
      </c>
      <c r="O9" t="inlineStr">
        <is>
          <t>balanced</t>
        </is>
      </c>
      <c r="P9">
        <f>IF(OR($E$9="",$G$9),"KHONG_CHIEN_THUAT",IF(NOT($J$9),IF($H$9="balanced","GIU","CHE_DO_BO_QUA"),IF($N$9=$H$9,"GIU","HO_SO_GHI_DE")))</f>
        <v/>
      </c>
      <c r="Q9" t="inlineStr">
        <is>
          <t>Sim/AI/ConquestAi.P28.cs TickLayered + Sim/AI/Commander.cs AllowedTactic (goal.Boss, sen)</t>
        </is>
      </c>
      <c r="R9" t="inlineStr"/>
    </row>
    <row r="10">
      <c r="A10" t="inlineStr">
        <is>
          <t>goal.Boss/thorne</t>
        </is>
      </c>
      <c r="B10" t="inlineStr">
        <is>
          <t>goal.Boss</t>
        </is>
      </c>
      <c r="C10" t="inlineStr">
        <is>
          <t>thorne</t>
        </is>
      </c>
      <c r="D10">
        <f>AI_ho_so_anh_xa!$D$2</f>
        <v/>
      </c>
      <c r="E10">
        <f>INDEX(AI_ho_so_che_do!$B$2:$B$21,MATCH($D$10,AI_ho_so_che_do!$A$2:$A$21,0))&amp;""</f>
        <v/>
      </c>
      <c r="F10">
        <f>INDEX(AI_ho_so_che_do!$P$2:$P$21,MATCH($D$10,AI_ho_so_che_do!$A$2:$A$21,0))=TRUE</f>
        <v/>
      </c>
      <c r="G10">
        <f>ISNUMBER(FIND(";noGeneralTactic;",";"&amp;INDEX(AI_ho_so_che_do!$O$2:$O$21,MATCH($D$10,AI_ho_so_che_do!$A$2:$A$21,0))&amp;";"))</f>
        <v/>
      </c>
      <c r="H10">
        <f>IF(AI_tuong!$B$10&amp;""&lt;&gt;"",AI_tuong!$B$10,IF(AI_tuong!$B$4&amp;""&lt;&gt;"",AI_tuong!$B$4,"balanced"))</f>
        <v/>
      </c>
      <c r="I10" t="inlineStr">
        <is>
          <t>balanced</t>
        </is>
      </c>
      <c r="J10">
        <f>OR($F$10,AND(AI_ho_so_anh_xa!$B$2="mode",OR(AI_ho_so_anh_xa!$C$2="Weekly",AI_ho_so_anh_xa!$C$2="Operation")))</f>
        <v/>
      </c>
      <c r="K10" t="b">
        <v>0</v>
      </c>
      <c r="L10">
        <f>IF($J$10,$H$10,"balanced")</f>
        <v/>
      </c>
      <c r="M10" t="inlineStr">
        <is>
          <t>balanced</t>
        </is>
      </c>
      <c r="N10">
        <f>IF(OR($E$10="",$G$10),"balanced",IF(OR($E$10="*",ISNUMBER(FIND(";"&amp;$L$10&amp;";",";"&amp;$E$10&amp;";"))),$L$10,IF(ISNUMBER(FIND(";"&amp;"balanced"&amp;";",";"&amp;$E$10&amp;";")),"balanced",LEFT($E$10,FIND(";",$E$10&amp;";")-1))))</f>
        <v/>
      </c>
      <c r="O10" t="inlineStr">
        <is>
          <t>balanced</t>
        </is>
      </c>
      <c r="P10">
        <f>IF(OR($E$10="",$G$10),"KHONG_CHIEN_THUAT",IF(NOT($J$10),IF($H$10="balanced","GIU","CHE_DO_BO_QUA"),IF($N$10=$H$10,"GIU","HO_SO_GHI_DE")))</f>
        <v/>
      </c>
      <c r="Q10" t="inlineStr">
        <is>
          <t>Sim/AI/ConquestAi.P28.cs TickLayered + Sim/AI/Commander.cs AllowedTactic (goal.Boss, thorne)</t>
        </is>
      </c>
      <c r="R10" t="inlineStr"/>
    </row>
    <row r="11">
      <c r="A11" t="inlineStr">
        <is>
          <t>goal.Boss/varga</t>
        </is>
      </c>
      <c r="B11" t="inlineStr">
        <is>
          <t>goal.Boss</t>
        </is>
      </c>
      <c r="C11" t="inlineStr">
        <is>
          <t>varga</t>
        </is>
      </c>
      <c r="D11">
        <f>AI_ho_so_anh_xa!$D$2</f>
        <v/>
      </c>
      <c r="E11">
        <f>INDEX(AI_ho_so_che_do!$B$2:$B$21,MATCH($D$11,AI_ho_so_che_do!$A$2:$A$21,0))&amp;""</f>
        <v/>
      </c>
      <c r="F11">
        <f>INDEX(AI_ho_so_che_do!$P$2:$P$21,MATCH($D$11,AI_ho_so_che_do!$A$2:$A$21,0))=TRUE</f>
        <v/>
      </c>
      <c r="G11">
        <f>ISNUMBER(FIND(";noGeneralTactic;",";"&amp;INDEX(AI_ho_so_che_do!$O$2:$O$21,MATCH($D$11,AI_ho_so_che_do!$A$2:$A$21,0))&amp;";"))</f>
        <v/>
      </c>
      <c r="H11">
        <f>IF(AI_tuong!$B$11&amp;""&lt;&gt;"",AI_tuong!$B$11,IF(AI_tuong!$B$4&amp;""&lt;&gt;"",AI_tuong!$B$4,"balanced"))</f>
        <v/>
      </c>
      <c r="I11" t="inlineStr">
        <is>
          <t>breakthrough</t>
        </is>
      </c>
      <c r="J11">
        <f>OR($F$11,AND(AI_ho_so_anh_xa!$B$2="mode",OR(AI_ho_so_anh_xa!$C$2="Weekly",AI_ho_so_anh_xa!$C$2="Operation")))</f>
        <v/>
      </c>
      <c r="K11" t="b">
        <v>0</v>
      </c>
      <c r="L11">
        <f>IF($J$11,$H$11,"balanced")</f>
        <v/>
      </c>
      <c r="M11" t="inlineStr">
        <is>
          <t>balanced</t>
        </is>
      </c>
      <c r="N11">
        <f>IF(OR($E$11="",$G$11),"balanced",IF(OR($E$11="*",ISNUMBER(FIND(";"&amp;$L$11&amp;";",";"&amp;$E$11&amp;";"))),$L$11,IF(ISNUMBER(FIND(";"&amp;"balanced"&amp;";",";"&amp;$E$11&amp;";")),"balanced",LEFT($E$11,FIND(";",$E$11&amp;";")-1))))</f>
        <v/>
      </c>
      <c r="O11" t="inlineStr">
        <is>
          <t>balanced</t>
        </is>
      </c>
      <c r="P11">
        <f>IF(OR($E$11="",$G$11),"KHONG_CHIEN_THUAT",IF(NOT($J$11),IF($H$11="balanced","GIU","CHE_DO_BO_QUA"),IF($N$11=$H$11,"GIU","HO_SO_GHI_DE")))</f>
        <v/>
      </c>
      <c r="Q11" t="inlineStr">
        <is>
          <t>Sim/AI/ConquestAi.P28.cs TickLayered + Sim/AI/Commander.cs AllowedTactic (goal.Boss, varga)</t>
        </is>
      </c>
      <c r="R11" t="inlineStr"/>
    </row>
    <row r="12">
      <c r="A12" t="inlineStr">
        <is>
          <t>goal.Boss/venn</t>
        </is>
      </c>
      <c r="B12" t="inlineStr">
        <is>
          <t>goal.Boss</t>
        </is>
      </c>
      <c r="C12" t="inlineStr">
        <is>
          <t>venn</t>
        </is>
      </c>
      <c r="D12">
        <f>AI_ho_so_anh_xa!$D$2</f>
        <v/>
      </c>
      <c r="E12">
        <f>INDEX(AI_ho_so_che_do!$B$2:$B$21,MATCH($D$12,AI_ho_so_che_do!$A$2:$A$21,0))&amp;""</f>
        <v/>
      </c>
      <c r="F12">
        <f>INDEX(AI_ho_so_che_do!$P$2:$P$21,MATCH($D$12,AI_ho_so_che_do!$A$2:$A$21,0))=TRUE</f>
        <v/>
      </c>
      <c r="G12">
        <f>ISNUMBER(FIND(";noGeneralTactic;",";"&amp;INDEX(AI_ho_so_che_do!$O$2:$O$21,MATCH($D$12,AI_ho_so_che_do!$A$2:$A$21,0))&amp;";"))</f>
        <v/>
      </c>
      <c r="H12">
        <f>IF(AI_tuong!$B$12&amp;""&lt;&gt;"",AI_tuong!$B$12,IF(AI_tuong!$B$4&amp;""&lt;&gt;"",AI_tuong!$B$4,"balanced"))</f>
        <v/>
      </c>
      <c r="I12" t="inlineStr">
        <is>
          <t>dispersal</t>
        </is>
      </c>
      <c r="J12">
        <f>OR($F$12,AND(AI_ho_so_anh_xa!$B$2="mode",OR(AI_ho_so_anh_xa!$C$2="Weekly",AI_ho_so_anh_xa!$C$2="Operation")))</f>
        <v/>
      </c>
      <c r="K12" t="b">
        <v>0</v>
      </c>
      <c r="L12">
        <f>IF($J$12,$H$12,"balanced")</f>
        <v/>
      </c>
      <c r="M12" t="inlineStr">
        <is>
          <t>balanced</t>
        </is>
      </c>
      <c r="N12">
        <f>IF(OR($E$12="",$G$12),"balanced",IF(OR($E$12="*",ISNUMBER(FIND(";"&amp;$L$12&amp;";",";"&amp;$E$12&amp;";"))),$L$12,IF(ISNUMBER(FIND(";"&amp;"balanced"&amp;";",";"&amp;$E$12&amp;";")),"balanced",LEFT($E$12,FIND(";",$E$12&amp;";")-1))))</f>
        <v/>
      </c>
      <c r="O12" t="inlineStr">
        <is>
          <t>balanced</t>
        </is>
      </c>
      <c r="P12">
        <f>IF(OR($E$12="",$G$12),"KHONG_CHIEN_THUAT",IF(NOT($J$12),IF($H$12="balanced","GIU","CHE_DO_BO_QUA"),IF($N$12=$H$12,"GIU","HO_SO_GHI_DE")))</f>
        <v/>
      </c>
      <c r="Q12" t="inlineStr">
        <is>
          <t>Sim/AI/ConquestAi.P28.cs TickLayered + Sim/AI/Commander.cs AllowedTactic (goal.Boss, venn)</t>
        </is>
      </c>
      <c r="R12" t="inlineStr"/>
    </row>
    <row r="13">
      <c r="A13" t="inlineStr">
        <is>
          <t>goal.Boss/wolff</t>
        </is>
      </c>
      <c r="B13" t="inlineStr">
        <is>
          <t>goal.Boss</t>
        </is>
      </c>
      <c r="C13" t="inlineStr">
        <is>
          <t>wolff</t>
        </is>
      </c>
      <c r="D13">
        <f>AI_ho_so_anh_xa!$D$2</f>
        <v/>
      </c>
      <c r="E13">
        <f>INDEX(AI_ho_so_che_do!$B$2:$B$21,MATCH($D$13,AI_ho_so_che_do!$A$2:$A$21,0))&amp;""</f>
        <v/>
      </c>
      <c r="F13">
        <f>INDEX(AI_ho_so_che_do!$P$2:$P$21,MATCH($D$13,AI_ho_so_che_do!$A$2:$A$21,0))=TRUE</f>
        <v/>
      </c>
      <c r="G13">
        <f>ISNUMBER(FIND(";noGeneralTactic;",";"&amp;INDEX(AI_ho_so_che_do!$O$2:$O$21,MATCH($D$13,AI_ho_so_che_do!$A$2:$A$21,0))&amp;";"))</f>
        <v/>
      </c>
      <c r="H13">
        <f>IF(AI_tuong!$B$13&amp;""&lt;&gt;"",AI_tuong!$B$13,IF(AI_tuong!$B$4&amp;""&lt;&gt;"",AI_tuong!$B$4,"balanced"))</f>
        <v/>
      </c>
      <c r="I13" t="inlineStr">
        <is>
          <t>air_superiority</t>
        </is>
      </c>
      <c r="J13">
        <f>OR($F$13,AND(AI_ho_so_anh_xa!$B$2="mode",OR(AI_ho_so_anh_xa!$C$2="Weekly",AI_ho_so_anh_xa!$C$2="Operation")))</f>
        <v/>
      </c>
      <c r="K13" t="b">
        <v>0</v>
      </c>
      <c r="L13">
        <f>IF($J$13,$H$13,"balanced")</f>
        <v/>
      </c>
      <c r="M13" t="inlineStr">
        <is>
          <t>balanced</t>
        </is>
      </c>
      <c r="N13">
        <f>IF(OR($E$13="",$G$13),"balanced",IF(OR($E$13="*",ISNUMBER(FIND(";"&amp;$L$13&amp;";",";"&amp;$E$13&amp;";"))),$L$13,IF(ISNUMBER(FIND(";"&amp;"balanced"&amp;";",";"&amp;$E$13&amp;";")),"balanced",LEFT($E$13,FIND(";",$E$13&amp;";")-1))))</f>
        <v/>
      </c>
      <c r="O13" t="inlineStr">
        <is>
          <t>balanced</t>
        </is>
      </c>
      <c r="P13">
        <f>IF(OR($E$13="",$G$13),"KHONG_CHIEN_THUAT",IF(NOT($J$13),IF($H$13="balanced","GIU","CHE_DO_BO_QUA"),IF($N$13=$H$13,"GIU","HO_SO_GHI_DE")))</f>
        <v/>
      </c>
      <c r="Q13" t="inlineStr">
        <is>
          <t>Sim/AI/ConquestAi.P28.cs TickLayered + Sim/AI/Commander.cs AllowedTactic (goal.Boss, wolff)</t>
        </is>
      </c>
      <c r="R13" t="inlineStr"/>
    </row>
    <row r="14">
      <c r="A14" t="inlineStr">
        <is>
          <t>goal.Capture/aurel</t>
        </is>
      </c>
      <c r="B14" t="inlineStr">
        <is>
          <t>goal.Capture</t>
        </is>
      </c>
      <c r="C14" t="inlineStr">
        <is>
          <t>aurel</t>
        </is>
      </c>
      <c r="D14">
        <f>AI_ho_so_anh_xa!$D$3</f>
        <v/>
      </c>
      <c r="E14">
        <f>INDEX(AI_ho_so_che_do!$B$2:$B$21,MATCH($D$14,AI_ho_so_che_do!$A$2:$A$21,0))&amp;""</f>
        <v/>
      </c>
      <c r="F14">
        <f>INDEX(AI_ho_so_che_do!$P$2:$P$21,MATCH($D$14,AI_ho_so_che_do!$A$2:$A$21,0))=TRUE</f>
        <v/>
      </c>
      <c r="G14">
        <f>ISNUMBER(FIND(";noGeneralTactic;",";"&amp;INDEX(AI_ho_so_che_do!$O$2:$O$21,MATCH($D$14,AI_ho_so_che_do!$A$2:$A$21,0))&amp;";"))</f>
        <v/>
      </c>
      <c r="H14">
        <f>IF(AI_tuong!$B$2&amp;""&lt;&gt;"",AI_tuong!$B$2,IF(AI_tuong!$B$4&amp;""&lt;&gt;"",AI_tuong!$B$4,"balanced"))</f>
        <v/>
      </c>
      <c r="I14" t="inlineStr">
        <is>
          <t>all_out</t>
        </is>
      </c>
      <c r="J14">
        <f>OR($F$14,AND(AI_ho_so_anh_xa!$B$3="mode",OR(AI_ho_so_anh_xa!$C$3="Weekly",AI_ho_so_anh_xa!$C$3="Operation")))</f>
        <v/>
      </c>
      <c r="K14" t="b">
        <v>1</v>
      </c>
      <c r="L14">
        <f>IF($J$14,$H$14,"balanced")</f>
        <v/>
      </c>
      <c r="M14" t="inlineStr">
        <is>
          <t>all_out</t>
        </is>
      </c>
      <c r="N14">
        <f>IF(OR($E$14="",$G$14),"balanced",IF(OR($E$14="*",ISNUMBER(FIND(";"&amp;$L$14&amp;";",";"&amp;$E$14&amp;";"))),$L$14,IF(ISNUMBER(FIND(";"&amp;"balanced"&amp;";",";"&amp;$E$14&amp;";")),"balanced",LEFT($E$14,FIND(";",$E$14&amp;";")-1))))</f>
        <v/>
      </c>
      <c r="O14" t="inlineStr">
        <is>
          <t>all_out</t>
        </is>
      </c>
      <c r="P14">
        <f>IF(OR($E$14="",$G$14),"KHONG_CHIEN_THUAT",IF(NOT($J$14),IF($H$14="balanced","GIU","CHE_DO_BO_QUA"),IF($N$14=$H$14,"GIU","HO_SO_GHI_DE")))</f>
        <v/>
      </c>
      <c r="Q14" t="inlineStr">
        <is>
          <t>Sim/AI/ConquestAi.P28.cs TickLayered + Sim/AI/Commander.cs AllowedTactic (goal.Capture, aurel)</t>
        </is>
      </c>
      <c r="R14" t="inlineStr"/>
    </row>
    <row r="15">
      <c r="A15" t="inlineStr">
        <is>
          <t>goal.Capture/brandt</t>
        </is>
      </c>
      <c r="B15" t="inlineStr">
        <is>
          <t>goal.Capture</t>
        </is>
      </c>
      <c r="C15" t="inlineStr">
        <is>
          <t>brandt</t>
        </is>
      </c>
      <c r="D15">
        <f>AI_ho_so_anh_xa!$D$3</f>
        <v/>
      </c>
      <c r="E15">
        <f>INDEX(AI_ho_so_che_do!$B$2:$B$21,MATCH($D$15,AI_ho_so_che_do!$A$2:$A$21,0))&amp;""</f>
        <v/>
      </c>
      <c r="F15">
        <f>INDEX(AI_ho_so_che_do!$P$2:$P$21,MATCH($D$15,AI_ho_so_che_do!$A$2:$A$21,0))=TRUE</f>
        <v/>
      </c>
      <c r="G15">
        <f>ISNUMBER(FIND(";noGeneralTactic;",";"&amp;INDEX(AI_ho_so_che_do!$O$2:$O$21,MATCH($D$15,AI_ho_so_che_do!$A$2:$A$21,0))&amp;";"))</f>
        <v/>
      </c>
      <c r="H15">
        <f>IF(AI_tuong!$B$3&amp;""&lt;&gt;"",AI_tuong!$B$3,IF(AI_tuong!$B$4&amp;""&lt;&gt;"",AI_tuong!$B$4,"balanced"))</f>
        <v/>
      </c>
      <c r="I15" t="inlineStr">
        <is>
          <t>depth</t>
        </is>
      </c>
      <c r="J15">
        <f>OR($F$15,AND(AI_ho_so_anh_xa!$B$3="mode",OR(AI_ho_so_anh_xa!$C$3="Weekly",AI_ho_so_anh_xa!$C$3="Operation")))</f>
        <v/>
      </c>
      <c r="K15" t="b">
        <v>1</v>
      </c>
      <c r="L15">
        <f>IF($J$15,$H$15,"balanced")</f>
        <v/>
      </c>
      <c r="M15" t="inlineStr">
        <is>
          <t>depth</t>
        </is>
      </c>
      <c r="N15">
        <f>IF(OR($E$15="",$G$15),"balanced",IF(OR($E$15="*",ISNUMBER(FIND(";"&amp;$L$15&amp;";",";"&amp;$E$15&amp;";"))),$L$15,IF(ISNUMBER(FIND(";"&amp;"balanced"&amp;";",";"&amp;$E$15&amp;";")),"balanced",LEFT($E$15,FIND(";",$E$15&amp;";")-1))))</f>
        <v/>
      </c>
      <c r="O15" t="inlineStr">
        <is>
          <t>depth</t>
        </is>
      </c>
      <c r="P15">
        <f>IF(OR($E$15="",$G$15),"KHONG_CHIEN_THUAT",IF(NOT($J$15),IF($H$15="balanced","GIU","CHE_DO_BO_QUA"),IF($N$15=$H$15,"GIU","HO_SO_GHI_DE")))</f>
        <v/>
      </c>
      <c r="Q15" t="inlineStr">
        <is>
          <t>Sim/AI/ConquestAi.P28.cs TickLayered + Sim/AI/Commander.cs AllowedTactic (goal.Capture, brandt)</t>
        </is>
      </c>
      <c r="R15" t="inlineStr"/>
    </row>
    <row r="16">
      <c r="A16" t="inlineStr">
        <is>
          <t>goal.Capture/default</t>
        </is>
      </c>
      <c r="B16" t="inlineStr">
        <is>
          <t>goal.Capture</t>
        </is>
      </c>
      <c r="C16" t="inlineStr">
        <is>
          <t>default</t>
        </is>
      </c>
      <c r="D16">
        <f>AI_ho_so_anh_xa!$D$3</f>
        <v/>
      </c>
      <c r="E16">
        <f>INDEX(AI_ho_so_che_do!$B$2:$B$21,MATCH($D$16,AI_ho_so_che_do!$A$2:$A$21,0))&amp;""</f>
        <v/>
      </c>
      <c r="F16">
        <f>INDEX(AI_ho_so_che_do!$P$2:$P$21,MATCH($D$16,AI_ho_so_che_do!$A$2:$A$21,0))=TRUE</f>
        <v/>
      </c>
      <c r="G16">
        <f>ISNUMBER(FIND(";noGeneralTactic;",";"&amp;INDEX(AI_ho_so_che_do!$O$2:$O$21,MATCH($D$16,AI_ho_so_che_do!$A$2:$A$21,0))&amp;";"))</f>
        <v/>
      </c>
      <c r="H16">
        <f>IF(AI_tuong!$B$4&amp;""&lt;&gt;"",AI_tuong!$B$4,IF(AI_tuong!$B$4&amp;""&lt;&gt;"",AI_tuong!$B$4,"balanced"))</f>
        <v/>
      </c>
      <c r="I16" t="inlineStr">
        <is>
          <t>balanced</t>
        </is>
      </c>
      <c r="J16">
        <f>OR($F$16,AND(AI_ho_so_anh_xa!$B$3="mode",OR(AI_ho_so_anh_xa!$C$3="Weekly",AI_ho_so_anh_xa!$C$3="Operation")))</f>
        <v/>
      </c>
      <c r="K16" t="b">
        <v>1</v>
      </c>
      <c r="L16">
        <f>IF($J$16,$H$16,"balanced")</f>
        <v/>
      </c>
      <c r="M16" t="inlineStr">
        <is>
          <t>balanced</t>
        </is>
      </c>
      <c r="N16">
        <f>IF(OR($E$16="",$G$16),"balanced",IF(OR($E$16="*",ISNUMBER(FIND(";"&amp;$L$16&amp;";",";"&amp;$E$16&amp;";"))),$L$16,IF(ISNUMBER(FIND(";"&amp;"balanced"&amp;";",";"&amp;$E$16&amp;";")),"balanced",LEFT($E$16,FIND(";",$E$16&amp;";")-1))))</f>
        <v/>
      </c>
      <c r="O16" t="inlineStr">
        <is>
          <t>balanced</t>
        </is>
      </c>
      <c r="P16">
        <f>IF(OR($E$16="",$G$16),"KHONG_CHIEN_THUAT",IF(NOT($J$16),IF($H$16="balanced","GIU","CHE_DO_BO_QUA"),IF($N$16=$H$16,"GIU","HO_SO_GHI_DE")))</f>
        <v/>
      </c>
      <c r="Q16" t="inlineStr">
        <is>
          <t>Sim/AI/ConquestAi.P28.cs TickLayered + Sim/AI/Commander.cs AllowedTactic (goal.Capture, default)</t>
        </is>
      </c>
      <c r="R16" t="inlineStr"/>
    </row>
    <row r="17">
      <c r="A17" t="inlineStr">
        <is>
          <t>goal.Capture/hung</t>
        </is>
      </c>
      <c r="B17" t="inlineStr">
        <is>
          <t>goal.Capture</t>
        </is>
      </c>
      <c r="C17" t="inlineStr">
        <is>
          <t>hung</t>
        </is>
      </c>
      <c r="D17">
        <f>AI_ho_so_anh_xa!$D$3</f>
        <v/>
      </c>
      <c r="E17">
        <f>INDEX(AI_ho_so_che_do!$B$2:$B$21,MATCH($D$17,AI_ho_so_che_do!$A$2:$A$21,0))&amp;""</f>
        <v/>
      </c>
      <c r="F17">
        <f>INDEX(AI_ho_so_che_do!$P$2:$P$21,MATCH($D$17,AI_ho_so_che_do!$A$2:$A$21,0))=TRUE</f>
        <v/>
      </c>
      <c r="G17">
        <f>ISNUMBER(FIND(";noGeneralTactic;",";"&amp;INDEX(AI_ho_so_che_do!$O$2:$O$21,MATCH($D$17,AI_ho_so_che_do!$A$2:$A$21,0))&amp;";"))</f>
        <v/>
      </c>
      <c r="H17">
        <f>IF(AI_tuong!$B$5&amp;""&lt;&gt;"",AI_tuong!$B$5,IF(AI_tuong!$B$4&amp;""&lt;&gt;"",AI_tuong!$B$4,"balanced"))</f>
        <v/>
      </c>
      <c r="I17" t="inlineStr">
        <is>
          <t>balanced</t>
        </is>
      </c>
      <c r="J17">
        <f>OR($F$17,AND(AI_ho_so_anh_xa!$B$3="mode",OR(AI_ho_so_anh_xa!$C$3="Weekly",AI_ho_so_anh_xa!$C$3="Operation")))</f>
        <v/>
      </c>
      <c r="K17" t="b">
        <v>1</v>
      </c>
      <c r="L17">
        <f>IF($J$17,$H$17,"balanced")</f>
        <v/>
      </c>
      <c r="M17" t="inlineStr">
        <is>
          <t>balanced</t>
        </is>
      </c>
      <c r="N17">
        <f>IF(OR($E$17="",$G$17),"balanced",IF(OR($E$17="*",ISNUMBER(FIND(";"&amp;$L$17&amp;";",";"&amp;$E$17&amp;";"))),$L$17,IF(ISNUMBER(FIND(";"&amp;"balanced"&amp;";",";"&amp;$E$17&amp;";")),"balanced",LEFT($E$17,FIND(";",$E$17&amp;";")-1))))</f>
        <v/>
      </c>
      <c r="O17" t="inlineStr">
        <is>
          <t>balanced</t>
        </is>
      </c>
      <c r="P17">
        <f>IF(OR($E$17="",$G$17),"KHONG_CHIEN_THUAT",IF(NOT($J$17),IF($H$17="balanced","GIU","CHE_DO_BO_QUA"),IF($N$17=$H$17,"GIU","HO_SO_GHI_DE")))</f>
        <v/>
      </c>
      <c r="Q17" t="inlineStr">
        <is>
          <t>Sim/AI/ConquestAi.P28.cs TickLayered + Sim/AI/Commander.cs AllowedTactic (goal.Capture, hung)</t>
        </is>
      </c>
      <c r="R17" t="inlineStr"/>
    </row>
    <row r="18">
      <c r="A18" t="inlineStr">
        <is>
          <t>goal.Capture/kessler</t>
        </is>
      </c>
      <c r="B18" t="inlineStr">
        <is>
          <t>goal.Capture</t>
        </is>
      </c>
      <c r="C18" t="inlineStr">
        <is>
          <t>kessler</t>
        </is>
      </c>
      <c r="D18">
        <f>AI_ho_so_anh_xa!$D$3</f>
        <v/>
      </c>
      <c r="E18">
        <f>INDEX(AI_ho_so_che_do!$B$2:$B$21,MATCH($D$18,AI_ho_so_che_do!$A$2:$A$21,0))&amp;""</f>
        <v/>
      </c>
      <c r="F18">
        <f>INDEX(AI_ho_so_che_do!$P$2:$P$21,MATCH($D$18,AI_ho_so_che_do!$A$2:$A$21,0))=TRUE</f>
        <v/>
      </c>
      <c r="G18">
        <f>ISNUMBER(FIND(";noGeneralTactic;",";"&amp;INDEX(AI_ho_so_che_do!$O$2:$O$21,MATCH($D$18,AI_ho_so_che_do!$A$2:$A$21,0))&amp;";"))</f>
        <v/>
      </c>
      <c r="H18">
        <f>IF(AI_tuong!$B$6&amp;""&lt;&gt;"",AI_tuong!$B$6,IF(AI_tuong!$B$4&amp;""&lt;&gt;"",AI_tuong!$B$4,"balanced"))</f>
        <v/>
      </c>
      <c r="I18" t="inlineStr">
        <is>
          <t>attrition</t>
        </is>
      </c>
      <c r="J18">
        <f>OR($F$18,AND(AI_ho_so_anh_xa!$B$3="mode",OR(AI_ho_so_anh_xa!$C$3="Weekly",AI_ho_so_anh_xa!$C$3="Operation")))</f>
        <v/>
      </c>
      <c r="K18" t="b">
        <v>1</v>
      </c>
      <c r="L18">
        <f>IF($J$18,$H$18,"balanced")</f>
        <v/>
      </c>
      <c r="M18" t="inlineStr">
        <is>
          <t>attrition</t>
        </is>
      </c>
      <c r="N18">
        <f>IF(OR($E$18="",$G$18),"balanced",IF(OR($E$18="*",ISNUMBER(FIND(";"&amp;$L$18&amp;";",";"&amp;$E$18&amp;";"))),$L$18,IF(ISNUMBER(FIND(";"&amp;"balanced"&amp;";",";"&amp;$E$18&amp;";")),"balanced",LEFT($E$18,FIND(";",$E$18&amp;";")-1))))</f>
        <v/>
      </c>
      <c r="O18" t="inlineStr">
        <is>
          <t>attrition</t>
        </is>
      </c>
      <c r="P18">
        <f>IF(OR($E$18="",$G$18),"KHONG_CHIEN_THUAT",IF(NOT($J$18),IF($H$18="balanced","GIU","CHE_DO_BO_QUA"),IF($N$18=$H$18,"GIU","HO_SO_GHI_DE")))</f>
        <v/>
      </c>
      <c r="Q18" t="inlineStr">
        <is>
          <t>Sim/AI/ConquestAi.P28.cs TickLayered + Sim/AI/Commander.cs AllowedTactic (goal.Capture, kessler)</t>
        </is>
      </c>
      <c r="R18" t="inlineStr"/>
    </row>
    <row r="19">
      <c r="A19" t="inlineStr">
        <is>
          <t>goal.Capture/orlov</t>
        </is>
      </c>
      <c r="B19" t="inlineStr">
        <is>
          <t>goal.Capture</t>
        </is>
      </c>
      <c r="C19" t="inlineStr">
        <is>
          <t>orlov</t>
        </is>
      </c>
      <c r="D19">
        <f>AI_ho_so_anh_xa!$D$3</f>
        <v/>
      </c>
      <c r="E19">
        <f>INDEX(AI_ho_so_che_do!$B$2:$B$21,MATCH($D$19,AI_ho_so_che_do!$A$2:$A$21,0))&amp;""</f>
        <v/>
      </c>
      <c r="F19">
        <f>INDEX(AI_ho_so_che_do!$P$2:$P$21,MATCH($D$19,AI_ho_so_che_do!$A$2:$A$21,0))=TRUE</f>
        <v/>
      </c>
      <c r="G19">
        <f>ISNUMBER(FIND(";noGeneralTactic;",";"&amp;INDEX(AI_ho_so_che_do!$O$2:$O$21,MATCH($D$19,AI_ho_so_che_do!$A$2:$A$21,0))&amp;";"))</f>
        <v/>
      </c>
      <c r="H19">
        <f>IF(AI_tuong!$B$7&amp;""&lt;&gt;"",AI_tuong!$B$7,IF(AI_tuong!$B$4&amp;""&lt;&gt;"",AI_tuong!$B$4,"balanced"))</f>
        <v/>
      </c>
      <c r="I19" t="inlineStr">
        <is>
          <t>firepower</t>
        </is>
      </c>
      <c r="J19">
        <f>OR($F$19,AND(AI_ho_so_anh_xa!$B$3="mode",OR(AI_ho_so_anh_xa!$C$3="Weekly",AI_ho_so_anh_xa!$C$3="Operation")))</f>
        <v/>
      </c>
      <c r="K19" t="b">
        <v>1</v>
      </c>
      <c r="L19">
        <f>IF($J$19,$H$19,"balanced")</f>
        <v/>
      </c>
      <c r="M19" t="inlineStr">
        <is>
          <t>firepower</t>
        </is>
      </c>
      <c r="N19">
        <f>IF(OR($E$19="",$G$19),"balanced",IF(OR($E$19="*",ISNUMBER(FIND(";"&amp;$L$19&amp;";",";"&amp;$E$19&amp;";"))),$L$19,IF(ISNUMBER(FIND(";"&amp;"balanced"&amp;";",";"&amp;$E$19&amp;";")),"balanced",LEFT($E$19,FIND(";",$E$19&amp;";")-1))))</f>
        <v/>
      </c>
      <c r="O19" t="inlineStr">
        <is>
          <t>firepower</t>
        </is>
      </c>
      <c r="P19">
        <f>IF(OR($E$19="",$G$19),"KHONG_CHIEN_THUAT",IF(NOT($J$19),IF($H$19="balanced","GIU","CHE_DO_BO_QUA"),IF($N$19=$H$19,"GIU","HO_SO_GHI_DE")))</f>
        <v/>
      </c>
      <c r="Q19" t="inlineStr">
        <is>
          <t>Sim/AI/ConquestAi.P28.cs TickLayered + Sim/AI/Commander.cs AllowedTactic (goal.Capture, orlov)</t>
        </is>
      </c>
      <c r="R19" t="inlineStr"/>
    </row>
    <row r="20">
      <c r="A20" t="inlineStr">
        <is>
          <t>goal.Capture/quaden</t>
        </is>
      </c>
      <c r="B20" t="inlineStr">
        <is>
          <t>goal.Capture</t>
        </is>
      </c>
      <c r="C20" t="inlineStr">
        <is>
          <t>quaden</t>
        </is>
      </c>
      <c r="D20">
        <f>AI_ho_so_anh_xa!$D$3</f>
        <v/>
      </c>
      <c r="E20">
        <f>INDEX(AI_ho_so_che_do!$B$2:$B$21,MATCH($D$20,AI_ho_so_che_do!$A$2:$A$21,0))&amp;""</f>
        <v/>
      </c>
      <c r="F20">
        <f>INDEX(AI_ho_so_che_do!$P$2:$P$21,MATCH($D$20,AI_ho_so_che_do!$A$2:$A$21,0))=TRUE</f>
        <v/>
      </c>
      <c r="G20">
        <f>ISNUMBER(FIND(";noGeneralTactic;",";"&amp;INDEX(AI_ho_so_che_do!$O$2:$O$21,MATCH($D$20,AI_ho_so_che_do!$A$2:$A$21,0))&amp;";"))</f>
        <v/>
      </c>
      <c r="H20">
        <f>IF(AI_tuong!$B$8&amp;""&lt;&gt;"",AI_tuong!$B$8,IF(AI_tuong!$B$4&amp;""&lt;&gt;"",AI_tuong!$B$4,"balanced"))</f>
        <v/>
      </c>
      <c r="I20" t="inlineStr">
        <is>
          <t>balanced</t>
        </is>
      </c>
      <c r="J20">
        <f>OR($F$20,AND(AI_ho_so_anh_xa!$B$3="mode",OR(AI_ho_so_anh_xa!$C$3="Weekly",AI_ho_so_anh_xa!$C$3="Operation")))</f>
        <v/>
      </c>
      <c r="K20" t="b">
        <v>1</v>
      </c>
      <c r="L20">
        <f>IF($J$20,$H$20,"balanced")</f>
        <v/>
      </c>
      <c r="M20" t="inlineStr">
        <is>
          <t>balanced</t>
        </is>
      </c>
      <c r="N20">
        <f>IF(OR($E$20="",$G$20),"balanced",IF(OR($E$20="*",ISNUMBER(FIND(";"&amp;$L$20&amp;";",";"&amp;$E$20&amp;";"))),$L$20,IF(ISNUMBER(FIND(";"&amp;"balanced"&amp;";",";"&amp;$E$20&amp;";")),"balanced",LEFT($E$20,FIND(";",$E$20&amp;";")-1))))</f>
        <v/>
      </c>
      <c r="O20" t="inlineStr">
        <is>
          <t>balanced</t>
        </is>
      </c>
      <c r="P20">
        <f>IF(OR($E$20="",$G$20),"KHONG_CHIEN_THUAT",IF(NOT($J$20),IF($H$20="balanced","GIU","CHE_DO_BO_QUA"),IF($N$20=$H$20,"GIU","HO_SO_GHI_DE")))</f>
        <v/>
      </c>
      <c r="Q20" t="inlineStr">
        <is>
          <t>Sim/AI/ConquestAi.P28.cs TickLayered + Sim/AI/Commander.cs AllowedTactic (goal.Capture, quaden)</t>
        </is>
      </c>
      <c r="R20" t="inlineStr"/>
    </row>
    <row r="21">
      <c r="A21" t="inlineStr">
        <is>
          <t>goal.Capture/sen</t>
        </is>
      </c>
      <c r="B21" t="inlineStr">
        <is>
          <t>goal.Capture</t>
        </is>
      </c>
      <c r="C21" t="inlineStr">
        <is>
          <t>sen</t>
        </is>
      </c>
      <c r="D21">
        <f>AI_ho_so_anh_xa!$D$3</f>
        <v/>
      </c>
      <c r="E21">
        <f>INDEX(AI_ho_so_che_do!$B$2:$B$21,MATCH($D$21,AI_ho_so_che_do!$A$2:$A$21,0))&amp;""</f>
        <v/>
      </c>
      <c r="F21">
        <f>INDEX(AI_ho_so_che_do!$P$2:$P$21,MATCH($D$21,AI_ho_so_che_do!$A$2:$A$21,0))=TRUE</f>
        <v/>
      </c>
      <c r="G21">
        <f>ISNUMBER(FIND(";noGeneralTactic;",";"&amp;INDEX(AI_ho_so_che_do!$O$2:$O$21,MATCH($D$21,AI_ho_so_che_do!$A$2:$A$21,0))&amp;";"))</f>
        <v/>
      </c>
      <c r="H21">
        <f>IF(AI_tuong!$B$9&amp;""&lt;&gt;"",AI_tuong!$B$9,IF(AI_tuong!$B$4&amp;""&lt;&gt;"",AI_tuong!$B$4,"balanced"))</f>
        <v/>
      </c>
      <c r="I21" t="inlineStr">
        <is>
          <t>balanced</t>
        </is>
      </c>
      <c r="J21">
        <f>OR($F$21,AND(AI_ho_so_anh_xa!$B$3="mode",OR(AI_ho_so_anh_xa!$C$3="Weekly",AI_ho_so_anh_xa!$C$3="Operation")))</f>
        <v/>
      </c>
      <c r="K21" t="b">
        <v>1</v>
      </c>
      <c r="L21">
        <f>IF($J$21,$H$21,"balanced")</f>
        <v/>
      </c>
      <c r="M21" t="inlineStr">
        <is>
          <t>balanced</t>
        </is>
      </c>
      <c r="N21">
        <f>IF(OR($E$21="",$G$21),"balanced",IF(OR($E$21="*",ISNUMBER(FIND(";"&amp;$L$21&amp;";",";"&amp;$E$21&amp;";"))),$L$21,IF(ISNUMBER(FIND(";"&amp;"balanced"&amp;";",";"&amp;$E$21&amp;";")),"balanced",LEFT($E$21,FIND(";",$E$21&amp;";")-1))))</f>
        <v/>
      </c>
      <c r="O21" t="inlineStr">
        <is>
          <t>balanced</t>
        </is>
      </c>
      <c r="P21">
        <f>IF(OR($E$21="",$G$21),"KHONG_CHIEN_THUAT",IF(NOT($J$21),IF($H$21="balanced","GIU","CHE_DO_BO_QUA"),IF($N$21=$H$21,"GIU","HO_SO_GHI_DE")))</f>
        <v/>
      </c>
      <c r="Q21" t="inlineStr">
        <is>
          <t>Sim/AI/ConquestAi.P28.cs TickLayered + Sim/AI/Commander.cs AllowedTactic (goal.Capture, sen)</t>
        </is>
      </c>
      <c r="R21" t="inlineStr"/>
    </row>
    <row r="22">
      <c r="A22" t="inlineStr">
        <is>
          <t>goal.Capture/thorne</t>
        </is>
      </c>
      <c r="B22" t="inlineStr">
        <is>
          <t>goal.Capture</t>
        </is>
      </c>
      <c r="C22" t="inlineStr">
        <is>
          <t>thorne</t>
        </is>
      </c>
      <c r="D22">
        <f>AI_ho_so_anh_xa!$D$3</f>
        <v/>
      </c>
      <c r="E22">
        <f>INDEX(AI_ho_so_che_do!$B$2:$B$21,MATCH($D$22,AI_ho_so_che_do!$A$2:$A$21,0))&amp;""</f>
        <v/>
      </c>
      <c r="F22">
        <f>INDEX(AI_ho_so_che_do!$P$2:$P$21,MATCH($D$22,AI_ho_so_che_do!$A$2:$A$21,0))=TRUE</f>
        <v/>
      </c>
      <c r="G22">
        <f>ISNUMBER(FIND(";noGeneralTactic;",";"&amp;INDEX(AI_ho_so_che_do!$O$2:$O$21,MATCH($D$22,AI_ho_so_che_do!$A$2:$A$21,0))&amp;";"))</f>
        <v/>
      </c>
      <c r="H22">
        <f>IF(AI_tuong!$B$10&amp;""&lt;&gt;"",AI_tuong!$B$10,IF(AI_tuong!$B$4&amp;""&lt;&gt;"",AI_tuong!$B$4,"balanced"))</f>
        <v/>
      </c>
      <c r="I22" t="inlineStr">
        <is>
          <t>balanced</t>
        </is>
      </c>
      <c r="J22">
        <f>OR($F$22,AND(AI_ho_so_anh_xa!$B$3="mode",OR(AI_ho_so_anh_xa!$C$3="Weekly",AI_ho_so_anh_xa!$C$3="Operation")))</f>
        <v/>
      </c>
      <c r="K22" t="b">
        <v>1</v>
      </c>
      <c r="L22">
        <f>IF($J$22,$H$22,"balanced")</f>
        <v/>
      </c>
      <c r="M22" t="inlineStr">
        <is>
          <t>balanced</t>
        </is>
      </c>
      <c r="N22">
        <f>IF(OR($E$22="",$G$22),"balanced",IF(OR($E$22="*",ISNUMBER(FIND(";"&amp;$L$22&amp;";",";"&amp;$E$22&amp;";"))),$L$22,IF(ISNUMBER(FIND(";"&amp;"balanced"&amp;";",";"&amp;$E$22&amp;";")),"balanced",LEFT($E$22,FIND(";",$E$22&amp;";")-1))))</f>
        <v/>
      </c>
      <c r="O22" t="inlineStr">
        <is>
          <t>balanced</t>
        </is>
      </c>
      <c r="P22">
        <f>IF(OR($E$22="",$G$22),"KHONG_CHIEN_THUAT",IF(NOT($J$22),IF($H$22="balanced","GIU","CHE_DO_BO_QUA"),IF($N$22=$H$22,"GIU","HO_SO_GHI_DE")))</f>
        <v/>
      </c>
      <c r="Q22" t="inlineStr">
        <is>
          <t>Sim/AI/ConquestAi.P28.cs TickLayered + Sim/AI/Commander.cs AllowedTactic (goal.Capture, thorne)</t>
        </is>
      </c>
      <c r="R22" t="inlineStr"/>
    </row>
    <row r="23">
      <c r="A23" t="inlineStr">
        <is>
          <t>goal.Capture/varga</t>
        </is>
      </c>
      <c r="B23" t="inlineStr">
        <is>
          <t>goal.Capture</t>
        </is>
      </c>
      <c r="C23" t="inlineStr">
        <is>
          <t>varga</t>
        </is>
      </c>
      <c r="D23">
        <f>AI_ho_so_anh_xa!$D$3</f>
        <v/>
      </c>
      <c r="E23">
        <f>INDEX(AI_ho_so_che_do!$B$2:$B$21,MATCH($D$23,AI_ho_so_che_do!$A$2:$A$21,0))&amp;""</f>
        <v/>
      </c>
      <c r="F23">
        <f>INDEX(AI_ho_so_che_do!$P$2:$P$21,MATCH($D$23,AI_ho_so_che_do!$A$2:$A$21,0))=TRUE</f>
        <v/>
      </c>
      <c r="G23">
        <f>ISNUMBER(FIND(";noGeneralTactic;",";"&amp;INDEX(AI_ho_so_che_do!$O$2:$O$21,MATCH($D$23,AI_ho_so_che_do!$A$2:$A$21,0))&amp;";"))</f>
        <v/>
      </c>
      <c r="H23">
        <f>IF(AI_tuong!$B$11&amp;""&lt;&gt;"",AI_tuong!$B$11,IF(AI_tuong!$B$4&amp;""&lt;&gt;"",AI_tuong!$B$4,"balanced"))</f>
        <v/>
      </c>
      <c r="I23" t="inlineStr">
        <is>
          <t>breakthrough</t>
        </is>
      </c>
      <c r="J23">
        <f>OR($F$23,AND(AI_ho_so_anh_xa!$B$3="mode",OR(AI_ho_so_anh_xa!$C$3="Weekly",AI_ho_so_anh_xa!$C$3="Operation")))</f>
        <v/>
      </c>
      <c r="K23" t="b">
        <v>1</v>
      </c>
      <c r="L23">
        <f>IF($J$23,$H$23,"balanced")</f>
        <v/>
      </c>
      <c r="M23" t="inlineStr">
        <is>
          <t>breakthrough</t>
        </is>
      </c>
      <c r="N23">
        <f>IF(OR($E$23="",$G$23),"balanced",IF(OR($E$23="*",ISNUMBER(FIND(";"&amp;$L$23&amp;";",";"&amp;$E$23&amp;";"))),$L$23,IF(ISNUMBER(FIND(";"&amp;"balanced"&amp;";",";"&amp;$E$23&amp;";")),"balanced",LEFT($E$23,FIND(";",$E$23&amp;";")-1))))</f>
        <v/>
      </c>
      <c r="O23" t="inlineStr">
        <is>
          <t>breakthrough</t>
        </is>
      </c>
      <c r="P23">
        <f>IF(OR($E$23="",$G$23),"KHONG_CHIEN_THUAT",IF(NOT($J$23),IF($H$23="balanced","GIU","CHE_DO_BO_QUA"),IF($N$23=$H$23,"GIU","HO_SO_GHI_DE")))</f>
        <v/>
      </c>
      <c r="Q23" t="inlineStr">
        <is>
          <t>Sim/AI/ConquestAi.P28.cs TickLayered + Sim/AI/Commander.cs AllowedTactic (goal.Capture, varga)</t>
        </is>
      </c>
      <c r="R23" t="inlineStr"/>
    </row>
    <row r="24">
      <c r="A24" t="inlineStr">
        <is>
          <t>goal.Capture/venn</t>
        </is>
      </c>
      <c r="B24" t="inlineStr">
        <is>
          <t>goal.Capture</t>
        </is>
      </c>
      <c r="C24" t="inlineStr">
        <is>
          <t>venn</t>
        </is>
      </c>
      <c r="D24">
        <f>AI_ho_so_anh_xa!$D$3</f>
        <v/>
      </c>
      <c r="E24">
        <f>INDEX(AI_ho_so_che_do!$B$2:$B$21,MATCH($D$24,AI_ho_so_che_do!$A$2:$A$21,0))&amp;""</f>
        <v/>
      </c>
      <c r="F24">
        <f>INDEX(AI_ho_so_che_do!$P$2:$P$21,MATCH($D$24,AI_ho_so_che_do!$A$2:$A$21,0))=TRUE</f>
        <v/>
      </c>
      <c r="G24">
        <f>ISNUMBER(FIND(";noGeneralTactic;",";"&amp;INDEX(AI_ho_so_che_do!$O$2:$O$21,MATCH($D$24,AI_ho_so_che_do!$A$2:$A$21,0))&amp;";"))</f>
        <v/>
      </c>
      <c r="H24">
        <f>IF(AI_tuong!$B$12&amp;""&lt;&gt;"",AI_tuong!$B$12,IF(AI_tuong!$B$4&amp;""&lt;&gt;"",AI_tuong!$B$4,"balanced"))</f>
        <v/>
      </c>
      <c r="I24" t="inlineStr">
        <is>
          <t>dispersal</t>
        </is>
      </c>
      <c r="J24">
        <f>OR($F$24,AND(AI_ho_so_anh_xa!$B$3="mode",OR(AI_ho_so_anh_xa!$C$3="Weekly",AI_ho_so_anh_xa!$C$3="Operation")))</f>
        <v/>
      </c>
      <c r="K24" t="b">
        <v>1</v>
      </c>
      <c r="L24">
        <f>IF($J$24,$H$24,"balanced")</f>
        <v/>
      </c>
      <c r="M24" t="inlineStr">
        <is>
          <t>dispersal</t>
        </is>
      </c>
      <c r="N24">
        <f>IF(OR($E$24="",$G$24),"balanced",IF(OR($E$24="*",ISNUMBER(FIND(";"&amp;$L$24&amp;";",";"&amp;$E$24&amp;";"))),$L$24,IF(ISNUMBER(FIND(";"&amp;"balanced"&amp;";",";"&amp;$E$24&amp;";")),"balanced",LEFT($E$24,FIND(";",$E$24&amp;";")-1))))</f>
        <v/>
      </c>
      <c r="O24" t="inlineStr">
        <is>
          <t>dispersal</t>
        </is>
      </c>
      <c r="P24">
        <f>IF(OR($E$24="",$G$24),"KHONG_CHIEN_THUAT",IF(NOT($J$24),IF($H$24="balanced","GIU","CHE_DO_BO_QUA"),IF($N$24=$H$24,"GIU","HO_SO_GHI_DE")))</f>
        <v/>
      </c>
      <c r="Q24" t="inlineStr">
        <is>
          <t>Sim/AI/ConquestAi.P28.cs TickLayered + Sim/AI/Commander.cs AllowedTactic (goal.Capture, venn)</t>
        </is>
      </c>
      <c r="R24" t="inlineStr"/>
    </row>
    <row r="25">
      <c r="A25" t="inlineStr">
        <is>
          <t>goal.Capture/wolff</t>
        </is>
      </c>
      <c r="B25" t="inlineStr">
        <is>
          <t>goal.Capture</t>
        </is>
      </c>
      <c r="C25" t="inlineStr">
        <is>
          <t>wolff</t>
        </is>
      </c>
      <c r="D25">
        <f>AI_ho_so_anh_xa!$D$3</f>
        <v/>
      </c>
      <c r="E25">
        <f>INDEX(AI_ho_so_che_do!$B$2:$B$21,MATCH($D$25,AI_ho_so_che_do!$A$2:$A$21,0))&amp;""</f>
        <v/>
      </c>
      <c r="F25">
        <f>INDEX(AI_ho_so_che_do!$P$2:$P$21,MATCH($D$25,AI_ho_so_che_do!$A$2:$A$21,0))=TRUE</f>
        <v/>
      </c>
      <c r="G25">
        <f>ISNUMBER(FIND(";noGeneralTactic;",";"&amp;INDEX(AI_ho_so_che_do!$O$2:$O$21,MATCH($D$25,AI_ho_so_che_do!$A$2:$A$21,0))&amp;";"))</f>
        <v/>
      </c>
      <c r="H25">
        <f>IF(AI_tuong!$B$13&amp;""&lt;&gt;"",AI_tuong!$B$13,IF(AI_tuong!$B$4&amp;""&lt;&gt;"",AI_tuong!$B$4,"balanced"))</f>
        <v/>
      </c>
      <c r="I25" t="inlineStr">
        <is>
          <t>air_superiority</t>
        </is>
      </c>
      <c r="J25">
        <f>OR($F$25,AND(AI_ho_so_anh_xa!$B$3="mode",OR(AI_ho_so_anh_xa!$C$3="Weekly",AI_ho_so_anh_xa!$C$3="Operation")))</f>
        <v/>
      </c>
      <c r="K25" t="b">
        <v>1</v>
      </c>
      <c r="L25">
        <f>IF($J$25,$H$25,"balanced")</f>
        <v/>
      </c>
      <c r="M25" t="inlineStr">
        <is>
          <t>air_superiority</t>
        </is>
      </c>
      <c r="N25">
        <f>IF(OR($E$25="",$G$25),"balanced",IF(OR($E$25="*",ISNUMBER(FIND(";"&amp;$L$25&amp;";",";"&amp;$E$25&amp;";"))),$L$25,IF(ISNUMBER(FIND(";"&amp;"balanced"&amp;";",";"&amp;$E$25&amp;";")),"balanced",LEFT($E$25,FIND(";",$E$25&amp;";")-1))))</f>
        <v/>
      </c>
      <c r="O25" t="inlineStr">
        <is>
          <t>air_superiority</t>
        </is>
      </c>
      <c r="P25">
        <f>IF(OR($E$25="",$G$25),"KHONG_CHIEN_THUAT",IF(NOT($J$25),IF($H$25="balanced","GIU","CHE_DO_BO_QUA"),IF($N$25=$H$25,"GIU","HO_SO_GHI_DE")))</f>
        <v/>
      </c>
      <c r="Q25" t="inlineStr">
        <is>
          <t>Sim/AI/ConquestAi.P28.cs TickLayered + Sim/AI/Commander.cs AllowedTactic (goal.Capture, wolff)</t>
        </is>
      </c>
      <c r="R25" t="inlineStr"/>
    </row>
    <row r="26">
      <c r="A26" t="inlineStr">
        <is>
          <t>goal.Destroy/aurel</t>
        </is>
      </c>
      <c r="B26" t="inlineStr">
        <is>
          <t>goal.Destroy</t>
        </is>
      </c>
      <c r="C26" t="inlineStr">
        <is>
          <t>aurel</t>
        </is>
      </c>
      <c r="D26">
        <f>AI_ho_so_anh_xa!$D$4</f>
        <v/>
      </c>
      <c r="E26">
        <f>INDEX(AI_ho_so_che_do!$B$2:$B$21,MATCH($D$26,AI_ho_so_che_do!$A$2:$A$21,0))&amp;""</f>
        <v/>
      </c>
      <c r="F26">
        <f>INDEX(AI_ho_so_che_do!$P$2:$P$21,MATCH($D$26,AI_ho_so_che_do!$A$2:$A$21,0))=TRUE</f>
        <v/>
      </c>
      <c r="G26">
        <f>ISNUMBER(FIND(";noGeneralTactic;",";"&amp;INDEX(AI_ho_so_che_do!$O$2:$O$21,MATCH($D$26,AI_ho_so_che_do!$A$2:$A$21,0))&amp;";"))</f>
        <v/>
      </c>
      <c r="H26">
        <f>IF(AI_tuong!$B$2&amp;""&lt;&gt;"",AI_tuong!$B$2,IF(AI_tuong!$B$4&amp;""&lt;&gt;"",AI_tuong!$B$4,"balanced"))</f>
        <v/>
      </c>
      <c r="I26" t="inlineStr">
        <is>
          <t>all_out</t>
        </is>
      </c>
      <c r="J26">
        <f>OR($F$26,AND(AI_ho_so_anh_xa!$B$4="mode",OR(AI_ho_so_anh_xa!$C$4="Weekly",AI_ho_so_anh_xa!$C$4="Operation")))</f>
        <v/>
      </c>
      <c r="K26" t="b">
        <v>1</v>
      </c>
      <c r="L26">
        <f>IF($J$26,$H$26,"balanced")</f>
        <v/>
      </c>
      <c r="M26" t="inlineStr">
        <is>
          <t>all_out</t>
        </is>
      </c>
      <c r="N26">
        <f>IF(OR($E$26="",$G$26),"balanced",IF(OR($E$26="*",ISNUMBER(FIND(";"&amp;$L$26&amp;";",";"&amp;$E$26&amp;";"))),$L$26,IF(ISNUMBER(FIND(";"&amp;"balanced"&amp;";",";"&amp;$E$26&amp;";")),"balanced",LEFT($E$26,FIND(";",$E$26&amp;";")-1))))</f>
        <v/>
      </c>
      <c r="O26" t="inlineStr">
        <is>
          <t>all_out</t>
        </is>
      </c>
      <c r="P26">
        <f>IF(OR($E$26="",$G$26),"KHONG_CHIEN_THUAT",IF(NOT($J$26),IF($H$26="balanced","GIU","CHE_DO_BO_QUA"),IF($N$26=$H$26,"GIU","HO_SO_GHI_DE")))</f>
        <v/>
      </c>
      <c r="Q26" t="inlineStr">
        <is>
          <t>Sim/AI/ConquestAi.P28.cs TickLayered + Sim/AI/Commander.cs AllowedTactic (goal.Destroy, aurel)</t>
        </is>
      </c>
      <c r="R26" t="inlineStr"/>
    </row>
    <row r="27">
      <c r="A27" t="inlineStr">
        <is>
          <t>goal.Destroy/brandt</t>
        </is>
      </c>
      <c r="B27" t="inlineStr">
        <is>
          <t>goal.Destroy</t>
        </is>
      </c>
      <c r="C27" t="inlineStr">
        <is>
          <t>brandt</t>
        </is>
      </c>
      <c r="D27">
        <f>AI_ho_so_anh_xa!$D$4</f>
        <v/>
      </c>
      <c r="E27">
        <f>INDEX(AI_ho_so_che_do!$B$2:$B$21,MATCH($D$27,AI_ho_so_che_do!$A$2:$A$21,0))&amp;""</f>
        <v/>
      </c>
      <c r="F27">
        <f>INDEX(AI_ho_so_che_do!$P$2:$P$21,MATCH($D$27,AI_ho_so_che_do!$A$2:$A$21,0))=TRUE</f>
        <v/>
      </c>
      <c r="G27">
        <f>ISNUMBER(FIND(";noGeneralTactic;",";"&amp;INDEX(AI_ho_so_che_do!$O$2:$O$21,MATCH($D$27,AI_ho_so_che_do!$A$2:$A$21,0))&amp;";"))</f>
        <v/>
      </c>
      <c r="H27">
        <f>IF(AI_tuong!$B$3&amp;""&lt;&gt;"",AI_tuong!$B$3,IF(AI_tuong!$B$4&amp;""&lt;&gt;"",AI_tuong!$B$4,"balanced"))</f>
        <v/>
      </c>
      <c r="I27" t="inlineStr">
        <is>
          <t>depth</t>
        </is>
      </c>
      <c r="J27">
        <f>OR($F$27,AND(AI_ho_so_anh_xa!$B$4="mode",OR(AI_ho_so_anh_xa!$C$4="Weekly",AI_ho_so_anh_xa!$C$4="Operation")))</f>
        <v/>
      </c>
      <c r="K27" t="b">
        <v>1</v>
      </c>
      <c r="L27">
        <f>IF($J$27,$H$27,"balanced")</f>
        <v/>
      </c>
      <c r="M27" t="inlineStr">
        <is>
          <t>depth</t>
        </is>
      </c>
      <c r="N27">
        <f>IF(OR($E$27="",$G$27),"balanced",IF(OR($E$27="*",ISNUMBER(FIND(";"&amp;$L$27&amp;";",";"&amp;$E$27&amp;";"))),$L$27,IF(ISNUMBER(FIND(";"&amp;"balanced"&amp;";",";"&amp;$E$27&amp;";")),"balanced",LEFT($E$27,FIND(";",$E$27&amp;";")-1))))</f>
        <v/>
      </c>
      <c r="O27" t="inlineStr">
        <is>
          <t>depth</t>
        </is>
      </c>
      <c r="P27">
        <f>IF(OR($E$27="",$G$27),"KHONG_CHIEN_THUAT",IF(NOT($J$27),IF($H$27="balanced","GIU","CHE_DO_BO_QUA"),IF($N$27=$H$27,"GIU","HO_SO_GHI_DE")))</f>
        <v/>
      </c>
      <c r="Q27" t="inlineStr">
        <is>
          <t>Sim/AI/ConquestAi.P28.cs TickLayered + Sim/AI/Commander.cs AllowedTactic (goal.Destroy, brandt)</t>
        </is>
      </c>
      <c r="R27" t="inlineStr"/>
    </row>
    <row r="28">
      <c r="A28" t="inlineStr">
        <is>
          <t>goal.Destroy/default</t>
        </is>
      </c>
      <c r="B28" t="inlineStr">
        <is>
          <t>goal.Destroy</t>
        </is>
      </c>
      <c r="C28" t="inlineStr">
        <is>
          <t>default</t>
        </is>
      </c>
      <c r="D28">
        <f>AI_ho_so_anh_xa!$D$4</f>
        <v/>
      </c>
      <c r="E28">
        <f>INDEX(AI_ho_so_che_do!$B$2:$B$21,MATCH($D$28,AI_ho_so_che_do!$A$2:$A$21,0))&amp;""</f>
        <v/>
      </c>
      <c r="F28">
        <f>INDEX(AI_ho_so_che_do!$P$2:$P$21,MATCH($D$28,AI_ho_so_che_do!$A$2:$A$21,0))=TRUE</f>
        <v/>
      </c>
      <c r="G28">
        <f>ISNUMBER(FIND(";noGeneralTactic;",";"&amp;INDEX(AI_ho_so_che_do!$O$2:$O$21,MATCH($D$28,AI_ho_so_che_do!$A$2:$A$21,0))&amp;";"))</f>
        <v/>
      </c>
      <c r="H28">
        <f>IF(AI_tuong!$B$4&amp;""&lt;&gt;"",AI_tuong!$B$4,IF(AI_tuong!$B$4&amp;""&lt;&gt;"",AI_tuong!$B$4,"balanced"))</f>
        <v/>
      </c>
      <c r="I28" t="inlineStr">
        <is>
          <t>balanced</t>
        </is>
      </c>
      <c r="J28">
        <f>OR($F$28,AND(AI_ho_so_anh_xa!$B$4="mode",OR(AI_ho_so_anh_xa!$C$4="Weekly",AI_ho_so_anh_xa!$C$4="Operation")))</f>
        <v/>
      </c>
      <c r="K28" t="b">
        <v>1</v>
      </c>
      <c r="L28">
        <f>IF($J$28,$H$28,"balanced")</f>
        <v/>
      </c>
      <c r="M28" t="inlineStr">
        <is>
          <t>balanced</t>
        </is>
      </c>
      <c r="N28">
        <f>IF(OR($E$28="",$G$28),"balanced",IF(OR($E$28="*",ISNUMBER(FIND(";"&amp;$L$28&amp;";",";"&amp;$E$28&amp;";"))),$L$28,IF(ISNUMBER(FIND(";"&amp;"balanced"&amp;";",";"&amp;$E$28&amp;";")),"balanced",LEFT($E$28,FIND(";",$E$28&amp;";")-1))))</f>
        <v/>
      </c>
      <c r="O28" t="inlineStr">
        <is>
          <t>balanced</t>
        </is>
      </c>
      <c r="P28">
        <f>IF(OR($E$28="",$G$28),"KHONG_CHIEN_THUAT",IF(NOT($J$28),IF($H$28="balanced","GIU","CHE_DO_BO_QUA"),IF($N$28=$H$28,"GIU","HO_SO_GHI_DE")))</f>
        <v/>
      </c>
      <c r="Q28" t="inlineStr">
        <is>
          <t>Sim/AI/ConquestAi.P28.cs TickLayered + Sim/AI/Commander.cs AllowedTactic (goal.Destroy, default)</t>
        </is>
      </c>
      <c r="R28" t="inlineStr"/>
    </row>
    <row r="29">
      <c r="A29" t="inlineStr">
        <is>
          <t>goal.Destroy/hung</t>
        </is>
      </c>
      <c r="B29" t="inlineStr">
        <is>
          <t>goal.Destroy</t>
        </is>
      </c>
      <c r="C29" t="inlineStr">
        <is>
          <t>hung</t>
        </is>
      </c>
      <c r="D29">
        <f>AI_ho_so_anh_xa!$D$4</f>
        <v/>
      </c>
      <c r="E29">
        <f>INDEX(AI_ho_so_che_do!$B$2:$B$21,MATCH($D$29,AI_ho_so_che_do!$A$2:$A$21,0))&amp;""</f>
        <v/>
      </c>
      <c r="F29">
        <f>INDEX(AI_ho_so_che_do!$P$2:$P$21,MATCH($D$29,AI_ho_so_che_do!$A$2:$A$21,0))=TRUE</f>
        <v/>
      </c>
      <c r="G29">
        <f>ISNUMBER(FIND(";noGeneralTactic;",";"&amp;INDEX(AI_ho_so_che_do!$O$2:$O$21,MATCH($D$29,AI_ho_so_che_do!$A$2:$A$21,0))&amp;";"))</f>
        <v/>
      </c>
      <c r="H29">
        <f>IF(AI_tuong!$B$5&amp;""&lt;&gt;"",AI_tuong!$B$5,IF(AI_tuong!$B$4&amp;""&lt;&gt;"",AI_tuong!$B$4,"balanced"))</f>
        <v/>
      </c>
      <c r="I29" t="inlineStr">
        <is>
          <t>balanced</t>
        </is>
      </c>
      <c r="J29">
        <f>OR($F$29,AND(AI_ho_so_anh_xa!$B$4="mode",OR(AI_ho_so_anh_xa!$C$4="Weekly",AI_ho_so_anh_xa!$C$4="Operation")))</f>
        <v/>
      </c>
      <c r="K29" t="b">
        <v>1</v>
      </c>
      <c r="L29">
        <f>IF($J$29,$H$29,"balanced")</f>
        <v/>
      </c>
      <c r="M29" t="inlineStr">
        <is>
          <t>balanced</t>
        </is>
      </c>
      <c r="N29">
        <f>IF(OR($E$29="",$G$29),"balanced",IF(OR($E$29="*",ISNUMBER(FIND(";"&amp;$L$29&amp;";",";"&amp;$E$29&amp;";"))),$L$29,IF(ISNUMBER(FIND(";"&amp;"balanced"&amp;";",";"&amp;$E$29&amp;";")),"balanced",LEFT($E$29,FIND(";",$E$29&amp;";")-1))))</f>
        <v/>
      </c>
      <c r="O29" t="inlineStr">
        <is>
          <t>balanced</t>
        </is>
      </c>
      <c r="P29">
        <f>IF(OR($E$29="",$G$29),"KHONG_CHIEN_THUAT",IF(NOT($J$29),IF($H$29="balanced","GIU","CHE_DO_BO_QUA"),IF($N$29=$H$29,"GIU","HO_SO_GHI_DE")))</f>
        <v/>
      </c>
      <c r="Q29" t="inlineStr">
        <is>
          <t>Sim/AI/ConquestAi.P28.cs TickLayered + Sim/AI/Commander.cs AllowedTactic (goal.Destroy, hung)</t>
        </is>
      </c>
      <c r="R29" t="inlineStr"/>
    </row>
    <row r="30">
      <c r="A30" t="inlineStr">
        <is>
          <t>goal.Destroy/kessler</t>
        </is>
      </c>
      <c r="B30" t="inlineStr">
        <is>
          <t>goal.Destroy</t>
        </is>
      </c>
      <c r="C30" t="inlineStr">
        <is>
          <t>kessler</t>
        </is>
      </c>
      <c r="D30">
        <f>AI_ho_so_anh_xa!$D$4</f>
        <v/>
      </c>
      <c r="E30">
        <f>INDEX(AI_ho_so_che_do!$B$2:$B$21,MATCH($D$30,AI_ho_so_che_do!$A$2:$A$21,0))&amp;""</f>
        <v/>
      </c>
      <c r="F30">
        <f>INDEX(AI_ho_so_che_do!$P$2:$P$21,MATCH($D$30,AI_ho_so_che_do!$A$2:$A$21,0))=TRUE</f>
        <v/>
      </c>
      <c r="G30">
        <f>ISNUMBER(FIND(";noGeneralTactic;",";"&amp;INDEX(AI_ho_so_che_do!$O$2:$O$21,MATCH($D$30,AI_ho_so_che_do!$A$2:$A$21,0))&amp;";"))</f>
        <v/>
      </c>
      <c r="H30">
        <f>IF(AI_tuong!$B$6&amp;""&lt;&gt;"",AI_tuong!$B$6,IF(AI_tuong!$B$4&amp;""&lt;&gt;"",AI_tuong!$B$4,"balanced"))</f>
        <v/>
      </c>
      <c r="I30" t="inlineStr">
        <is>
          <t>attrition</t>
        </is>
      </c>
      <c r="J30">
        <f>OR($F$30,AND(AI_ho_so_anh_xa!$B$4="mode",OR(AI_ho_so_anh_xa!$C$4="Weekly",AI_ho_so_anh_xa!$C$4="Operation")))</f>
        <v/>
      </c>
      <c r="K30" t="b">
        <v>1</v>
      </c>
      <c r="L30">
        <f>IF($J$30,$H$30,"balanced")</f>
        <v/>
      </c>
      <c r="M30" t="inlineStr">
        <is>
          <t>attrition</t>
        </is>
      </c>
      <c r="N30">
        <f>IF(OR($E$30="",$G$30),"balanced",IF(OR($E$30="*",ISNUMBER(FIND(";"&amp;$L$30&amp;";",";"&amp;$E$30&amp;";"))),$L$30,IF(ISNUMBER(FIND(";"&amp;"balanced"&amp;";",";"&amp;$E$30&amp;";")),"balanced",LEFT($E$30,FIND(";",$E$30&amp;";")-1))))</f>
        <v/>
      </c>
      <c r="O30" t="inlineStr">
        <is>
          <t>attrition</t>
        </is>
      </c>
      <c r="P30">
        <f>IF(OR($E$30="",$G$30),"KHONG_CHIEN_THUAT",IF(NOT($J$30),IF($H$30="balanced","GIU","CHE_DO_BO_QUA"),IF($N$30=$H$30,"GIU","HO_SO_GHI_DE")))</f>
        <v/>
      </c>
      <c r="Q30" t="inlineStr">
        <is>
          <t>Sim/AI/ConquestAi.P28.cs TickLayered + Sim/AI/Commander.cs AllowedTactic (goal.Destroy, kessler)</t>
        </is>
      </c>
      <c r="R30" t="inlineStr"/>
    </row>
    <row r="31">
      <c r="A31" t="inlineStr">
        <is>
          <t>goal.Destroy/orlov</t>
        </is>
      </c>
      <c r="B31" t="inlineStr">
        <is>
          <t>goal.Destroy</t>
        </is>
      </c>
      <c r="C31" t="inlineStr">
        <is>
          <t>orlov</t>
        </is>
      </c>
      <c r="D31">
        <f>AI_ho_so_anh_xa!$D$4</f>
        <v/>
      </c>
      <c r="E31">
        <f>INDEX(AI_ho_so_che_do!$B$2:$B$21,MATCH($D$31,AI_ho_so_che_do!$A$2:$A$21,0))&amp;""</f>
        <v/>
      </c>
      <c r="F31">
        <f>INDEX(AI_ho_so_che_do!$P$2:$P$21,MATCH($D$31,AI_ho_so_che_do!$A$2:$A$21,0))=TRUE</f>
        <v/>
      </c>
      <c r="G31">
        <f>ISNUMBER(FIND(";noGeneralTactic;",";"&amp;INDEX(AI_ho_so_che_do!$O$2:$O$21,MATCH($D$31,AI_ho_so_che_do!$A$2:$A$21,0))&amp;";"))</f>
        <v/>
      </c>
      <c r="H31">
        <f>IF(AI_tuong!$B$7&amp;""&lt;&gt;"",AI_tuong!$B$7,IF(AI_tuong!$B$4&amp;""&lt;&gt;"",AI_tuong!$B$4,"balanced"))</f>
        <v/>
      </c>
      <c r="I31" t="inlineStr">
        <is>
          <t>firepower</t>
        </is>
      </c>
      <c r="J31">
        <f>OR($F$31,AND(AI_ho_so_anh_xa!$B$4="mode",OR(AI_ho_so_anh_xa!$C$4="Weekly",AI_ho_so_anh_xa!$C$4="Operation")))</f>
        <v/>
      </c>
      <c r="K31" t="b">
        <v>1</v>
      </c>
      <c r="L31">
        <f>IF($J$31,$H$31,"balanced")</f>
        <v/>
      </c>
      <c r="M31" t="inlineStr">
        <is>
          <t>firepower</t>
        </is>
      </c>
      <c r="N31">
        <f>IF(OR($E$31="",$G$31),"balanced",IF(OR($E$31="*",ISNUMBER(FIND(";"&amp;$L$31&amp;";",";"&amp;$E$31&amp;";"))),$L$31,IF(ISNUMBER(FIND(";"&amp;"balanced"&amp;";",";"&amp;$E$31&amp;";")),"balanced",LEFT($E$31,FIND(";",$E$31&amp;";")-1))))</f>
        <v/>
      </c>
      <c r="O31" t="inlineStr">
        <is>
          <t>firepower</t>
        </is>
      </c>
      <c r="P31">
        <f>IF(OR($E$31="",$G$31),"KHONG_CHIEN_THUAT",IF(NOT($J$31),IF($H$31="balanced","GIU","CHE_DO_BO_QUA"),IF($N$31=$H$31,"GIU","HO_SO_GHI_DE")))</f>
        <v/>
      </c>
      <c r="Q31" t="inlineStr">
        <is>
          <t>Sim/AI/ConquestAi.P28.cs TickLayered + Sim/AI/Commander.cs AllowedTactic (goal.Destroy, orlov)</t>
        </is>
      </c>
      <c r="R31" t="inlineStr"/>
    </row>
    <row r="32">
      <c r="A32" t="inlineStr">
        <is>
          <t>goal.Destroy/quaden</t>
        </is>
      </c>
      <c r="B32" t="inlineStr">
        <is>
          <t>goal.Destroy</t>
        </is>
      </c>
      <c r="C32" t="inlineStr">
        <is>
          <t>quaden</t>
        </is>
      </c>
      <c r="D32">
        <f>AI_ho_so_anh_xa!$D$4</f>
        <v/>
      </c>
      <c r="E32">
        <f>INDEX(AI_ho_so_che_do!$B$2:$B$21,MATCH($D$32,AI_ho_so_che_do!$A$2:$A$21,0))&amp;""</f>
        <v/>
      </c>
      <c r="F32">
        <f>INDEX(AI_ho_so_che_do!$P$2:$P$21,MATCH($D$32,AI_ho_so_che_do!$A$2:$A$21,0))=TRUE</f>
        <v/>
      </c>
      <c r="G32">
        <f>ISNUMBER(FIND(";noGeneralTactic;",";"&amp;INDEX(AI_ho_so_che_do!$O$2:$O$21,MATCH($D$32,AI_ho_so_che_do!$A$2:$A$21,0))&amp;";"))</f>
        <v/>
      </c>
      <c r="H32">
        <f>IF(AI_tuong!$B$8&amp;""&lt;&gt;"",AI_tuong!$B$8,IF(AI_tuong!$B$4&amp;""&lt;&gt;"",AI_tuong!$B$4,"balanced"))</f>
        <v/>
      </c>
      <c r="I32" t="inlineStr">
        <is>
          <t>balanced</t>
        </is>
      </c>
      <c r="J32">
        <f>OR($F$32,AND(AI_ho_so_anh_xa!$B$4="mode",OR(AI_ho_so_anh_xa!$C$4="Weekly",AI_ho_so_anh_xa!$C$4="Operation")))</f>
        <v/>
      </c>
      <c r="K32" t="b">
        <v>1</v>
      </c>
      <c r="L32">
        <f>IF($J$32,$H$32,"balanced")</f>
        <v/>
      </c>
      <c r="M32" t="inlineStr">
        <is>
          <t>balanced</t>
        </is>
      </c>
      <c r="N32">
        <f>IF(OR($E$32="",$G$32),"balanced",IF(OR($E$32="*",ISNUMBER(FIND(";"&amp;$L$32&amp;";",";"&amp;$E$32&amp;";"))),$L$32,IF(ISNUMBER(FIND(";"&amp;"balanced"&amp;";",";"&amp;$E$32&amp;";")),"balanced",LEFT($E$32,FIND(";",$E$32&amp;";")-1))))</f>
        <v/>
      </c>
      <c r="O32" t="inlineStr">
        <is>
          <t>balanced</t>
        </is>
      </c>
      <c r="P32">
        <f>IF(OR($E$32="",$G$32),"KHONG_CHIEN_THUAT",IF(NOT($J$32),IF($H$32="balanced","GIU","CHE_DO_BO_QUA"),IF($N$32=$H$32,"GIU","HO_SO_GHI_DE")))</f>
        <v/>
      </c>
      <c r="Q32" t="inlineStr">
        <is>
          <t>Sim/AI/ConquestAi.P28.cs TickLayered + Sim/AI/Commander.cs AllowedTactic (goal.Destroy, quaden)</t>
        </is>
      </c>
      <c r="R32" t="inlineStr"/>
    </row>
    <row r="33">
      <c r="A33" t="inlineStr">
        <is>
          <t>goal.Destroy/sen</t>
        </is>
      </c>
      <c r="B33" t="inlineStr">
        <is>
          <t>goal.Destroy</t>
        </is>
      </c>
      <c r="C33" t="inlineStr">
        <is>
          <t>sen</t>
        </is>
      </c>
      <c r="D33">
        <f>AI_ho_so_anh_xa!$D$4</f>
        <v/>
      </c>
      <c r="E33">
        <f>INDEX(AI_ho_so_che_do!$B$2:$B$21,MATCH($D$33,AI_ho_so_che_do!$A$2:$A$21,0))&amp;""</f>
        <v/>
      </c>
      <c r="F33">
        <f>INDEX(AI_ho_so_che_do!$P$2:$P$21,MATCH($D$33,AI_ho_so_che_do!$A$2:$A$21,0))=TRUE</f>
        <v/>
      </c>
      <c r="G33">
        <f>ISNUMBER(FIND(";noGeneralTactic;",";"&amp;INDEX(AI_ho_so_che_do!$O$2:$O$21,MATCH($D$33,AI_ho_so_che_do!$A$2:$A$21,0))&amp;";"))</f>
        <v/>
      </c>
      <c r="H33">
        <f>IF(AI_tuong!$B$9&amp;""&lt;&gt;"",AI_tuong!$B$9,IF(AI_tuong!$B$4&amp;""&lt;&gt;"",AI_tuong!$B$4,"balanced"))</f>
        <v/>
      </c>
      <c r="I33" t="inlineStr">
        <is>
          <t>balanced</t>
        </is>
      </c>
      <c r="J33">
        <f>OR($F$33,AND(AI_ho_so_anh_xa!$B$4="mode",OR(AI_ho_so_anh_xa!$C$4="Weekly",AI_ho_so_anh_xa!$C$4="Operation")))</f>
        <v/>
      </c>
      <c r="K33" t="b">
        <v>1</v>
      </c>
      <c r="L33">
        <f>IF($J$33,$H$33,"balanced")</f>
        <v/>
      </c>
      <c r="M33" t="inlineStr">
        <is>
          <t>balanced</t>
        </is>
      </c>
      <c r="N33">
        <f>IF(OR($E$33="",$G$33),"balanced",IF(OR($E$33="*",ISNUMBER(FIND(";"&amp;$L$33&amp;";",";"&amp;$E$33&amp;";"))),$L$33,IF(ISNUMBER(FIND(";"&amp;"balanced"&amp;";",";"&amp;$E$33&amp;";")),"balanced",LEFT($E$33,FIND(";",$E$33&amp;";")-1))))</f>
        <v/>
      </c>
      <c r="O33" t="inlineStr">
        <is>
          <t>balanced</t>
        </is>
      </c>
      <c r="P33">
        <f>IF(OR($E$33="",$G$33),"KHONG_CHIEN_THUAT",IF(NOT($J$33),IF($H$33="balanced","GIU","CHE_DO_BO_QUA"),IF($N$33=$H$33,"GIU","HO_SO_GHI_DE")))</f>
        <v/>
      </c>
      <c r="Q33" t="inlineStr">
        <is>
          <t>Sim/AI/ConquestAi.P28.cs TickLayered + Sim/AI/Commander.cs AllowedTactic (goal.Destroy, sen)</t>
        </is>
      </c>
      <c r="R33" t="inlineStr"/>
    </row>
    <row r="34">
      <c r="A34" t="inlineStr">
        <is>
          <t>goal.Destroy/thorne</t>
        </is>
      </c>
      <c r="B34" t="inlineStr">
        <is>
          <t>goal.Destroy</t>
        </is>
      </c>
      <c r="C34" t="inlineStr">
        <is>
          <t>thorne</t>
        </is>
      </c>
      <c r="D34">
        <f>AI_ho_so_anh_xa!$D$4</f>
        <v/>
      </c>
      <c r="E34">
        <f>INDEX(AI_ho_so_che_do!$B$2:$B$21,MATCH($D$34,AI_ho_so_che_do!$A$2:$A$21,0))&amp;""</f>
        <v/>
      </c>
      <c r="F34">
        <f>INDEX(AI_ho_so_che_do!$P$2:$P$21,MATCH($D$34,AI_ho_so_che_do!$A$2:$A$21,0))=TRUE</f>
        <v/>
      </c>
      <c r="G34">
        <f>ISNUMBER(FIND(";noGeneralTactic;",";"&amp;INDEX(AI_ho_so_che_do!$O$2:$O$21,MATCH($D$34,AI_ho_so_che_do!$A$2:$A$21,0))&amp;";"))</f>
        <v/>
      </c>
      <c r="H34">
        <f>IF(AI_tuong!$B$10&amp;""&lt;&gt;"",AI_tuong!$B$10,IF(AI_tuong!$B$4&amp;""&lt;&gt;"",AI_tuong!$B$4,"balanced"))</f>
        <v/>
      </c>
      <c r="I34" t="inlineStr">
        <is>
          <t>balanced</t>
        </is>
      </c>
      <c r="J34">
        <f>OR($F$34,AND(AI_ho_so_anh_xa!$B$4="mode",OR(AI_ho_so_anh_xa!$C$4="Weekly",AI_ho_so_anh_xa!$C$4="Operation")))</f>
        <v/>
      </c>
      <c r="K34" t="b">
        <v>1</v>
      </c>
      <c r="L34">
        <f>IF($J$34,$H$34,"balanced")</f>
        <v/>
      </c>
      <c r="M34" t="inlineStr">
        <is>
          <t>balanced</t>
        </is>
      </c>
      <c r="N34">
        <f>IF(OR($E$34="",$G$34),"balanced",IF(OR($E$34="*",ISNUMBER(FIND(";"&amp;$L$34&amp;";",";"&amp;$E$34&amp;";"))),$L$34,IF(ISNUMBER(FIND(";"&amp;"balanced"&amp;";",";"&amp;$E$34&amp;";")),"balanced",LEFT($E$34,FIND(";",$E$34&amp;";")-1))))</f>
        <v/>
      </c>
      <c r="O34" t="inlineStr">
        <is>
          <t>balanced</t>
        </is>
      </c>
      <c r="P34">
        <f>IF(OR($E$34="",$G$34),"KHONG_CHIEN_THUAT",IF(NOT($J$34),IF($H$34="balanced","GIU","CHE_DO_BO_QUA"),IF($N$34=$H$34,"GIU","HO_SO_GHI_DE")))</f>
        <v/>
      </c>
      <c r="Q34" t="inlineStr">
        <is>
          <t>Sim/AI/ConquestAi.P28.cs TickLayered + Sim/AI/Commander.cs AllowedTactic (goal.Destroy, thorne)</t>
        </is>
      </c>
      <c r="R34" t="inlineStr"/>
    </row>
    <row r="35">
      <c r="A35" t="inlineStr">
        <is>
          <t>goal.Destroy/varga</t>
        </is>
      </c>
      <c r="B35" t="inlineStr">
        <is>
          <t>goal.Destroy</t>
        </is>
      </c>
      <c r="C35" t="inlineStr">
        <is>
          <t>varga</t>
        </is>
      </c>
      <c r="D35">
        <f>AI_ho_so_anh_xa!$D$4</f>
        <v/>
      </c>
      <c r="E35">
        <f>INDEX(AI_ho_so_che_do!$B$2:$B$21,MATCH($D$35,AI_ho_so_che_do!$A$2:$A$21,0))&amp;""</f>
        <v/>
      </c>
      <c r="F35">
        <f>INDEX(AI_ho_so_che_do!$P$2:$P$21,MATCH($D$35,AI_ho_so_che_do!$A$2:$A$21,0))=TRUE</f>
        <v/>
      </c>
      <c r="G35">
        <f>ISNUMBER(FIND(";noGeneralTactic;",";"&amp;INDEX(AI_ho_so_che_do!$O$2:$O$21,MATCH($D$35,AI_ho_so_che_do!$A$2:$A$21,0))&amp;";"))</f>
        <v/>
      </c>
      <c r="H35">
        <f>IF(AI_tuong!$B$11&amp;""&lt;&gt;"",AI_tuong!$B$11,IF(AI_tuong!$B$4&amp;""&lt;&gt;"",AI_tuong!$B$4,"balanced"))</f>
        <v/>
      </c>
      <c r="I35" t="inlineStr">
        <is>
          <t>breakthrough</t>
        </is>
      </c>
      <c r="J35">
        <f>OR($F$35,AND(AI_ho_so_anh_xa!$B$4="mode",OR(AI_ho_so_anh_xa!$C$4="Weekly",AI_ho_so_anh_xa!$C$4="Operation")))</f>
        <v/>
      </c>
      <c r="K35" t="b">
        <v>1</v>
      </c>
      <c r="L35">
        <f>IF($J$35,$H$35,"balanced")</f>
        <v/>
      </c>
      <c r="M35" t="inlineStr">
        <is>
          <t>breakthrough</t>
        </is>
      </c>
      <c r="N35">
        <f>IF(OR($E$35="",$G$35),"balanced",IF(OR($E$35="*",ISNUMBER(FIND(";"&amp;$L$35&amp;";",";"&amp;$E$35&amp;";"))),$L$35,IF(ISNUMBER(FIND(";"&amp;"balanced"&amp;";",";"&amp;$E$35&amp;";")),"balanced",LEFT($E$35,FIND(";",$E$35&amp;";")-1))))</f>
        <v/>
      </c>
      <c r="O35" t="inlineStr">
        <is>
          <t>breakthrough</t>
        </is>
      </c>
      <c r="P35">
        <f>IF(OR($E$35="",$G$35),"KHONG_CHIEN_THUAT",IF(NOT($J$35),IF($H$35="balanced","GIU","CHE_DO_BO_QUA"),IF($N$35=$H$35,"GIU","HO_SO_GHI_DE")))</f>
        <v/>
      </c>
      <c r="Q35" t="inlineStr">
        <is>
          <t>Sim/AI/ConquestAi.P28.cs TickLayered + Sim/AI/Commander.cs AllowedTactic (goal.Destroy, varga)</t>
        </is>
      </c>
      <c r="R35" t="inlineStr"/>
    </row>
    <row r="36">
      <c r="A36" t="inlineStr">
        <is>
          <t>goal.Destroy/venn</t>
        </is>
      </c>
      <c r="B36" t="inlineStr">
        <is>
          <t>goal.Destroy</t>
        </is>
      </c>
      <c r="C36" t="inlineStr">
        <is>
          <t>venn</t>
        </is>
      </c>
      <c r="D36">
        <f>AI_ho_so_anh_xa!$D$4</f>
        <v/>
      </c>
      <c r="E36">
        <f>INDEX(AI_ho_so_che_do!$B$2:$B$21,MATCH($D$36,AI_ho_so_che_do!$A$2:$A$21,0))&amp;""</f>
        <v/>
      </c>
      <c r="F36">
        <f>INDEX(AI_ho_so_che_do!$P$2:$P$21,MATCH($D$36,AI_ho_so_che_do!$A$2:$A$21,0))=TRUE</f>
        <v/>
      </c>
      <c r="G36">
        <f>ISNUMBER(FIND(";noGeneralTactic;",";"&amp;INDEX(AI_ho_so_che_do!$O$2:$O$21,MATCH($D$36,AI_ho_so_che_do!$A$2:$A$21,0))&amp;";"))</f>
        <v/>
      </c>
      <c r="H36">
        <f>IF(AI_tuong!$B$12&amp;""&lt;&gt;"",AI_tuong!$B$12,IF(AI_tuong!$B$4&amp;""&lt;&gt;"",AI_tuong!$B$4,"balanced"))</f>
        <v/>
      </c>
      <c r="I36" t="inlineStr">
        <is>
          <t>dispersal</t>
        </is>
      </c>
      <c r="J36">
        <f>OR($F$36,AND(AI_ho_so_anh_xa!$B$4="mode",OR(AI_ho_so_anh_xa!$C$4="Weekly",AI_ho_so_anh_xa!$C$4="Operation")))</f>
        <v/>
      </c>
      <c r="K36" t="b">
        <v>1</v>
      </c>
      <c r="L36">
        <f>IF($J$36,$H$36,"balanced")</f>
        <v/>
      </c>
      <c r="M36" t="inlineStr">
        <is>
          <t>dispersal</t>
        </is>
      </c>
      <c r="N36">
        <f>IF(OR($E$36="",$G$36),"balanced",IF(OR($E$36="*",ISNUMBER(FIND(";"&amp;$L$36&amp;";",";"&amp;$E$36&amp;";"))),$L$36,IF(ISNUMBER(FIND(";"&amp;"balanced"&amp;";",";"&amp;$E$36&amp;";")),"balanced",LEFT($E$36,FIND(";",$E$36&amp;";")-1))))</f>
        <v/>
      </c>
      <c r="O36" t="inlineStr">
        <is>
          <t>dispersal</t>
        </is>
      </c>
      <c r="P36">
        <f>IF(OR($E$36="",$G$36),"KHONG_CHIEN_THUAT",IF(NOT($J$36),IF($H$36="balanced","GIU","CHE_DO_BO_QUA"),IF($N$36=$H$36,"GIU","HO_SO_GHI_DE")))</f>
        <v/>
      </c>
      <c r="Q36" t="inlineStr">
        <is>
          <t>Sim/AI/ConquestAi.P28.cs TickLayered + Sim/AI/Commander.cs AllowedTactic (goal.Destroy, venn)</t>
        </is>
      </c>
      <c r="R36" t="inlineStr"/>
    </row>
    <row r="37">
      <c r="A37" t="inlineStr">
        <is>
          <t>goal.Destroy/wolff</t>
        </is>
      </c>
      <c r="B37" t="inlineStr">
        <is>
          <t>goal.Destroy</t>
        </is>
      </c>
      <c r="C37" t="inlineStr">
        <is>
          <t>wolff</t>
        </is>
      </c>
      <c r="D37">
        <f>AI_ho_so_anh_xa!$D$4</f>
        <v/>
      </c>
      <c r="E37">
        <f>INDEX(AI_ho_so_che_do!$B$2:$B$21,MATCH($D$37,AI_ho_so_che_do!$A$2:$A$21,0))&amp;""</f>
        <v/>
      </c>
      <c r="F37">
        <f>INDEX(AI_ho_so_che_do!$P$2:$P$21,MATCH($D$37,AI_ho_so_che_do!$A$2:$A$21,0))=TRUE</f>
        <v/>
      </c>
      <c r="G37">
        <f>ISNUMBER(FIND(";noGeneralTactic;",";"&amp;INDEX(AI_ho_so_che_do!$O$2:$O$21,MATCH($D$37,AI_ho_so_che_do!$A$2:$A$21,0))&amp;";"))</f>
        <v/>
      </c>
      <c r="H37">
        <f>IF(AI_tuong!$B$13&amp;""&lt;&gt;"",AI_tuong!$B$13,IF(AI_tuong!$B$4&amp;""&lt;&gt;"",AI_tuong!$B$4,"balanced"))</f>
        <v/>
      </c>
      <c r="I37" t="inlineStr">
        <is>
          <t>air_superiority</t>
        </is>
      </c>
      <c r="J37">
        <f>OR($F$37,AND(AI_ho_so_anh_xa!$B$4="mode",OR(AI_ho_so_anh_xa!$C$4="Weekly",AI_ho_so_anh_xa!$C$4="Operation")))</f>
        <v/>
      </c>
      <c r="K37" t="b">
        <v>1</v>
      </c>
      <c r="L37">
        <f>IF($J$37,$H$37,"balanced")</f>
        <v/>
      </c>
      <c r="M37" t="inlineStr">
        <is>
          <t>air_superiority</t>
        </is>
      </c>
      <c r="N37">
        <f>IF(OR($E$37="",$G$37),"balanced",IF(OR($E$37="*",ISNUMBER(FIND(";"&amp;$L$37&amp;";",";"&amp;$E$37&amp;";"))),$L$37,IF(ISNUMBER(FIND(";"&amp;"balanced"&amp;";",";"&amp;$E$37&amp;";")),"balanced",LEFT($E$37,FIND(";",$E$37&amp;";")-1))))</f>
        <v/>
      </c>
      <c r="O37" t="inlineStr">
        <is>
          <t>air_superiority</t>
        </is>
      </c>
      <c r="P37">
        <f>IF(OR($E$37="",$G$37),"KHONG_CHIEN_THUAT",IF(NOT($J$37),IF($H$37="balanced","GIU","CHE_DO_BO_QUA"),IF($N$37=$H$37,"GIU","HO_SO_GHI_DE")))</f>
        <v/>
      </c>
      <c r="Q37" t="inlineStr">
        <is>
          <t>Sim/AI/ConquestAi.P28.cs TickLayered + Sim/AI/Commander.cs AllowedTactic (goal.Destroy, wolff)</t>
        </is>
      </c>
      <c r="R37" t="inlineStr"/>
    </row>
    <row r="38">
      <c r="A38" t="inlineStr">
        <is>
          <t>goal.Duel/aurel</t>
        </is>
      </c>
      <c r="B38" t="inlineStr">
        <is>
          <t>goal.Duel</t>
        </is>
      </c>
      <c r="C38" t="inlineStr">
        <is>
          <t>aurel</t>
        </is>
      </c>
      <c r="D38">
        <f>AI_ho_so_anh_xa!$D$5</f>
        <v/>
      </c>
      <c r="E38">
        <f>INDEX(AI_ho_so_che_do!$B$2:$B$21,MATCH($D$38,AI_ho_so_che_do!$A$2:$A$21,0))&amp;""</f>
        <v/>
      </c>
      <c r="F38">
        <f>INDEX(AI_ho_so_che_do!$P$2:$P$21,MATCH($D$38,AI_ho_so_che_do!$A$2:$A$21,0))=TRUE</f>
        <v/>
      </c>
      <c r="G38">
        <f>ISNUMBER(FIND(";noGeneralTactic;",";"&amp;INDEX(AI_ho_so_che_do!$O$2:$O$21,MATCH($D$38,AI_ho_so_che_do!$A$2:$A$21,0))&amp;";"))</f>
        <v/>
      </c>
      <c r="H38">
        <f>IF(AI_tuong!$B$2&amp;""&lt;&gt;"",AI_tuong!$B$2,IF(AI_tuong!$B$4&amp;""&lt;&gt;"",AI_tuong!$B$4,"balanced"))</f>
        <v/>
      </c>
      <c r="I38" t="inlineStr">
        <is>
          <t>all_out</t>
        </is>
      </c>
      <c r="J38">
        <f>OR($F$38,AND(AI_ho_so_anh_xa!$B$5="mode",OR(AI_ho_so_anh_xa!$C$5="Weekly",AI_ho_so_anh_xa!$C$5="Operation")))</f>
        <v/>
      </c>
      <c r="K38" t="b">
        <v>1</v>
      </c>
      <c r="L38">
        <f>IF($J$38,$H$38,"balanced")</f>
        <v/>
      </c>
      <c r="M38" t="inlineStr">
        <is>
          <t>all_out</t>
        </is>
      </c>
      <c r="N38">
        <f>IF(OR($E$38="",$G$38),"balanced",IF(OR($E$38="*",ISNUMBER(FIND(";"&amp;$L$38&amp;";",";"&amp;$E$38&amp;";"))),$L$38,IF(ISNUMBER(FIND(";"&amp;"balanced"&amp;";",";"&amp;$E$38&amp;";")),"balanced",LEFT($E$38,FIND(";",$E$38&amp;";")-1))))</f>
        <v/>
      </c>
      <c r="O38" t="inlineStr">
        <is>
          <t>all_out</t>
        </is>
      </c>
      <c r="P38">
        <f>IF(OR($E$38="",$G$38),"KHONG_CHIEN_THUAT",IF(NOT($J$38),IF($H$38="balanced","GIU","CHE_DO_BO_QUA"),IF($N$38=$H$38,"GIU","HO_SO_GHI_DE")))</f>
        <v/>
      </c>
      <c r="Q38" t="inlineStr">
        <is>
          <t>Sim/AI/ConquestAi.P28.cs TickLayered + Sim/AI/Commander.cs AllowedTactic (goal.Duel, aurel)</t>
        </is>
      </c>
      <c r="R38" t="inlineStr"/>
    </row>
    <row r="39">
      <c r="A39" t="inlineStr">
        <is>
          <t>goal.Duel/brandt</t>
        </is>
      </c>
      <c r="B39" t="inlineStr">
        <is>
          <t>goal.Duel</t>
        </is>
      </c>
      <c r="C39" t="inlineStr">
        <is>
          <t>brandt</t>
        </is>
      </c>
      <c r="D39">
        <f>AI_ho_so_anh_xa!$D$5</f>
        <v/>
      </c>
      <c r="E39">
        <f>INDEX(AI_ho_so_che_do!$B$2:$B$21,MATCH($D$39,AI_ho_so_che_do!$A$2:$A$21,0))&amp;""</f>
        <v/>
      </c>
      <c r="F39">
        <f>INDEX(AI_ho_so_che_do!$P$2:$P$21,MATCH($D$39,AI_ho_so_che_do!$A$2:$A$21,0))=TRUE</f>
        <v/>
      </c>
      <c r="G39">
        <f>ISNUMBER(FIND(";noGeneralTactic;",";"&amp;INDEX(AI_ho_so_che_do!$O$2:$O$21,MATCH($D$39,AI_ho_so_che_do!$A$2:$A$21,0))&amp;";"))</f>
        <v/>
      </c>
      <c r="H39">
        <f>IF(AI_tuong!$B$3&amp;""&lt;&gt;"",AI_tuong!$B$3,IF(AI_tuong!$B$4&amp;""&lt;&gt;"",AI_tuong!$B$4,"balanced"))</f>
        <v/>
      </c>
      <c r="I39" t="inlineStr">
        <is>
          <t>depth</t>
        </is>
      </c>
      <c r="J39">
        <f>OR($F$39,AND(AI_ho_so_anh_xa!$B$5="mode",OR(AI_ho_so_anh_xa!$C$5="Weekly",AI_ho_so_anh_xa!$C$5="Operation")))</f>
        <v/>
      </c>
      <c r="K39" t="b">
        <v>1</v>
      </c>
      <c r="L39">
        <f>IF($J$39,$H$39,"balanced")</f>
        <v/>
      </c>
      <c r="M39" t="inlineStr">
        <is>
          <t>depth</t>
        </is>
      </c>
      <c r="N39">
        <f>IF(OR($E$39="",$G$39),"balanced",IF(OR($E$39="*",ISNUMBER(FIND(";"&amp;$L$39&amp;";",";"&amp;$E$39&amp;";"))),$L$39,IF(ISNUMBER(FIND(";"&amp;"balanced"&amp;";",";"&amp;$E$39&amp;";")),"balanced",LEFT($E$39,FIND(";",$E$39&amp;";")-1))))</f>
        <v/>
      </c>
      <c r="O39" t="inlineStr">
        <is>
          <t>depth</t>
        </is>
      </c>
      <c r="P39">
        <f>IF(OR($E$39="",$G$39),"KHONG_CHIEN_THUAT",IF(NOT($J$39),IF($H$39="balanced","GIU","CHE_DO_BO_QUA"),IF($N$39=$H$39,"GIU","HO_SO_GHI_DE")))</f>
        <v/>
      </c>
      <c r="Q39" t="inlineStr">
        <is>
          <t>Sim/AI/ConquestAi.P28.cs TickLayered + Sim/AI/Commander.cs AllowedTactic (goal.Duel, brandt)</t>
        </is>
      </c>
      <c r="R39" t="inlineStr"/>
    </row>
    <row r="40">
      <c r="A40" t="inlineStr">
        <is>
          <t>goal.Duel/default</t>
        </is>
      </c>
      <c r="B40" t="inlineStr">
        <is>
          <t>goal.Duel</t>
        </is>
      </c>
      <c r="C40" t="inlineStr">
        <is>
          <t>default</t>
        </is>
      </c>
      <c r="D40">
        <f>AI_ho_so_anh_xa!$D$5</f>
        <v/>
      </c>
      <c r="E40">
        <f>INDEX(AI_ho_so_che_do!$B$2:$B$21,MATCH($D$40,AI_ho_so_che_do!$A$2:$A$21,0))&amp;""</f>
        <v/>
      </c>
      <c r="F40">
        <f>INDEX(AI_ho_so_che_do!$P$2:$P$21,MATCH($D$40,AI_ho_so_che_do!$A$2:$A$21,0))=TRUE</f>
        <v/>
      </c>
      <c r="G40">
        <f>ISNUMBER(FIND(";noGeneralTactic;",";"&amp;INDEX(AI_ho_so_che_do!$O$2:$O$21,MATCH($D$40,AI_ho_so_che_do!$A$2:$A$21,0))&amp;";"))</f>
        <v/>
      </c>
      <c r="H40">
        <f>IF(AI_tuong!$B$4&amp;""&lt;&gt;"",AI_tuong!$B$4,IF(AI_tuong!$B$4&amp;""&lt;&gt;"",AI_tuong!$B$4,"balanced"))</f>
        <v/>
      </c>
      <c r="I40" t="inlineStr">
        <is>
          <t>balanced</t>
        </is>
      </c>
      <c r="J40">
        <f>OR($F$40,AND(AI_ho_so_anh_xa!$B$5="mode",OR(AI_ho_so_anh_xa!$C$5="Weekly",AI_ho_so_anh_xa!$C$5="Operation")))</f>
        <v/>
      </c>
      <c r="K40" t="b">
        <v>1</v>
      </c>
      <c r="L40">
        <f>IF($J$40,$H$40,"balanced")</f>
        <v/>
      </c>
      <c r="M40" t="inlineStr">
        <is>
          <t>balanced</t>
        </is>
      </c>
      <c r="N40">
        <f>IF(OR($E$40="",$G$40),"balanced",IF(OR($E$40="*",ISNUMBER(FIND(";"&amp;$L$40&amp;";",";"&amp;$E$40&amp;";"))),$L$40,IF(ISNUMBER(FIND(";"&amp;"balanced"&amp;";",";"&amp;$E$40&amp;";")),"balanced",LEFT($E$40,FIND(";",$E$40&amp;";")-1))))</f>
        <v/>
      </c>
      <c r="O40" t="inlineStr">
        <is>
          <t>balanced</t>
        </is>
      </c>
      <c r="P40">
        <f>IF(OR($E$40="",$G$40),"KHONG_CHIEN_THUAT",IF(NOT($J$40),IF($H$40="balanced","GIU","CHE_DO_BO_QUA"),IF($N$40=$H$40,"GIU","HO_SO_GHI_DE")))</f>
        <v/>
      </c>
      <c r="Q40" t="inlineStr">
        <is>
          <t>Sim/AI/ConquestAi.P28.cs TickLayered + Sim/AI/Commander.cs AllowedTactic (goal.Duel, default)</t>
        </is>
      </c>
      <c r="R40" t="inlineStr"/>
    </row>
    <row r="41">
      <c r="A41" t="inlineStr">
        <is>
          <t>goal.Duel/hung</t>
        </is>
      </c>
      <c r="B41" t="inlineStr">
        <is>
          <t>goal.Duel</t>
        </is>
      </c>
      <c r="C41" t="inlineStr">
        <is>
          <t>hung</t>
        </is>
      </c>
      <c r="D41">
        <f>AI_ho_so_anh_xa!$D$5</f>
        <v/>
      </c>
      <c r="E41">
        <f>INDEX(AI_ho_so_che_do!$B$2:$B$21,MATCH($D$41,AI_ho_so_che_do!$A$2:$A$21,0))&amp;""</f>
        <v/>
      </c>
      <c r="F41">
        <f>INDEX(AI_ho_so_che_do!$P$2:$P$21,MATCH($D$41,AI_ho_so_che_do!$A$2:$A$21,0))=TRUE</f>
        <v/>
      </c>
      <c r="G41">
        <f>ISNUMBER(FIND(";noGeneralTactic;",";"&amp;INDEX(AI_ho_so_che_do!$O$2:$O$21,MATCH($D$41,AI_ho_so_che_do!$A$2:$A$21,0))&amp;";"))</f>
        <v/>
      </c>
      <c r="H41">
        <f>IF(AI_tuong!$B$5&amp;""&lt;&gt;"",AI_tuong!$B$5,IF(AI_tuong!$B$4&amp;""&lt;&gt;"",AI_tuong!$B$4,"balanced"))</f>
        <v/>
      </c>
      <c r="I41" t="inlineStr">
        <is>
          <t>balanced</t>
        </is>
      </c>
      <c r="J41">
        <f>OR($F$41,AND(AI_ho_so_anh_xa!$B$5="mode",OR(AI_ho_so_anh_xa!$C$5="Weekly",AI_ho_so_anh_xa!$C$5="Operation")))</f>
        <v/>
      </c>
      <c r="K41" t="b">
        <v>1</v>
      </c>
      <c r="L41">
        <f>IF($J$41,$H$41,"balanced")</f>
        <v/>
      </c>
      <c r="M41" t="inlineStr">
        <is>
          <t>balanced</t>
        </is>
      </c>
      <c r="N41">
        <f>IF(OR($E$41="",$G$41),"balanced",IF(OR($E$41="*",ISNUMBER(FIND(";"&amp;$L$41&amp;";",";"&amp;$E$41&amp;";"))),$L$41,IF(ISNUMBER(FIND(";"&amp;"balanced"&amp;";",";"&amp;$E$41&amp;";")),"balanced",LEFT($E$41,FIND(";",$E$41&amp;";")-1))))</f>
        <v/>
      </c>
      <c r="O41" t="inlineStr">
        <is>
          <t>balanced</t>
        </is>
      </c>
      <c r="P41">
        <f>IF(OR($E$41="",$G$41),"KHONG_CHIEN_THUAT",IF(NOT($J$41),IF($H$41="balanced","GIU","CHE_DO_BO_QUA"),IF($N$41=$H$41,"GIU","HO_SO_GHI_DE")))</f>
        <v/>
      </c>
      <c r="Q41" t="inlineStr">
        <is>
          <t>Sim/AI/ConquestAi.P28.cs TickLayered + Sim/AI/Commander.cs AllowedTactic (goal.Duel, hung)</t>
        </is>
      </c>
      <c r="R41" t="inlineStr"/>
    </row>
    <row r="42">
      <c r="A42" t="inlineStr">
        <is>
          <t>goal.Duel/kessler</t>
        </is>
      </c>
      <c r="B42" t="inlineStr">
        <is>
          <t>goal.Duel</t>
        </is>
      </c>
      <c r="C42" t="inlineStr">
        <is>
          <t>kessler</t>
        </is>
      </c>
      <c r="D42">
        <f>AI_ho_so_anh_xa!$D$5</f>
        <v/>
      </c>
      <c r="E42">
        <f>INDEX(AI_ho_so_che_do!$B$2:$B$21,MATCH($D$42,AI_ho_so_che_do!$A$2:$A$21,0))&amp;""</f>
        <v/>
      </c>
      <c r="F42">
        <f>INDEX(AI_ho_so_che_do!$P$2:$P$21,MATCH($D$42,AI_ho_so_che_do!$A$2:$A$21,0))=TRUE</f>
        <v/>
      </c>
      <c r="G42">
        <f>ISNUMBER(FIND(";noGeneralTactic;",";"&amp;INDEX(AI_ho_so_che_do!$O$2:$O$21,MATCH($D$42,AI_ho_so_che_do!$A$2:$A$21,0))&amp;";"))</f>
        <v/>
      </c>
      <c r="H42">
        <f>IF(AI_tuong!$B$6&amp;""&lt;&gt;"",AI_tuong!$B$6,IF(AI_tuong!$B$4&amp;""&lt;&gt;"",AI_tuong!$B$4,"balanced"))</f>
        <v/>
      </c>
      <c r="I42" t="inlineStr">
        <is>
          <t>attrition</t>
        </is>
      </c>
      <c r="J42">
        <f>OR($F$42,AND(AI_ho_so_anh_xa!$B$5="mode",OR(AI_ho_so_anh_xa!$C$5="Weekly",AI_ho_so_anh_xa!$C$5="Operation")))</f>
        <v/>
      </c>
      <c r="K42" t="b">
        <v>1</v>
      </c>
      <c r="L42">
        <f>IF($J$42,$H$42,"balanced")</f>
        <v/>
      </c>
      <c r="M42" t="inlineStr">
        <is>
          <t>attrition</t>
        </is>
      </c>
      <c r="N42">
        <f>IF(OR($E$42="",$G$42),"balanced",IF(OR($E$42="*",ISNUMBER(FIND(";"&amp;$L$42&amp;";",";"&amp;$E$42&amp;";"))),$L$42,IF(ISNUMBER(FIND(";"&amp;"balanced"&amp;";",";"&amp;$E$42&amp;";")),"balanced",LEFT($E$42,FIND(";",$E$42&amp;";")-1))))</f>
        <v/>
      </c>
      <c r="O42" t="inlineStr">
        <is>
          <t>attrition</t>
        </is>
      </c>
      <c r="P42">
        <f>IF(OR($E$42="",$G$42),"KHONG_CHIEN_THUAT",IF(NOT($J$42),IF($H$42="balanced","GIU","CHE_DO_BO_QUA"),IF($N$42=$H$42,"GIU","HO_SO_GHI_DE")))</f>
        <v/>
      </c>
      <c r="Q42" t="inlineStr">
        <is>
          <t>Sim/AI/ConquestAi.P28.cs TickLayered + Sim/AI/Commander.cs AllowedTactic (goal.Duel, kessler)</t>
        </is>
      </c>
      <c r="R42" t="inlineStr"/>
    </row>
    <row r="43">
      <c r="A43" t="inlineStr">
        <is>
          <t>goal.Duel/orlov</t>
        </is>
      </c>
      <c r="B43" t="inlineStr">
        <is>
          <t>goal.Duel</t>
        </is>
      </c>
      <c r="C43" t="inlineStr">
        <is>
          <t>orlov</t>
        </is>
      </c>
      <c r="D43">
        <f>AI_ho_so_anh_xa!$D$5</f>
        <v/>
      </c>
      <c r="E43">
        <f>INDEX(AI_ho_so_che_do!$B$2:$B$21,MATCH($D$43,AI_ho_so_che_do!$A$2:$A$21,0))&amp;""</f>
        <v/>
      </c>
      <c r="F43">
        <f>INDEX(AI_ho_so_che_do!$P$2:$P$21,MATCH($D$43,AI_ho_so_che_do!$A$2:$A$21,0))=TRUE</f>
        <v/>
      </c>
      <c r="G43">
        <f>ISNUMBER(FIND(";noGeneralTactic;",";"&amp;INDEX(AI_ho_so_che_do!$O$2:$O$21,MATCH($D$43,AI_ho_so_che_do!$A$2:$A$21,0))&amp;";"))</f>
        <v/>
      </c>
      <c r="H43">
        <f>IF(AI_tuong!$B$7&amp;""&lt;&gt;"",AI_tuong!$B$7,IF(AI_tuong!$B$4&amp;""&lt;&gt;"",AI_tuong!$B$4,"balanced"))</f>
        <v/>
      </c>
      <c r="I43" t="inlineStr">
        <is>
          <t>firepower</t>
        </is>
      </c>
      <c r="J43">
        <f>OR($F$43,AND(AI_ho_so_anh_xa!$B$5="mode",OR(AI_ho_so_anh_xa!$C$5="Weekly",AI_ho_so_anh_xa!$C$5="Operation")))</f>
        <v/>
      </c>
      <c r="K43" t="b">
        <v>1</v>
      </c>
      <c r="L43">
        <f>IF($J$43,$H$43,"balanced")</f>
        <v/>
      </c>
      <c r="M43" t="inlineStr">
        <is>
          <t>firepower</t>
        </is>
      </c>
      <c r="N43">
        <f>IF(OR($E$43="",$G$43),"balanced",IF(OR($E$43="*",ISNUMBER(FIND(";"&amp;$L$43&amp;";",";"&amp;$E$43&amp;";"))),$L$43,IF(ISNUMBER(FIND(";"&amp;"balanced"&amp;";",";"&amp;$E$43&amp;";")),"balanced",LEFT($E$43,FIND(";",$E$43&amp;";")-1))))</f>
        <v/>
      </c>
      <c r="O43" t="inlineStr">
        <is>
          <t>firepower</t>
        </is>
      </c>
      <c r="P43">
        <f>IF(OR($E$43="",$G$43),"KHONG_CHIEN_THUAT",IF(NOT($J$43),IF($H$43="balanced","GIU","CHE_DO_BO_QUA"),IF($N$43=$H$43,"GIU","HO_SO_GHI_DE")))</f>
        <v/>
      </c>
      <c r="Q43" t="inlineStr">
        <is>
          <t>Sim/AI/ConquestAi.P28.cs TickLayered + Sim/AI/Commander.cs AllowedTactic (goal.Duel, orlov)</t>
        </is>
      </c>
      <c r="R43" t="inlineStr"/>
    </row>
    <row r="44">
      <c r="A44" t="inlineStr">
        <is>
          <t>goal.Duel/quaden</t>
        </is>
      </c>
      <c r="B44" t="inlineStr">
        <is>
          <t>goal.Duel</t>
        </is>
      </c>
      <c r="C44" t="inlineStr">
        <is>
          <t>quaden</t>
        </is>
      </c>
      <c r="D44">
        <f>AI_ho_so_anh_xa!$D$5</f>
        <v/>
      </c>
      <c r="E44">
        <f>INDEX(AI_ho_so_che_do!$B$2:$B$21,MATCH($D$44,AI_ho_so_che_do!$A$2:$A$21,0))&amp;""</f>
        <v/>
      </c>
      <c r="F44">
        <f>INDEX(AI_ho_so_che_do!$P$2:$P$21,MATCH($D$44,AI_ho_so_che_do!$A$2:$A$21,0))=TRUE</f>
        <v/>
      </c>
      <c r="G44">
        <f>ISNUMBER(FIND(";noGeneralTactic;",";"&amp;INDEX(AI_ho_so_che_do!$O$2:$O$21,MATCH($D$44,AI_ho_so_che_do!$A$2:$A$21,0))&amp;";"))</f>
        <v/>
      </c>
      <c r="H44">
        <f>IF(AI_tuong!$B$8&amp;""&lt;&gt;"",AI_tuong!$B$8,IF(AI_tuong!$B$4&amp;""&lt;&gt;"",AI_tuong!$B$4,"balanced"))</f>
        <v/>
      </c>
      <c r="I44" t="inlineStr">
        <is>
          <t>balanced</t>
        </is>
      </c>
      <c r="J44">
        <f>OR($F$44,AND(AI_ho_so_anh_xa!$B$5="mode",OR(AI_ho_so_anh_xa!$C$5="Weekly",AI_ho_so_anh_xa!$C$5="Operation")))</f>
        <v/>
      </c>
      <c r="K44" t="b">
        <v>1</v>
      </c>
      <c r="L44">
        <f>IF($J$44,$H$44,"balanced")</f>
        <v/>
      </c>
      <c r="M44" t="inlineStr">
        <is>
          <t>balanced</t>
        </is>
      </c>
      <c r="N44">
        <f>IF(OR($E$44="",$G$44),"balanced",IF(OR($E$44="*",ISNUMBER(FIND(";"&amp;$L$44&amp;";",";"&amp;$E$44&amp;";"))),$L$44,IF(ISNUMBER(FIND(";"&amp;"balanced"&amp;";",";"&amp;$E$44&amp;";")),"balanced",LEFT($E$44,FIND(";",$E$44&amp;";")-1))))</f>
        <v/>
      </c>
      <c r="O44" t="inlineStr">
        <is>
          <t>balanced</t>
        </is>
      </c>
      <c r="P44">
        <f>IF(OR($E$44="",$G$44),"KHONG_CHIEN_THUAT",IF(NOT($J$44),IF($H$44="balanced","GIU","CHE_DO_BO_QUA"),IF($N$44=$H$44,"GIU","HO_SO_GHI_DE")))</f>
        <v/>
      </c>
      <c r="Q44" t="inlineStr">
        <is>
          <t>Sim/AI/ConquestAi.P28.cs TickLayered + Sim/AI/Commander.cs AllowedTactic (goal.Duel, quaden)</t>
        </is>
      </c>
      <c r="R44" t="inlineStr"/>
    </row>
    <row r="45">
      <c r="A45" t="inlineStr">
        <is>
          <t>goal.Duel/sen</t>
        </is>
      </c>
      <c r="B45" t="inlineStr">
        <is>
          <t>goal.Duel</t>
        </is>
      </c>
      <c r="C45" t="inlineStr">
        <is>
          <t>sen</t>
        </is>
      </c>
      <c r="D45">
        <f>AI_ho_so_anh_xa!$D$5</f>
        <v/>
      </c>
      <c r="E45">
        <f>INDEX(AI_ho_so_che_do!$B$2:$B$21,MATCH($D$45,AI_ho_so_che_do!$A$2:$A$21,0))&amp;""</f>
        <v/>
      </c>
      <c r="F45">
        <f>INDEX(AI_ho_so_che_do!$P$2:$P$21,MATCH($D$45,AI_ho_so_che_do!$A$2:$A$21,0))=TRUE</f>
        <v/>
      </c>
      <c r="G45">
        <f>ISNUMBER(FIND(";noGeneralTactic;",";"&amp;INDEX(AI_ho_so_che_do!$O$2:$O$21,MATCH($D$45,AI_ho_so_che_do!$A$2:$A$21,0))&amp;";"))</f>
        <v/>
      </c>
      <c r="H45">
        <f>IF(AI_tuong!$B$9&amp;""&lt;&gt;"",AI_tuong!$B$9,IF(AI_tuong!$B$4&amp;""&lt;&gt;"",AI_tuong!$B$4,"balanced"))</f>
        <v/>
      </c>
      <c r="I45" t="inlineStr">
        <is>
          <t>balanced</t>
        </is>
      </c>
      <c r="J45">
        <f>OR($F$45,AND(AI_ho_so_anh_xa!$B$5="mode",OR(AI_ho_so_anh_xa!$C$5="Weekly",AI_ho_so_anh_xa!$C$5="Operation")))</f>
        <v/>
      </c>
      <c r="K45" t="b">
        <v>1</v>
      </c>
      <c r="L45">
        <f>IF($J$45,$H$45,"balanced")</f>
        <v/>
      </c>
      <c r="M45" t="inlineStr">
        <is>
          <t>balanced</t>
        </is>
      </c>
      <c r="N45">
        <f>IF(OR($E$45="",$G$45),"balanced",IF(OR($E$45="*",ISNUMBER(FIND(";"&amp;$L$45&amp;";",";"&amp;$E$45&amp;";"))),$L$45,IF(ISNUMBER(FIND(";"&amp;"balanced"&amp;";",";"&amp;$E$45&amp;";")),"balanced",LEFT($E$45,FIND(";",$E$45&amp;";")-1))))</f>
        <v/>
      </c>
      <c r="O45" t="inlineStr">
        <is>
          <t>balanced</t>
        </is>
      </c>
      <c r="P45">
        <f>IF(OR($E$45="",$G$45),"KHONG_CHIEN_THUAT",IF(NOT($J$45),IF($H$45="balanced","GIU","CHE_DO_BO_QUA"),IF($N$45=$H$45,"GIU","HO_SO_GHI_DE")))</f>
        <v/>
      </c>
      <c r="Q45" t="inlineStr">
        <is>
          <t>Sim/AI/ConquestAi.P28.cs TickLayered + Sim/AI/Commander.cs AllowedTactic (goal.Duel, sen)</t>
        </is>
      </c>
      <c r="R45" t="inlineStr"/>
    </row>
    <row r="46">
      <c r="A46" t="inlineStr">
        <is>
          <t>goal.Duel/thorne</t>
        </is>
      </c>
      <c r="B46" t="inlineStr">
        <is>
          <t>goal.Duel</t>
        </is>
      </c>
      <c r="C46" t="inlineStr">
        <is>
          <t>thorne</t>
        </is>
      </c>
      <c r="D46">
        <f>AI_ho_so_anh_xa!$D$5</f>
        <v/>
      </c>
      <c r="E46">
        <f>INDEX(AI_ho_so_che_do!$B$2:$B$21,MATCH($D$46,AI_ho_so_che_do!$A$2:$A$21,0))&amp;""</f>
        <v/>
      </c>
      <c r="F46">
        <f>INDEX(AI_ho_so_che_do!$P$2:$P$21,MATCH($D$46,AI_ho_so_che_do!$A$2:$A$21,0))=TRUE</f>
        <v/>
      </c>
      <c r="G46">
        <f>ISNUMBER(FIND(";noGeneralTactic;",";"&amp;INDEX(AI_ho_so_che_do!$O$2:$O$21,MATCH($D$46,AI_ho_so_che_do!$A$2:$A$21,0))&amp;";"))</f>
        <v/>
      </c>
      <c r="H46">
        <f>IF(AI_tuong!$B$10&amp;""&lt;&gt;"",AI_tuong!$B$10,IF(AI_tuong!$B$4&amp;""&lt;&gt;"",AI_tuong!$B$4,"balanced"))</f>
        <v/>
      </c>
      <c r="I46" t="inlineStr">
        <is>
          <t>balanced</t>
        </is>
      </c>
      <c r="J46">
        <f>OR($F$46,AND(AI_ho_so_anh_xa!$B$5="mode",OR(AI_ho_so_anh_xa!$C$5="Weekly",AI_ho_so_anh_xa!$C$5="Operation")))</f>
        <v/>
      </c>
      <c r="K46" t="b">
        <v>1</v>
      </c>
      <c r="L46">
        <f>IF($J$46,$H$46,"balanced")</f>
        <v/>
      </c>
      <c r="M46" t="inlineStr">
        <is>
          <t>balanced</t>
        </is>
      </c>
      <c r="N46">
        <f>IF(OR($E$46="",$G$46),"balanced",IF(OR($E$46="*",ISNUMBER(FIND(";"&amp;$L$46&amp;";",";"&amp;$E$46&amp;";"))),$L$46,IF(ISNUMBER(FIND(";"&amp;"balanced"&amp;";",";"&amp;$E$46&amp;";")),"balanced",LEFT($E$46,FIND(";",$E$46&amp;";")-1))))</f>
        <v/>
      </c>
      <c r="O46" t="inlineStr">
        <is>
          <t>balanced</t>
        </is>
      </c>
      <c r="P46">
        <f>IF(OR($E$46="",$G$46),"KHONG_CHIEN_THUAT",IF(NOT($J$46),IF($H$46="balanced","GIU","CHE_DO_BO_QUA"),IF($N$46=$H$46,"GIU","HO_SO_GHI_DE")))</f>
        <v/>
      </c>
      <c r="Q46" t="inlineStr">
        <is>
          <t>Sim/AI/ConquestAi.P28.cs TickLayered + Sim/AI/Commander.cs AllowedTactic (goal.Duel, thorne)</t>
        </is>
      </c>
      <c r="R46" t="inlineStr"/>
    </row>
    <row r="47">
      <c r="A47" t="inlineStr">
        <is>
          <t>goal.Duel/varga</t>
        </is>
      </c>
      <c r="B47" t="inlineStr">
        <is>
          <t>goal.Duel</t>
        </is>
      </c>
      <c r="C47" t="inlineStr">
        <is>
          <t>varga</t>
        </is>
      </c>
      <c r="D47">
        <f>AI_ho_so_anh_xa!$D$5</f>
        <v/>
      </c>
      <c r="E47">
        <f>INDEX(AI_ho_so_che_do!$B$2:$B$21,MATCH($D$47,AI_ho_so_che_do!$A$2:$A$21,0))&amp;""</f>
        <v/>
      </c>
      <c r="F47">
        <f>INDEX(AI_ho_so_che_do!$P$2:$P$21,MATCH($D$47,AI_ho_so_che_do!$A$2:$A$21,0))=TRUE</f>
        <v/>
      </c>
      <c r="G47">
        <f>ISNUMBER(FIND(";noGeneralTactic;",";"&amp;INDEX(AI_ho_so_che_do!$O$2:$O$21,MATCH($D$47,AI_ho_so_che_do!$A$2:$A$21,0))&amp;";"))</f>
        <v/>
      </c>
      <c r="H47">
        <f>IF(AI_tuong!$B$11&amp;""&lt;&gt;"",AI_tuong!$B$11,IF(AI_tuong!$B$4&amp;""&lt;&gt;"",AI_tuong!$B$4,"balanced"))</f>
        <v/>
      </c>
      <c r="I47" t="inlineStr">
        <is>
          <t>breakthrough</t>
        </is>
      </c>
      <c r="J47">
        <f>OR($F$47,AND(AI_ho_so_anh_xa!$B$5="mode",OR(AI_ho_so_anh_xa!$C$5="Weekly",AI_ho_so_anh_xa!$C$5="Operation")))</f>
        <v/>
      </c>
      <c r="K47" t="b">
        <v>1</v>
      </c>
      <c r="L47">
        <f>IF($J$47,$H$47,"balanced")</f>
        <v/>
      </c>
      <c r="M47" t="inlineStr">
        <is>
          <t>breakthrough</t>
        </is>
      </c>
      <c r="N47">
        <f>IF(OR($E$47="",$G$47),"balanced",IF(OR($E$47="*",ISNUMBER(FIND(";"&amp;$L$47&amp;";",";"&amp;$E$47&amp;";"))),$L$47,IF(ISNUMBER(FIND(";"&amp;"balanced"&amp;";",";"&amp;$E$47&amp;";")),"balanced",LEFT($E$47,FIND(";",$E$47&amp;";")-1))))</f>
        <v/>
      </c>
      <c r="O47" t="inlineStr">
        <is>
          <t>breakthrough</t>
        </is>
      </c>
      <c r="P47">
        <f>IF(OR($E$47="",$G$47),"KHONG_CHIEN_THUAT",IF(NOT($J$47),IF($H$47="balanced","GIU","CHE_DO_BO_QUA"),IF($N$47=$H$47,"GIU","HO_SO_GHI_DE")))</f>
        <v/>
      </c>
      <c r="Q47" t="inlineStr">
        <is>
          <t>Sim/AI/ConquestAi.P28.cs TickLayered + Sim/AI/Commander.cs AllowedTactic (goal.Duel, varga)</t>
        </is>
      </c>
      <c r="R47" t="inlineStr"/>
    </row>
    <row r="48">
      <c r="A48" t="inlineStr">
        <is>
          <t>goal.Duel/venn</t>
        </is>
      </c>
      <c r="B48" t="inlineStr">
        <is>
          <t>goal.Duel</t>
        </is>
      </c>
      <c r="C48" t="inlineStr">
        <is>
          <t>venn</t>
        </is>
      </c>
      <c r="D48">
        <f>AI_ho_so_anh_xa!$D$5</f>
        <v/>
      </c>
      <c r="E48">
        <f>INDEX(AI_ho_so_che_do!$B$2:$B$21,MATCH($D$48,AI_ho_so_che_do!$A$2:$A$21,0))&amp;""</f>
        <v/>
      </c>
      <c r="F48">
        <f>INDEX(AI_ho_so_che_do!$P$2:$P$21,MATCH($D$48,AI_ho_so_che_do!$A$2:$A$21,0))=TRUE</f>
        <v/>
      </c>
      <c r="G48">
        <f>ISNUMBER(FIND(";noGeneralTactic;",";"&amp;INDEX(AI_ho_so_che_do!$O$2:$O$21,MATCH($D$48,AI_ho_so_che_do!$A$2:$A$21,0))&amp;";"))</f>
        <v/>
      </c>
      <c r="H48">
        <f>IF(AI_tuong!$B$12&amp;""&lt;&gt;"",AI_tuong!$B$12,IF(AI_tuong!$B$4&amp;""&lt;&gt;"",AI_tuong!$B$4,"balanced"))</f>
        <v/>
      </c>
      <c r="I48" t="inlineStr">
        <is>
          <t>dispersal</t>
        </is>
      </c>
      <c r="J48">
        <f>OR($F$48,AND(AI_ho_so_anh_xa!$B$5="mode",OR(AI_ho_so_anh_xa!$C$5="Weekly",AI_ho_so_anh_xa!$C$5="Operation")))</f>
        <v/>
      </c>
      <c r="K48" t="b">
        <v>1</v>
      </c>
      <c r="L48">
        <f>IF($J$48,$H$48,"balanced")</f>
        <v/>
      </c>
      <c r="M48" t="inlineStr">
        <is>
          <t>dispersal</t>
        </is>
      </c>
      <c r="N48">
        <f>IF(OR($E$48="",$G$48),"balanced",IF(OR($E$48="*",ISNUMBER(FIND(";"&amp;$L$48&amp;";",";"&amp;$E$48&amp;";"))),$L$48,IF(ISNUMBER(FIND(";"&amp;"balanced"&amp;";",";"&amp;$E$48&amp;";")),"balanced",LEFT($E$48,FIND(";",$E$48&amp;";")-1))))</f>
        <v/>
      </c>
      <c r="O48" t="inlineStr">
        <is>
          <t>dispersal</t>
        </is>
      </c>
      <c r="P48">
        <f>IF(OR($E$48="",$G$48),"KHONG_CHIEN_THUAT",IF(NOT($J$48),IF($H$48="balanced","GIU","CHE_DO_BO_QUA"),IF($N$48=$H$48,"GIU","HO_SO_GHI_DE")))</f>
        <v/>
      </c>
      <c r="Q48" t="inlineStr">
        <is>
          <t>Sim/AI/ConquestAi.P28.cs TickLayered + Sim/AI/Commander.cs AllowedTactic (goal.Duel, venn)</t>
        </is>
      </c>
      <c r="R48" t="inlineStr"/>
    </row>
    <row r="49">
      <c r="A49" t="inlineStr">
        <is>
          <t>goal.Duel/wolff</t>
        </is>
      </c>
      <c r="B49" t="inlineStr">
        <is>
          <t>goal.Duel</t>
        </is>
      </c>
      <c r="C49" t="inlineStr">
        <is>
          <t>wolff</t>
        </is>
      </c>
      <c r="D49">
        <f>AI_ho_so_anh_xa!$D$5</f>
        <v/>
      </c>
      <c r="E49">
        <f>INDEX(AI_ho_so_che_do!$B$2:$B$21,MATCH($D$49,AI_ho_so_che_do!$A$2:$A$21,0))&amp;""</f>
        <v/>
      </c>
      <c r="F49">
        <f>INDEX(AI_ho_so_che_do!$P$2:$P$21,MATCH($D$49,AI_ho_so_che_do!$A$2:$A$21,0))=TRUE</f>
        <v/>
      </c>
      <c r="G49">
        <f>ISNUMBER(FIND(";noGeneralTactic;",";"&amp;INDEX(AI_ho_so_che_do!$O$2:$O$21,MATCH($D$49,AI_ho_so_che_do!$A$2:$A$21,0))&amp;";"))</f>
        <v/>
      </c>
      <c r="H49">
        <f>IF(AI_tuong!$B$13&amp;""&lt;&gt;"",AI_tuong!$B$13,IF(AI_tuong!$B$4&amp;""&lt;&gt;"",AI_tuong!$B$4,"balanced"))</f>
        <v/>
      </c>
      <c r="I49" t="inlineStr">
        <is>
          <t>air_superiority</t>
        </is>
      </c>
      <c r="J49">
        <f>OR($F$49,AND(AI_ho_so_anh_xa!$B$5="mode",OR(AI_ho_so_anh_xa!$C$5="Weekly",AI_ho_so_anh_xa!$C$5="Operation")))</f>
        <v/>
      </c>
      <c r="K49" t="b">
        <v>1</v>
      </c>
      <c r="L49">
        <f>IF($J$49,$H$49,"balanced")</f>
        <v/>
      </c>
      <c r="M49" t="inlineStr">
        <is>
          <t>air_superiority</t>
        </is>
      </c>
      <c r="N49">
        <f>IF(OR($E$49="",$G$49),"balanced",IF(OR($E$49="*",ISNUMBER(FIND(";"&amp;$L$49&amp;";",";"&amp;$E$49&amp;";"))),$L$49,IF(ISNUMBER(FIND(";"&amp;"balanced"&amp;";",";"&amp;$E$49&amp;";")),"balanced",LEFT($E$49,FIND(";",$E$49&amp;";")-1))))</f>
        <v/>
      </c>
      <c r="O49" t="inlineStr">
        <is>
          <t>air_superiority</t>
        </is>
      </c>
      <c r="P49">
        <f>IF(OR($E$49="",$G$49),"KHONG_CHIEN_THUAT",IF(NOT($J$49),IF($H$49="balanced","GIU","CHE_DO_BO_QUA"),IF($N$49=$H$49,"GIU","HO_SO_GHI_DE")))</f>
        <v/>
      </c>
      <c r="Q49" t="inlineStr">
        <is>
          <t>Sim/AI/ConquestAi.P28.cs TickLayered + Sim/AI/Commander.cs AllowedTactic (goal.Duel, wolff)</t>
        </is>
      </c>
      <c r="R49" t="inlineStr"/>
    </row>
    <row r="50">
      <c r="A50" t="inlineStr">
        <is>
          <t>goal.Escort/aurel</t>
        </is>
      </c>
      <c r="B50" t="inlineStr">
        <is>
          <t>goal.Escort</t>
        </is>
      </c>
      <c r="C50" t="inlineStr">
        <is>
          <t>aurel</t>
        </is>
      </c>
      <c r="D50">
        <f>AI_ho_so_anh_xa!$D$6</f>
        <v/>
      </c>
      <c r="E50">
        <f>INDEX(AI_ho_so_che_do!$B$2:$B$21,MATCH($D$50,AI_ho_so_che_do!$A$2:$A$21,0))&amp;""</f>
        <v/>
      </c>
      <c r="F50">
        <f>INDEX(AI_ho_so_che_do!$P$2:$P$21,MATCH($D$50,AI_ho_so_che_do!$A$2:$A$21,0))=TRUE</f>
        <v/>
      </c>
      <c r="G50">
        <f>ISNUMBER(FIND(";noGeneralTactic;",";"&amp;INDEX(AI_ho_so_che_do!$O$2:$O$21,MATCH($D$50,AI_ho_so_che_do!$A$2:$A$21,0))&amp;";"))</f>
        <v/>
      </c>
      <c r="H50">
        <f>IF(AI_tuong!$B$2&amp;""&lt;&gt;"",AI_tuong!$B$2,IF(AI_tuong!$B$4&amp;""&lt;&gt;"",AI_tuong!$B$4,"balanced"))</f>
        <v/>
      </c>
      <c r="I50" t="inlineStr">
        <is>
          <t>all_out</t>
        </is>
      </c>
      <c r="J50">
        <f>OR($F$50,AND(AI_ho_so_anh_xa!$B$6="mode",OR(AI_ho_so_anh_xa!$C$6="Weekly",AI_ho_so_anh_xa!$C$6="Operation")))</f>
        <v/>
      </c>
      <c r="K50" t="b">
        <v>1</v>
      </c>
      <c r="L50">
        <f>IF($J$50,$H$50,"balanced")</f>
        <v/>
      </c>
      <c r="M50" t="inlineStr">
        <is>
          <t>all_out</t>
        </is>
      </c>
      <c r="N50">
        <f>IF(OR($E$50="",$G$50),"balanced",IF(OR($E$50="*",ISNUMBER(FIND(";"&amp;$L$50&amp;";",";"&amp;$E$50&amp;";"))),$L$50,IF(ISNUMBER(FIND(";"&amp;"balanced"&amp;";",";"&amp;$E$50&amp;";")),"balanced",LEFT($E$50,FIND(";",$E$50&amp;";")-1))))</f>
        <v/>
      </c>
      <c r="O50" t="inlineStr">
        <is>
          <t>all_out</t>
        </is>
      </c>
      <c r="P50">
        <f>IF(OR($E$50="",$G$50),"KHONG_CHIEN_THUAT",IF(NOT($J$50),IF($H$50="balanced","GIU","CHE_DO_BO_QUA"),IF($N$50=$H$50,"GIU","HO_SO_GHI_DE")))</f>
        <v/>
      </c>
      <c r="Q50" t="inlineStr">
        <is>
          <t>Sim/AI/ConquestAi.P28.cs TickLayered + Sim/AI/Commander.cs AllowedTactic (goal.Escort, aurel)</t>
        </is>
      </c>
      <c r="R50" t="inlineStr"/>
    </row>
    <row r="51">
      <c r="A51" t="inlineStr">
        <is>
          <t>goal.Escort/brandt</t>
        </is>
      </c>
      <c r="B51" t="inlineStr">
        <is>
          <t>goal.Escort</t>
        </is>
      </c>
      <c r="C51" t="inlineStr">
        <is>
          <t>brandt</t>
        </is>
      </c>
      <c r="D51">
        <f>AI_ho_so_anh_xa!$D$6</f>
        <v/>
      </c>
      <c r="E51">
        <f>INDEX(AI_ho_so_che_do!$B$2:$B$21,MATCH($D$51,AI_ho_so_che_do!$A$2:$A$21,0))&amp;""</f>
        <v/>
      </c>
      <c r="F51">
        <f>INDEX(AI_ho_so_che_do!$P$2:$P$21,MATCH($D$51,AI_ho_so_che_do!$A$2:$A$21,0))=TRUE</f>
        <v/>
      </c>
      <c r="G51">
        <f>ISNUMBER(FIND(";noGeneralTactic;",";"&amp;INDEX(AI_ho_so_che_do!$O$2:$O$21,MATCH($D$51,AI_ho_so_che_do!$A$2:$A$21,0))&amp;";"))</f>
        <v/>
      </c>
      <c r="H51">
        <f>IF(AI_tuong!$B$3&amp;""&lt;&gt;"",AI_tuong!$B$3,IF(AI_tuong!$B$4&amp;""&lt;&gt;"",AI_tuong!$B$4,"balanced"))</f>
        <v/>
      </c>
      <c r="I51" t="inlineStr">
        <is>
          <t>depth</t>
        </is>
      </c>
      <c r="J51">
        <f>OR($F$51,AND(AI_ho_so_anh_xa!$B$6="mode",OR(AI_ho_so_anh_xa!$C$6="Weekly",AI_ho_so_anh_xa!$C$6="Operation")))</f>
        <v/>
      </c>
      <c r="K51" t="b">
        <v>1</v>
      </c>
      <c r="L51">
        <f>IF($J$51,$H$51,"balanced")</f>
        <v/>
      </c>
      <c r="M51" t="inlineStr">
        <is>
          <t>depth</t>
        </is>
      </c>
      <c r="N51">
        <f>IF(OR($E$51="",$G$51),"balanced",IF(OR($E$51="*",ISNUMBER(FIND(";"&amp;$L$51&amp;";",";"&amp;$E$51&amp;";"))),$L$51,IF(ISNUMBER(FIND(";"&amp;"balanced"&amp;";",";"&amp;$E$51&amp;";")),"balanced",LEFT($E$51,FIND(";",$E$51&amp;";")-1))))</f>
        <v/>
      </c>
      <c r="O51" t="inlineStr">
        <is>
          <t>depth</t>
        </is>
      </c>
      <c r="P51">
        <f>IF(OR($E$51="",$G$51),"KHONG_CHIEN_THUAT",IF(NOT($J$51),IF($H$51="balanced","GIU","CHE_DO_BO_QUA"),IF($N$51=$H$51,"GIU","HO_SO_GHI_DE")))</f>
        <v/>
      </c>
      <c r="Q51" t="inlineStr">
        <is>
          <t>Sim/AI/ConquestAi.P28.cs TickLayered + Sim/AI/Commander.cs AllowedTactic (goal.Escort, brandt)</t>
        </is>
      </c>
      <c r="R51" t="inlineStr"/>
    </row>
    <row r="52">
      <c r="A52" t="inlineStr">
        <is>
          <t>goal.Escort/default</t>
        </is>
      </c>
      <c r="B52" t="inlineStr">
        <is>
          <t>goal.Escort</t>
        </is>
      </c>
      <c r="C52" t="inlineStr">
        <is>
          <t>default</t>
        </is>
      </c>
      <c r="D52">
        <f>AI_ho_so_anh_xa!$D$6</f>
        <v/>
      </c>
      <c r="E52">
        <f>INDEX(AI_ho_so_che_do!$B$2:$B$21,MATCH($D$52,AI_ho_so_che_do!$A$2:$A$21,0))&amp;""</f>
        <v/>
      </c>
      <c r="F52">
        <f>INDEX(AI_ho_so_che_do!$P$2:$P$21,MATCH($D$52,AI_ho_so_che_do!$A$2:$A$21,0))=TRUE</f>
        <v/>
      </c>
      <c r="G52">
        <f>ISNUMBER(FIND(";noGeneralTactic;",";"&amp;INDEX(AI_ho_so_che_do!$O$2:$O$21,MATCH($D$52,AI_ho_so_che_do!$A$2:$A$21,0))&amp;";"))</f>
        <v/>
      </c>
      <c r="H52">
        <f>IF(AI_tuong!$B$4&amp;""&lt;&gt;"",AI_tuong!$B$4,IF(AI_tuong!$B$4&amp;""&lt;&gt;"",AI_tuong!$B$4,"balanced"))</f>
        <v/>
      </c>
      <c r="I52" t="inlineStr">
        <is>
          <t>balanced</t>
        </is>
      </c>
      <c r="J52">
        <f>OR($F$52,AND(AI_ho_so_anh_xa!$B$6="mode",OR(AI_ho_so_anh_xa!$C$6="Weekly",AI_ho_so_anh_xa!$C$6="Operation")))</f>
        <v/>
      </c>
      <c r="K52" t="b">
        <v>1</v>
      </c>
      <c r="L52">
        <f>IF($J$52,$H$52,"balanced")</f>
        <v/>
      </c>
      <c r="M52" t="inlineStr">
        <is>
          <t>balanced</t>
        </is>
      </c>
      <c r="N52">
        <f>IF(OR($E$52="",$G$52),"balanced",IF(OR($E$52="*",ISNUMBER(FIND(";"&amp;$L$52&amp;";",";"&amp;$E$52&amp;";"))),$L$52,IF(ISNUMBER(FIND(";"&amp;"balanced"&amp;";",";"&amp;$E$52&amp;";")),"balanced",LEFT($E$52,FIND(";",$E$52&amp;";")-1))))</f>
        <v/>
      </c>
      <c r="O52" t="inlineStr">
        <is>
          <t>balanced</t>
        </is>
      </c>
      <c r="P52">
        <f>IF(OR($E$52="",$G$52),"KHONG_CHIEN_THUAT",IF(NOT($J$52),IF($H$52="balanced","GIU","CHE_DO_BO_QUA"),IF($N$52=$H$52,"GIU","HO_SO_GHI_DE")))</f>
        <v/>
      </c>
      <c r="Q52" t="inlineStr">
        <is>
          <t>Sim/AI/ConquestAi.P28.cs TickLayered + Sim/AI/Commander.cs AllowedTactic (goal.Escort, default)</t>
        </is>
      </c>
      <c r="R52" t="inlineStr"/>
    </row>
    <row r="53">
      <c r="A53" t="inlineStr">
        <is>
          <t>goal.Escort/hung</t>
        </is>
      </c>
      <c r="B53" t="inlineStr">
        <is>
          <t>goal.Escort</t>
        </is>
      </c>
      <c r="C53" t="inlineStr">
        <is>
          <t>hung</t>
        </is>
      </c>
      <c r="D53">
        <f>AI_ho_so_anh_xa!$D$6</f>
        <v/>
      </c>
      <c r="E53">
        <f>INDEX(AI_ho_so_che_do!$B$2:$B$21,MATCH($D$53,AI_ho_so_che_do!$A$2:$A$21,0))&amp;""</f>
        <v/>
      </c>
      <c r="F53">
        <f>INDEX(AI_ho_so_che_do!$P$2:$P$21,MATCH($D$53,AI_ho_so_che_do!$A$2:$A$21,0))=TRUE</f>
        <v/>
      </c>
      <c r="G53">
        <f>ISNUMBER(FIND(";noGeneralTactic;",";"&amp;INDEX(AI_ho_so_che_do!$O$2:$O$21,MATCH($D$53,AI_ho_so_che_do!$A$2:$A$21,0))&amp;";"))</f>
        <v/>
      </c>
      <c r="H53">
        <f>IF(AI_tuong!$B$5&amp;""&lt;&gt;"",AI_tuong!$B$5,IF(AI_tuong!$B$4&amp;""&lt;&gt;"",AI_tuong!$B$4,"balanced"))</f>
        <v/>
      </c>
      <c r="I53" t="inlineStr">
        <is>
          <t>balanced</t>
        </is>
      </c>
      <c r="J53">
        <f>OR($F$53,AND(AI_ho_so_anh_xa!$B$6="mode",OR(AI_ho_so_anh_xa!$C$6="Weekly",AI_ho_so_anh_xa!$C$6="Operation")))</f>
        <v/>
      </c>
      <c r="K53" t="b">
        <v>1</v>
      </c>
      <c r="L53">
        <f>IF($J$53,$H$53,"balanced")</f>
        <v/>
      </c>
      <c r="M53" t="inlineStr">
        <is>
          <t>balanced</t>
        </is>
      </c>
      <c r="N53">
        <f>IF(OR($E$53="",$G$53),"balanced",IF(OR($E$53="*",ISNUMBER(FIND(";"&amp;$L$53&amp;";",";"&amp;$E$53&amp;";"))),$L$53,IF(ISNUMBER(FIND(";"&amp;"balanced"&amp;";",";"&amp;$E$53&amp;";")),"balanced",LEFT($E$53,FIND(";",$E$53&amp;";")-1))))</f>
        <v/>
      </c>
      <c r="O53" t="inlineStr">
        <is>
          <t>balanced</t>
        </is>
      </c>
      <c r="P53">
        <f>IF(OR($E$53="",$G$53),"KHONG_CHIEN_THUAT",IF(NOT($J$53),IF($H$53="balanced","GIU","CHE_DO_BO_QUA"),IF($N$53=$H$53,"GIU","HO_SO_GHI_DE")))</f>
        <v/>
      </c>
      <c r="Q53" t="inlineStr">
        <is>
          <t>Sim/AI/ConquestAi.P28.cs TickLayered + Sim/AI/Commander.cs AllowedTactic (goal.Escort, hung)</t>
        </is>
      </c>
      <c r="R53" t="inlineStr"/>
    </row>
    <row r="54">
      <c r="A54" t="inlineStr">
        <is>
          <t>goal.Escort/kessler</t>
        </is>
      </c>
      <c r="B54" t="inlineStr">
        <is>
          <t>goal.Escort</t>
        </is>
      </c>
      <c r="C54" t="inlineStr">
        <is>
          <t>kessler</t>
        </is>
      </c>
      <c r="D54">
        <f>AI_ho_so_anh_xa!$D$6</f>
        <v/>
      </c>
      <c r="E54">
        <f>INDEX(AI_ho_so_che_do!$B$2:$B$21,MATCH($D$54,AI_ho_so_che_do!$A$2:$A$21,0))&amp;""</f>
        <v/>
      </c>
      <c r="F54">
        <f>INDEX(AI_ho_so_che_do!$P$2:$P$21,MATCH($D$54,AI_ho_so_che_do!$A$2:$A$21,0))=TRUE</f>
        <v/>
      </c>
      <c r="G54">
        <f>ISNUMBER(FIND(";noGeneralTactic;",";"&amp;INDEX(AI_ho_so_che_do!$O$2:$O$21,MATCH($D$54,AI_ho_so_che_do!$A$2:$A$21,0))&amp;";"))</f>
        <v/>
      </c>
      <c r="H54">
        <f>IF(AI_tuong!$B$6&amp;""&lt;&gt;"",AI_tuong!$B$6,IF(AI_tuong!$B$4&amp;""&lt;&gt;"",AI_tuong!$B$4,"balanced"))</f>
        <v/>
      </c>
      <c r="I54" t="inlineStr">
        <is>
          <t>attrition</t>
        </is>
      </c>
      <c r="J54">
        <f>OR($F$54,AND(AI_ho_so_anh_xa!$B$6="mode",OR(AI_ho_so_anh_xa!$C$6="Weekly",AI_ho_so_anh_xa!$C$6="Operation")))</f>
        <v/>
      </c>
      <c r="K54" t="b">
        <v>1</v>
      </c>
      <c r="L54">
        <f>IF($J$54,$H$54,"balanced")</f>
        <v/>
      </c>
      <c r="M54" t="inlineStr">
        <is>
          <t>attrition</t>
        </is>
      </c>
      <c r="N54">
        <f>IF(OR($E$54="",$G$54),"balanced",IF(OR($E$54="*",ISNUMBER(FIND(";"&amp;$L$54&amp;";",";"&amp;$E$54&amp;";"))),$L$54,IF(ISNUMBER(FIND(";"&amp;"balanced"&amp;";",";"&amp;$E$54&amp;";")),"balanced",LEFT($E$54,FIND(";",$E$54&amp;";")-1))))</f>
        <v/>
      </c>
      <c r="O54" t="inlineStr">
        <is>
          <t>attrition</t>
        </is>
      </c>
      <c r="P54">
        <f>IF(OR($E$54="",$G$54),"KHONG_CHIEN_THUAT",IF(NOT($J$54),IF($H$54="balanced","GIU","CHE_DO_BO_QUA"),IF($N$54=$H$54,"GIU","HO_SO_GHI_DE")))</f>
        <v/>
      </c>
      <c r="Q54" t="inlineStr">
        <is>
          <t>Sim/AI/ConquestAi.P28.cs TickLayered + Sim/AI/Commander.cs AllowedTactic (goal.Escort, kessler)</t>
        </is>
      </c>
      <c r="R54" t="inlineStr"/>
    </row>
    <row r="55">
      <c r="A55" t="inlineStr">
        <is>
          <t>goal.Escort/orlov</t>
        </is>
      </c>
      <c r="B55" t="inlineStr">
        <is>
          <t>goal.Escort</t>
        </is>
      </c>
      <c r="C55" t="inlineStr">
        <is>
          <t>orlov</t>
        </is>
      </c>
      <c r="D55">
        <f>AI_ho_so_anh_xa!$D$6</f>
        <v/>
      </c>
      <c r="E55">
        <f>INDEX(AI_ho_so_che_do!$B$2:$B$21,MATCH($D$55,AI_ho_so_che_do!$A$2:$A$21,0))&amp;""</f>
        <v/>
      </c>
      <c r="F55">
        <f>INDEX(AI_ho_so_che_do!$P$2:$P$21,MATCH($D$55,AI_ho_so_che_do!$A$2:$A$21,0))=TRUE</f>
        <v/>
      </c>
      <c r="G55">
        <f>ISNUMBER(FIND(";noGeneralTactic;",";"&amp;INDEX(AI_ho_so_che_do!$O$2:$O$21,MATCH($D$55,AI_ho_so_che_do!$A$2:$A$21,0))&amp;";"))</f>
        <v/>
      </c>
      <c r="H55">
        <f>IF(AI_tuong!$B$7&amp;""&lt;&gt;"",AI_tuong!$B$7,IF(AI_tuong!$B$4&amp;""&lt;&gt;"",AI_tuong!$B$4,"balanced"))</f>
        <v/>
      </c>
      <c r="I55" t="inlineStr">
        <is>
          <t>firepower</t>
        </is>
      </c>
      <c r="J55">
        <f>OR($F$55,AND(AI_ho_so_anh_xa!$B$6="mode",OR(AI_ho_so_anh_xa!$C$6="Weekly",AI_ho_so_anh_xa!$C$6="Operation")))</f>
        <v/>
      </c>
      <c r="K55" t="b">
        <v>1</v>
      </c>
      <c r="L55">
        <f>IF($J$55,$H$55,"balanced")</f>
        <v/>
      </c>
      <c r="M55" t="inlineStr">
        <is>
          <t>firepower</t>
        </is>
      </c>
      <c r="N55">
        <f>IF(OR($E$55="",$G$55),"balanced",IF(OR($E$55="*",ISNUMBER(FIND(";"&amp;$L$55&amp;";",";"&amp;$E$55&amp;";"))),$L$55,IF(ISNUMBER(FIND(";"&amp;"balanced"&amp;";",";"&amp;$E$55&amp;";")),"balanced",LEFT($E$55,FIND(";",$E$55&amp;";")-1))))</f>
        <v/>
      </c>
      <c r="O55" t="inlineStr">
        <is>
          <t>firepower</t>
        </is>
      </c>
      <c r="P55">
        <f>IF(OR($E$55="",$G$55),"KHONG_CHIEN_THUAT",IF(NOT($J$55),IF($H$55="balanced","GIU","CHE_DO_BO_QUA"),IF($N$55=$H$55,"GIU","HO_SO_GHI_DE")))</f>
        <v/>
      </c>
      <c r="Q55" t="inlineStr">
        <is>
          <t>Sim/AI/ConquestAi.P28.cs TickLayered + Sim/AI/Commander.cs AllowedTactic (goal.Escort, orlov)</t>
        </is>
      </c>
      <c r="R55" t="inlineStr"/>
    </row>
    <row r="56">
      <c r="A56" t="inlineStr">
        <is>
          <t>goal.Escort/quaden</t>
        </is>
      </c>
      <c r="B56" t="inlineStr">
        <is>
          <t>goal.Escort</t>
        </is>
      </c>
      <c r="C56" t="inlineStr">
        <is>
          <t>quaden</t>
        </is>
      </c>
      <c r="D56">
        <f>AI_ho_so_anh_xa!$D$6</f>
        <v/>
      </c>
      <c r="E56">
        <f>INDEX(AI_ho_so_che_do!$B$2:$B$21,MATCH($D$56,AI_ho_so_che_do!$A$2:$A$21,0))&amp;""</f>
        <v/>
      </c>
      <c r="F56">
        <f>INDEX(AI_ho_so_che_do!$P$2:$P$21,MATCH($D$56,AI_ho_so_che_do!$A$2:$A$21,0))=TRUE</f>
        <v/>
      </c>
      <c r="G56">
        <f>ISNUMBER(FIND(";noGeneralTactic;",";"&amp;INDEX(AI_ho_so_che_do!$O$2:$O$21,MATCH($D$56,AI_ho_so_che_do!$A$2:$A$21,0))&amp;";"))</f>
        <v/>
      </c>
      <c r="H56">
        <f>IF(AI_tuong!$B$8&amp;""&lt;&gt;"",AI_tuong!$B$8,IF(AI_tuong!$B$4&amp;""&lt;&gt;"",AI_tuong!$B$4,"balanced"))</f>
        <v/>
      </c>
      <c r="I56" t="inlineStr">
        <is>
          <t>balanced</t>
        </is>
      </c>
      <c r="J56">
        <f>OR($F$56,AND(AI_ho_so_anh_xa!$B$6="mode",OR(AI_ho_so_anh_xa!$C$6="Weekly",AI_ho_so_anh_xa!$C$6="Operation")))</f>
        <v/>
      </c>
      <c r="K56" t="b">
        <v>1</v>
      </c>
      <c r="L56">
        <f>IF($J$56,$H$56,"balanced")</f>
        <v/>
      </c>
      <c r="M56" t="inlineStr">
        <is>
          <t>balanced</t>
        </is>
      </c>
      <c r="N56">
        <f>IF(OR($E$56="",$G$56),"balanced",IF(OR($E$56="*",ISNUMBER(FIND(";"&amp;$L$56&amp;";",";"&amp;$E$56&amp;";"))),$L$56,IF(ISNUMBER(FIND(";"&amp;"balanced"&amp;";",";"&amp;$E$56&amp;";")),"balanced",LEFT($E$56,FIND(";",$E$56&amp;";")-1))))</f>
        <v/>
      </c>
      <c r="O56" t="inlineStr">
        <is>
          <t>balanced</t>
        </is>
      </c>
      <c r="P56">
        <f>IF(OR($E$56="",$G$56),"KHONG_CHIEN_THUAT",IF(NOT($J$56),IF($H$56="balanced","GIU","CHE_DO_BO_QUA"),IF($N$56=$H$56,"GIU","HO_SO_GHI_DE")))</f>
        <v/>
      </c>
      <c r="Q56" t="inlineStr">
        <is>
          <t>Sim/AI/ConquestAi.P28.cs TickLayered + Sim/AI/Commander.cs AllowedTactic (goal.Escort, quaden)</t>
        </is>
      </c>
      <c r="R56" t="inlineStr"/>
    </row>
    <row r="57">
      <c r="A57" t="inlineStr">
        <is>
          <t>goal.Escort/sen</t>
        </is>
      </c>
      <c r="B57" t="inlineStr">
        <is>
          <t>goal.Escort</t>
        </is>
      </c>
      <c r="C57" t="inlineStr">
        <is>
          <t>sen</t>
        </is>
      </c>
      <c r="D57">
        <f>AI_ho_so_anh_xa!$D$6</f>
        <v/>
      </c>
      <c r="E57">
        <f>INDEX(AI_ho_so_che_do!$B$2:$B$21,MATCH($D$57,AI_ho_so_che_do!$A$2:$A$21,0))&amp;""</f>
        <v/>
      </c>
      <c r="F57">
        <f>INDEX(AI_ho_so_che_do!$P$2:$P$21,MATCH($D$57,AI_ho_so_che_do!$A$2:$A$21,0))=TRUE</f>
        <v/>
      </c>
      <c r="G57">
        <f>ISNUMBER(FIND(";noGeneralTactic;",";"&amp;INDEX(AI_ho_so_che_do!$O$2:$O$21,MATCH($D$57,AI_ho_so_che_do!$A$2:$A$21,0))&amp;";"))</f>
        <v/>
      </c>
      <c r="H57">
        <f>IF(AI_tuong!$B$9&amp;""&lt;&gt;"",AI_tuong!$B$9,IF(AI_tuong!$B$4&amp;""&lt;&gt;"",AI_tuong!$B$4,"balanced"))</f>
        <v/>
      </c>
      <c r="I57" t="inlineStr">
        <is>
          <t>balanced</t>
        </is>
      </c>
      <c r="J57">
        <f>OR($F$57,AND(AI_ho_so_anh_xa!$B$6="mode",OR(AI_ho_so_anh_xa!$C$6="Weekly",AI_ho_so_anh_xa!$C$6="Operation")))</f>
        <v/>
      </c>
      <c r="K57" t="b">
        <v>1</v>
      </c>
      <c r="L57">
        <f>IF($J$57,$H$57,"balanced")</f>
        <v/>
      </c>
      <c r="M57" t="inlineStr">
        <is>
          <t>balanced</t>
        </is>
      </c>
      <c r="N57">
        <f>IF(OR($E$57="",$G$57),"balanced",IF(OR($E$57="*",ISNUMBER(FIND(";"&amp;$L$57&amp;";",";"&amp;$E$57&amp;";"))),$L$57,IF(ISNUMBER(FIND(";"&amp;"balanced"&amp;";",";"&amp;$E$57&amp;";")),"balanced",LEFT($E$57,FIND(";",$E$57&amp;";")-1))))</f>
        <v/>
      </c>
      <c r="O57" t="inlineStr">
        <is>
          <t>balanced</t>
        </is>
      </c>
      <c r="P57">
        <f>IF(OR($E$57="",$G$57),"KHONG_CHIEN_THUAT",IF(NOT($J$57),IF($H$57="balanced","GIU","CHE_DO_BO_QUA"),IF($N$57=$H$57,"GIU","HO_SO_GHI_DE")))</f>
        <v/>
      </c>
      <c r="Q57" t="inlineStr">
        <is>
          <t>Sim/AI/ConquestAi.P28.cs TickLayered + Sim/AI/Commander.cs AllowedTactic (goal.Escort, sen)</t>
        </is>
      </c>
      <c r="R57" t="inlineStr"/>
    </row>
    <row r="58">
      <c r="A58" t="inlineStr">
        <is>
          <t>goal.Escort/thorne</t>
        </is>
      </c>
      <c r="B58" t="inlineStr">
        <is>
          <t>goal.Escort</t>
        </is>
      </c>
      <c r="C58" t="inlineStr">
        <is>
          <t>thorne</t>
        </is>
      </c>
      <c r="D58">
        <f>AI_ho_so_anh_xa!$D$6</f>
        <v/>
      </c>
      <c r="E58">
        <f>INDEX(AI_ho_so_che_do!$B$2:$B$21,MATCH($D$58,AI_ho_so_che_do!$A$2:$A$21,0))&amp;""</f>
        <v/>
      </c>
      <c r="F58">
        <f>INDEX(AI_ho_so_che_do!$P$2:$P$21,MATCH($D$58,AI_ho_so_che_do!$A$2:$A$21,0))=TRUE</f>
        <v/>
      </c>
      <c r="G58">
        <f>ISNUMBER(FIND(";noGeneralTactic;",";"&amp;INDEX(AI_ho_so_che_do!$O$2:$O$21,MATCH($D$58,AI_ho_so_che_do!$A$2:$A$21,0))&amp;";"))</f>
        <v/>
      </c>
      <c r="H58">
        <f>IF(AI_tuong!$B$10&amp;""&lt;&gt;"",AI_tuong!$B$10,IF(AI_tuong!$B$4&amp;""&lt;&gt;"",AI_tuong!$B$4,"balanced"))</f>
        <v/>
      </c>
      <c r="I58" t="inlineStr">
        <is>
          <t>balanced</t>
        </is>
      </c>
      <c r="J58">
        <f>OR($F$58,AND(AI_ho_so_anh_xa!$B$6="mode",OR(AI_ho_so_anh_xa!$C$6="Weekly",AI_ho_so_anh_xa!$C$6="Operation")))</f>
        <v/>
      </c>
      <c r="K58" t="b">
        <v>1</v>
      </c>
      <c r="L58">
        <f>IF($J$58,$H$58,"balanced")</f>
        <v/>
      </c>
      <c r="M58" t="inlineStr">
        <is>
          <t>balanced</t>
        </is>
      </c>
      <c r="N58">
        <f>IF(OR($E$58="",$G$58),"balanced",IF(OR($E$58="*",ISNUMBER(FIND(";"&amp;$L$58&amp;";",";"&amp;$E$58&amp;";"))),$L$58,IF(ISNUMBER(FIND(";"&amp;"balanced"&amp;";",";"&amp;$E$58&amp;";")),"balanced",LEFT($E$58,FIND(";",$E$58&amp;";")-1))))</f>
        <v/>
      </c>
      <c r="O58" t="inlineStr">
        <is>
          <t>balanced</t>
        </is>
      </c>
      <c r="P58">
        <f>IF(OR($E$58="",$G$58),"KHONG_CHIEN_THUAT",IF(NOT($J$58),IF($H$58="balanced","GIU","CHE_DO_BO_QUA"),IF($N$58=$H$58,"GIU","HO_SO_GHI_DE")))</f>
        <v/>
      </c>
      <c r="Q58" t="inlineStr">
        <is>
          <t>Sim/AI/ConquestAi.P28.cs TickLayered + Sim/AI/Commander.cs AllowedTactic (goal.Escort, thorne)</t>
        </is>
      </c>
      <c r="R58" t="inlineStr"/>
    </row>
    <row r="59">
      <c r="A59" t="inlineStr">
        <is>
          <t>goal.Escort/varga</t>
        </is>
      </c>
      <c r="B59" t="inlineStr">
        <is>
          <t>goal.Escort</t>
        </is>
      </c>
      <c r="C59" t="inlineStr">
        <is>
          <t>varga</t>
        </is>
      </c>
      <c r="D59">
        <f>AI_ho_so_anh_xa!$D$6</f>
        <v/>
      </c>
      <c r="E59">
        <f>INDEX(AI_ho_so_che_do!$B$2:$B$21,MATCH($D$59,AI_ho_so_che_do!$A$2:$A$21,0))&amp;""</f>
        <v/>
      </c>
      <c r="F59">
        <f>INDEX(AI_ho_so_che_do!$P$2:$P$21,MATCH($D$59,AI_ho_so_che_do!$A$2:$A$21,0))=TRUE</f>
        <v/>
      </c>
      <c r="G59">
        <f>ISNUMBER(FIND(";noGeneralTactic;",";"&amp;INDEX(AI_ho_so_che_do!$O$2:$O$21,MATCH($D$59,AI_ho_so_che_do!$A$2:$A$21,0))&amp;";"))</f>
        <v/>
      </c>
      <c r="H59">
        <f>IF(AI_tuong!$B$11&amp;""&lt;&gt;"",AI_tuong!$B$11,IF(AI_tuong!$B$4&amp;""&lt;&gt;"",AI_tuong!$B$4,"balanced"))</f>
        <v/>
      </c>
      <c r="I59" t="inlineStr">
        <is>
          <t>breakthrough</t>
        </is>
      </c>
      <c r="J59">
        <f>OR($F$59,AND(AI_ho_so_anh_xa!$B$6="mode",OR(AI_ho_so_anh_xa!$C$6="Weekly",AI_ho_so_anh_xa!$C$6="Operation")))</f>
        <v/>
      </c>
      <c r="K59" t="b">
        <v>1</v>
      </c>
      <c r="L59">
        <f>IF($J$59,$H$59,"balanced")</f>
        <v/>
      </c>
      <c r="M59" t="inlineStr">
        <is>
          <t>breakthrough</t>
        </is>
      </c>
      <c r="N59">
        <f>IF(OR($E$59="",$G$59),"balanced",IF(OR($E$59="*",ISNUMBER(FIND(";"&amp;$L$59&amp;";",";"&amp;$E$59&amp;";"))),$L$59,IF(ISNUMBER(FIND(";"&amp;"balanced"&amp;";",";"&amp;$E$59&amp;";")),"balanced",LEFT($E$59,FIND(";",$E$59&amp;";")-1))))</f>
        <v/>
      </c>
      <c r="O59" t="inlineStr">
        <is>
          <t>breakthrough</t>
        </is>
      </c>
      <c r="P59">
        <f>IF(OR($E$59="",$G$59),"KHONG_CHIEN_THUAT",IF(NOT($J$59),IF($H$59="balanced","GIU","CHE_DO_BO_QUA"),IF($N$59=$H$59,"GIU","HO_SO_GHI_DE")))</f>
        <v/>
      </c>
      <c r="Q59" t="inlineStr">
        <is>
          <t>Sim/AI/ConquestAi.P28.cs TickLayered + Sim/AI/Commander.cs AllowedTactic (goal.Escort, varga)</t>
        </is>
      </c>
      <c r="R59" t="inlineStr"/>
    </row>
    <row r="60">
      <c r="A60" t="inlineStr">
        <is>
          <t>goal.Escort/venn</t>
        </is>
      </c>
      <c r="B60" t="inlineStr">
        <is>
          <t>goal.Escort</t>
        </is>
      </c>
      <c r="C60" t="inlineStr">
        <is>
          <t>venn</t>
        </is>
      </c>
      <c r="D60">
        <f>AI_ho_so_anh_xa!$D$6</f>
        <v/>
      </c>
      <c r="E60">
        <f>INDEX(AI_ho_so_che_do!$B$2:$B$21,MATCH($D$60,AI_ho_so_che_do!$A$2:$A$21,0))&amp;""</f>
        <v/>
      </c>
      <c r="F60">
        <f>INDEX(AI_ho_so_che_do!$P$2:$P$21,MATCH($D$60,AI_ho_so_che_do!$A$2:$A$21,0))=TRUE</f>
        <v/>
      </c>
      <c r="G60">
        <f>ISNUMBER(FIND(";noGeneralTactic;",";"&amp;INDEX(AI_ho_so_che_do!$O$2:$O$21,MATCH($D$60,AI_ho_so_che_do!$A$2:$A$21,0))&amp;";"))</f>
        <v/>
      </c>
      <c r="H60">
        <f>IF(AI_tuong!$B$12&amp;""&lt;&gt;"",AI_tuong!$B$12,IF(AI_tuong!$B$4&amp;""&lt;&gt;"",AI_tuong!$B$4,"balanced"))</f>
        <v/>
      </c>
      <c r="I60" t="inlineStr">
        <is>
          <t>dispersal</t>
        </is>
      </c>
      <c r="J60">
        <f>OR($F$60,AND(AI_ho_so_anh_xa!$B$6="mode",OR(AI_ho_so_anh_xa!$C$6="Weekly",AI_ho_so_anh_xa!$C$6="Operation")))</f>
        <v/>
      </c>
      <c r="K60" t="b">
        <v>1</v>
      </c>
      <c r="L60">
        <f>IF($J$60,$H$60,"balanced")</f>
        <v/>
      </c>
      <c r="M60" t="inlineStr">
        <is>
          <t>dispersal</t>
        </is>
      </c>
      <c r="N60">
        <f>IF(OR($E$60="",$G$60),"balanced",IF(OR($E$60="*",ISNUMBER(FIND(";"&amp;$L$60&amp;";",";"&amp;$E$60&amp;";"))),$L$60,IF(ISNUMBER(FIND(";"&amp;"balanced"&amp;";",";"&amp;$E$60&amp;";")),"balanced",LEFT($E$60,FIND(";",$E$60&amp;";")-1))))</f>
        <v/>
      </c>
      <c r="O60" t="inlineStr">
        <is>
          <t>dispersal</t>
        </is>
      </c>
      <c r="P60">
        <f>IF(OR($E$60="",$G$60),"KHONG_CHIEN_THUAT",IF(NOT($J$60),IF($H$60="balanced","GIU","CHE_DO_BO_QUA"),IF($N$60=$H$60,"GIU","HO_SO_GHI_DE")))</f>
        <v/>
      </c>
      <c r="Q60" t="inlineStr">
        <is>
          <t>Sim/AI/ConquestAi.P28.cs TickLayered + Sim/AI/Commander.cs AllowedTactic (goal.Escort, venn)</t>
        </is>
      </c>
      <c r="R60" t="inlineStr"/>
    </row>
    <row r="61">
      <c r="A61" t="inlineStr">
        <is>
          <t>goal.Escort/wolff</t>
        </is>
      </c>
      <c r="B61" t="inlineStr">
        <is>
          <t>goal.Escort</t>
        </is>
      </c>
      <c r="C61" t="inlineStr">
        <is>
          <t>wolff</t>
        </is>
      </c>
      <c r="D61">
        <f>AI_ho_so_anh_xa!$D$6</f>
        <v/>
      </c>
      <c r="E61">
        <f>INDEX(AI_ho_so_che_do!$B$2:$B$21,MATCH($D$61,AI_ho_so_che_do!$A$2:$A$21,0))&amp;""</f>
        <v/>
      </c>
      <c r="F61">
        <f>INDEX(AI_ho_so_che_do!$P$2:$P$21,MATCH($D$61,AI_ho_so_che_do!$A$2:$A$21,0))=TRUE</f>
        <v/>
      </c>
      <c r="G61">
        <f>ISNUMBER(FIND(";noGeneralTactic;",";"&amp;INDEX(AI_ho_so_che_do!$O$2:$O$21,MATCH($D$61,AI_ho_so_che_do!$A$2:$A$21,0))&amp;";"))</f>
        <v/>
      </c>
      <c r="H61">
        <f>IF(AI_tuong!$B$13&amp;""&lt;&gt;"",AI_tuong!$B$13,IF(AI_tuong!$B$4&amp;""&lt;&gt;"",AI_tuong!$B$4,"balanced"))</f>
        <v/>
      </c>
      <c r="I61" t="inlineStr">
        <is>
          <t>air_superiority</t>
        </is>
      </c>
      <c r="J61">
        <f>OR($F$61,AND(AI_ho_so_anh_xa!$B$6="mode",OR(AI_ho_so_anh_xa!$C$6="Weekly",AI_ho_so_anh_xa!$C$6="Operation")))</f>
        <v/>
      </c>
      <c r="K61" t="b">
        <v>1</v>
      </c>
      <c r="L61">
        <f>IF($J$61,$H$61,"balanced")</f>
        <v/>
      </c>
      <c r="M61" t="inlineStr">
        <is>
          <t>air_superiority</t>
        </is>
      </c>
      <c r="N61">
        <f>IF(OR($E$61="",$G$61),"balanced",IF(OR($E$61="*",ISNUMBER(FIND(";"&amp;$L$61&amp;";",";"&amp;$E$61&amp;";"))),$L$61,IF(ISNUMBER(FIND(";"&amp;"balanced"&amp;";",";"&amp;$E$61&amp;";")),"balanced",LEFT($E$61,FIND(";",$E$61&amp;";")-1))))</f>
        <v/>
      </c>
      <c r="O61" t="inlineStr">
        <is>
          <t>air_superiority</t>
        </is>
      </c>
      <c r="P61">
        <f>IF(OR($E$61="",$G$61),"KHONG_CHIEN_THUAT",IF(NOT($J$61),IF($H$61="balanced","GIU","CHE_DO_BO_QUA"),IF($N$61=$H$61,"GIU","HO_SO_GHI_DE")))</f>
        <v/>
      </c>
      <c r="Q61" t="inlineStr">
        <is>
          <t>Sim/AI/ConquestAi.P28.cs TickLayered + Sim/AI/Commander.cs AllowedTactic (goal.Escort, wolff)</t>
        </is>
      </c>
      <c r="R61" t="inlineStr"/>
    </row>
    <row r="62">
      <c r="A62" t="inlineStr">
        <is>
          <t>goal.Evacuate/aurel</t>
        </is>
      </c>
      <c r="B62" t="inlineStr">
        <is>
          <t>goal.Evacuate</t>
        </is>
      </c>
      <c r="C62" t="inlineStr">
        <is>
          <t>aurel</t>
        </is>
      </c>
      <c r="D62">
        <f>AI_ho_so_anh_xa!$D$7</f>
        <v/>
      </c>
      <c r="E62">
        <f>INDEX(AI_ho_so_che_do!$B$2:$B$21,MATCH($D$62,AI_ho_so_che_do!$A$2:$A$21,0))&amp;""</f>
        <v/>
      </c>
      <c r="F62">
        <f>INDEX(AI_ho_so_che_do!$P$2:$P$21,MATCH($D$62,AI_ho_so_che_do!$A$2:$A$21,0))=TRUE</f>
        <v/>
      </c>
      <c r="G62">
        <f>ISNUMBER(FIND(";noGeneralTactic;",";"&amp;INDEX(AI_ho_so_che_do!$O$2:$O$21,MATCH($D$62,AI_ho_so_che_do!$A$2:$A$21,0))&amp;";"))</f>
        <v/>
      </c>
      <c r="H62">
        <f>IF(AI_tuong!$B$2&amp;""&lt;&gt;"",AI_tuong!$B$2,IF(AI_tuong!$B$4&amp;""&lt;&gt;"",AI_tuong!$B$4,"balanced"))</f>
        <v/>
      </c>
      <c r="I62" t="inlineStr">
        <is>
          <t>all_out</t>
        </is>
      </c>
      <c r="J62">
        <f>OR($F$62,AND(AI_ho_so_anh_xa!$B$7="mode",OR(AI_ho_so_anh_xa!$C$7="Weekly",AI_ho_so_anh_xa!$C$7="Operation")))</f>
        <v/>
      </c>
      <c r="K62" t="b">
        <v>1</v>
      </c>
      <c r="L62">
        <f>IF($J$62,$H$62,"balanced")</f>
        <v/>
      </c>
      <c r="M62" t="inlineStr">
        <is>
          <t>all_out</t>
        </is>
      </c>
      <c r="N62">
        <f>IF(OR($E$62="",$G$62),"balanced",IF(OR($E$62="*",ISNUMBER(FIND(";"&amp;$L$62&amp;";",";"&amp;$E$62&amp;";"))),$L$62,IF(ISNUMBER(FIND(";"&amp;"balanced"&amp;";",";"&amp;$E$62&amp;";")),"balanced",LEFT($E$62,FIND(";",$E$62&amp;";")-1))))</f>
        <v/>
      </c>
      <c r="O62" t="inlineStr">
        <is>
          <t>all_out</t>
        </is>
      </c>
      <c r="P62">
        <f>IF(OR($E$62="",$G$62),"KHONG_CHIEN_THUAT",IF(NOT($J$62),IF($H$62="balanced","GIU","CHE_DO_BO_QUA"),IF($N$62=$H$62,"GIU","HO_SO_GHI_DE")))</f>
        <v/>
      </c>
      <c r="Q62" t="inlineStr">
        <is>
          <t>Sim/AI/ConquestAi.P28.cs TickLayered + Sim/AI/Commander.cs AllowedTactic (goal.Evacuate, aurel)</t>
        </is>
      </c>
      <c r="R62" t="inlineStr"/>
    </row>
    <row r="63">
      <c r="A63" t="inlineStr">
        <is>
          <t>goal.Evacuate/brandt</t>
        </is>
      </c>
      <c r="B63" t="inlineStr">
        <is>
          <t>goal.Evacuate</t>
        </is>
      </c>
      <c r="C63" t="inlineStr">
        <is>
          <t>brandt</t>
        </is>
      </c>
      <c r="D63">
        <f>AI_ho_so_anh_xa!$D$7</f>
        <v/>
      </c>
      <c r="E63">
        <f>INDEX(AI_ho_so_che_do!$B$2:$B$21,MATCH($D$63,AI_ho_so_che_do!$A$2:$A$21,0))&amp;""</f>
        <v/>
      </c>
      <c r="F63">
        <f>INDEX(AI_ho_so_che_do!$P$2:$P$21,MATCH($D$63,AI_ho_so_che_do!$A$2:$A$21,0))=TRUE</f>
        <v/>
      </c>
      <c r="G63">
        <f>ISNUMBER(FIND(";noGeneralTactic;",";"&amp;INDEX(AI_ho_so_che_do!$O$2:$O$21,MATCH($D$63,AI_ho_so_che_do!$A$2:$A$21,0))&amp;";"))</f>
        <v/>
      </c>
      <c r="H63">
        <f>IF(AI_tuong!$B$3&amp;""&lt;&gt;"",AI_tuong!$B$3,IF(AI_tuong!$B$4&amp;""&lt;&gt;"",AI_tuong!$B$4,"balanced"))</f>
        <v/>
      </c>
      <c r="I63" t="inlineStr">
        <is>
          <t>depth</t>
        </is>
      </c>
      <c r="J63">
        <f>OR($F$63,AND(AI_ho_so_anh_xa!$B$7="mode",OR(AI_ho_so_anh_xa!$C$7="Weekly",AI_ho_so_anh_xa!$C$7="Operation")))</f>
        <v/>
      </c>
      <c r="K63" t="b">
        <v>1</v>
      </c>
      <c r="L63">
        <f>IF($J$63,$H$63,"balanced")</f>
        <v/>
      </c>
      <c r="M63" t="inlineStr">
        <is>
          <t>depth</t>
        </is>
      </c>
      <c r="N63">
        <f>IF(OR($E$63="",$G$63),"balanced",IF(OR($E$63="*",ISNUMBER(FIND(";"&amp;$L$63&amp;";",";"&amp;$E$63&amp;";"))),$L$63,IF(ISNUMBER(FIND(";"&amp;"balanced"&amp;";",";"&amp;$E$63&amp;";")),"balanced",LEFT($E$63,FIND(";",$E$63&amp;";")-1))))</f>
        <v/>
      </c>
      <c r="O63" t="inlineStr">
        <is>
          <t>depth</t>
        </is>
      </c>
      <c r="P63">
        <f>IF(OR($E$63="",$G$63),"KHONG_CHIEN_THUAT",IF(NOT($J$63),IF($H$63="balanced","GIU","CHE_DO_BO_QUA"),IF($N$63=$H$63,"GIU","HO_SO_GHI_DE")))</f>
        <v/>
      </c>
      <c r="Q63" t="inlineStr">
        <is>
          <t>Sim/AI/ConquestAi.P28.cs TickLayered + Sim/AI/Commander.cs AllowedTactic (goal.Evacuate, brandt)</t>
        </is>
      </c>
      <c r="R63" t="inlineStr"/>
    </row>
    <row r="64">
      <c r="A64" t="inlineStr">
        <is>
          <t>goal.Evacuate/default</t>
        </is>
      </c>
      <c r="B64" t="inlineStr">
        <is>
          <t>goal.Evacuate</t>
        </is>
      </c>
      <c r="C64" t="inlineStr">
        <is>
          <t>default</t>
        </is>
      </c>
      <c r="D64">
        <f>AI_ho_so_anh_xa!$D$7</f>
        <v/>
      </c>
      <c r="E64">
        <f>INDEX(AI_ho_so_che_do!$B$2:$B$21,MATCH($D$64,AI_ho_so_che_do!$A$2:$A$21,0))&amp;""</f>
        <v/>
      </c>
      <c r="F64">
        <f>INDEX(AI_ho_so_che_do!$P$2:$P$21,MATCH($D$64,AI_ho_so_che_do!$A$2:$A$21,0))=TRUE</f>
        <v/>
      </c>
      <c r="G64">
        <f>ISNUMBER(FIND(";noGeneralTactic;",";"&amp;INDEX(AI_ho_so_che_do!$O$2:$O$21,MATCH($D$64,AI_ho_so_che_do!$A$2:$A$21,0))&amp;";"))</f>
        <v/>
      </c>
      <c r="H64">
        <f>IF(AI_tuong!$B$4&amp;""&lt;&gt;"",AI_tuong!$B$4,IF(AI_tuong!$B$4&amp;""&lt;&gt;"",AI_tuong!$B$4,"balanced"))</f>
        <v/>
      </c>
      <c r="I64" t="inlineStr">
        <is>
          <t>balanced</t>
        </is>
      </c>
      <c r="J64">
        <f>OR($F$64,AND(AI_ho_so_anh_xa!$B$7="mode",OR(AI_ho_so_anh_xa!$C$7="Weekly",AI_ho_so_anh_xa!$C$7="Operation")))</f>
        <v/>
      </c>
      <c r="K64" t="b">
        <v>1</v>
      </c>
      <c r="L64">
        <f>IF($J$64,$H$64,"balanced")</f>
        <v/>
      </c>
      <c r="M64" t="inlineStr">
        <is>
          <t>balanced</t>
        </is>
      </c>
      <c r="N64">
        <f>IF(OR($E$64="",$G$64),"balanced",IF(OR($E$64="*",ISNUMBER(FIND(";"&amp;$L$64&amp;";",";"&amp;$E$64&amp;";"))),$L$64,IF(ISNUMBER(FIND(";"&amp;"balanced"&amp;";",";"&amp;$E$64&amp;";")),"balanced",LEFT($E$64,FIND(";",$E$64&amp;";")-1))))</f>
        <v/>
      </c>
      <c r="O64" t="inlineStr">
        <is>
          <t>balanced</t>
        </is>
      </c>
      <c r="P64">
        <f>IF(OR($E$64="",$G$64),"KHONG_CHIEN_THUAT",IF(NOT($J$64),IF($H$64="balanced","GIU","CHE_DO_BO_QUA"),IF($N$64=$H$64,"GIU","HO_SO_GHI_DE")))</f>
        <v/>
      </c>
      <c r="Q64" t="inlineStr">
        <is>
          <t>Sim/AI/ConquestAi.P28.cs TickLayered + Sim/AI/Commander.cs AllowedTactic (goal.Evacuate, default)</t>
        </is>
      </c>
      <c r="R64" t="inlineStr"/>
    </row>
    <row r="65">
      <c r="A65" t="inlineStr">
        <is>
          <t>goal.Evacuate/hung</t>
        </is>
      </c>
      <c r="B65" t="inlineStr">
        <is>
          <t>goal.Evacuate</t>
        </is>
      </c>
      <c r="C65" t="inlineStr">
        <is>
          <t>hung</t>
        </is>
      </c>
      <c r="D65">
        <f>AI_ho_so_anh_xa!$D$7</f>
        <v/>
      </c>
      <c r="E65">
        <f>INDEX(AI_ho_so_che_do!$B$2:$B$21,MATCH($D$65,AI_ho_so_che_do!$A$2:$A$21,0))&amp;""</f>
        <v/>
      </c>
      <c r="F65">
        <f>INDEX(AI_ho_so_che_do!$P$2:$P$21,MATCH($D$65,AI_ho_so_che_do!$A$2:$A$21,0))=TRUE</f>
        <v/>
      </c>
      <c r="G65">
        <f>ISNUMBER(FIND(";noGeneralTactic;",";"&amp;INDEX(AI_ho_so_che_do!$O$2:$O$21,MATCH($D$65,AI_ho_so_che_do!$A$2:$A$21,0))&amp;";"))</f>
        <v/>
      </c>
      <c r="H65">
        <f>IF(AI_tuong!$B$5&amp;""&lt;&gt;"",AI_tuong!$B$5,IF(AI_tuong!$B$4&amp;""&lt;&gt;"",AI_tuong!$B$4,"balanced"))</f>
        <v/>
      </c>
      <c r="I65" t="inlineStr">
        <is>
          <t>balanced</t>
        </is>
      </c>
      <c r="J65">
        <f>OR($F$65,AND(AI_ho_so_anh_xa!$B$7="mode",OR(AI_ho_so_anh_xa!$C$7="Weekly",AI_ho_so_anh_xa!$C$7="Operation")))</f>
        <v/>
      </c>
      <c r="K65" t="b">
        <v>1</v>
      </c>
      <c r="L65">
        <f>IF($J$65,$H$65,"balanced")</f>
        <v/>
      </c>
      <c r="M65" t="inlineStr">
        <is>
          <t>balanced</t>
        </is>
      </c>
      <c r="N65">
        <f>IF(OR($E$65="",$G$65),"balanced",IF(OR($E$65="*",ISNUMBER(FIND(";"&amp;$L$65&amp;";",";"&amp;$E$65&amp;";"))),$L$65,IF(ISNUMBER(FIND(";"&amp;"balanced"&amp;";",";"&amp;$E$65&amp;";")),"balanced",LEFT($E$65,FIND(";",$E$65&amp;";")-1))))</f>
        <v/>
      </c>
      <c r="O65" t="inlineStr">
        <is>
          <t>balanced</t>
        </is>
      </c>
      <c r="P65">
        <f>IF(OR($E$65="",$G$65),"KHONG_CHIEN_THUAT",IF(NOT($J$65),IF($H$65="balanced","GIU","CHE_DO_BO_QUA"),IF($N$65=$H$65,"GIU","HO_SO_GHI_DE")))</f>
        <v/>
      </c>
      <c r="Q65" t="inlineStr">
        <is>
          <t>Sim/AI/ConquestAi.P28.cs TickLayered + Sim/AI/Commander.cs AllowedTactic (goal.Evacuate, hung)</t>
        </is>
      </c>
      <c r="R65" t="inlineStr"/>
    </row>
    <row r="66">
      <c r="A66" t="inlineStr">
        <is>
          <t>goal.Evacuate/kessler</t>
        </is>
      </c>
      <c r="B66" t="inlineStr">
        <is>
          <t>goal.Evacuate</t>
        </is>
      </c>
      <c r="C66" t="inlineStr">
        <is>
          <t>kessler</t>
        </is>
      </c>
      <c r="D66">
        <f>AI_ho_so_anh_xa!$D$7</f>
        <v/>
      </c>
      <c r="E66">
        <f>INDEX(AI_ho_so_che_do!$B$2:$B$21,MATCH($D$66,AI_ho_so_che_do!$A$2:$A$21,0))&amp;""</f>
        <v/>
      </c>
      <c r="F66">
        <f>INDEX(AI_ho_so_che_do!$P$2:$P$21,MATCH($D$66,AI_ho_so_che_do!$A$2:$A$21,0))=TRUE</f>
        <v/>
      </c>
      <c r="G66">
        <f>ISNUMBER(FIND(";noGeneralTactic;",";"&amp;INDEX(AI_ho_so_che_do!$O$2:$O$21,MATCH($D$66,AI_ho_so_che_do!$A$2:$A$21,0))&amp;";"))</f>
        <v/>
      </c>
      <c r="H66">
        <f>IF(AI_tuong!$B$6&amp;""&lt;&gt;"",AI_tuong!$B$6,IF(AI_tuong!$B$4&amp;""&lt;&gt;"",AI_tuong!$B$4,"balanced"))</f>
        <v/>
      </c>
      <c r="I66" t="inlineStr">
        <is>
          <t>attrition</t>
        </is>
      </c>
      <c r="J66">
        <f>OR($F$66,AND(AI_ho_so_anh_xa!$B$7="mode",OR(AI_ho_so_anh_xa!$C$7="Weekly",AI_ho_so_anh_xa!$C$7="Operation")))</f>
        <v/>
      </c>
      <c r="K66" t="b">
        <v>1</v>
      </c>
      <c r="L66">
        <f>IF($J$66,$H$66,"balanced")</f>
        <v/>
      </c>
      <c r="M66" t="inlineStr">
        <is>
          <t>attrition</t>
        </is>
      </c>
      <c r="N66">
        <f>IF(OR($E$66="",$G$66),"balanced",IF(OR($E$66="*",ISNUMBER(FIND(";"&amp;$L$66&amp;";",";"&amp;$E$66&amp;";"))),$L$66,IF(ISNUMBER(FIND(";"&amp;"balanced"&amp;";",";"&amp;$E$66&amp;";")),"balanced",LEFT($E$66,FIND(";",$E$66&amp;";")-1))))</f>
        <v/>
      </c>
      <c r="O66" t="inlineStr">
        <is>
          <t>attrition</t>
        </is>
      </c>
      <c r="P66">
        <f>IF(OR($E$66="",$G$66),"KHONG_CHIEN_THUAT",IF(NOT($J$66),IF($H$66="balanced","GIU","CHE_DO_BO_QUA"),IF($N$66=$H$66,"GIU","HO_SO_GHI_DE")))</f>
        <v/>
      </c>
      <c r="Q66" t="inlineStr">
        <is>
          <t>Sim/AI/ConquestAi.P28.cs TickLayered + Sim/AI/Commander.cs AllowedTactic (goal.Evacuate, kessler)</t>
        </is>
      </c>
      <c r="R66" t="inlineStr"/>
    </row>
    <row r="67">
      <c r="A67" t="inlineStr">
        <is>
          <t>goal.Evacuate/orlov</t>
        </is>
      </c>
      <c r="B67" t="inlineStr">
        <is>
          <t>goal.Evacuate</t>
        </is>
      </c>
      <c r="C67" t="inlineStr">
        <is>
          <t>orlov</t>
        </is>
      </c>
      <c r="D67">
        <f>AI_ho_so_anh_xa!$D$7</f>
        <v/>
      </c>
      <c r="E67">
        <f>INDEX(AI_ho_so_che_do!$B$2:$B$21,MATCH($D$67,AI_ho_so_che_do!$A$2:$A$21,0))&amp;""</f>
        <v/>
      </c>
      <c r="F67">
        <f>INDEX(AI_ho_so_che_do!$P$2:$P$21,MATCH($D$67,AI_ho_so_che_do!$A$2:$A$21,0))=TRUE</f>
        <v/>
      </c>
      <c r="G67">
        <f>ISNUMBER(FIND(";noGeneralTactic;",";"&amp;INDEX(AI_ho_so_che_do!$O$2:$O$21,MATCH($D$67,AI_ho_so_che_do!$A$2:$A$21,0))&amp;";"))</f>
        <v/>
      </c>
      <c r="H67">
        <f>IF(AI_tuong!$B$7&amp;""&lt;&gt;"",AI_tuong!$B$7,IF(AI_tuong!$B$4&amp;""&lt;&gt;"",AI_tuong!$B$4,"balanced"))</f>
        <v/>
      </c>
      <c r="I67" t="inlineStr">
        <is>
          <t>firepower</t>
        </is>
      </c>
      <c r="J67">
        <f>OR($F$67,AND(AI_ho_so_anh_xa!$B$7="mode",OR(AI_ho_so_anh_xa!$C$7="Weekly",AI_ho_so_anh_xa!$C$7="Operation")))</f>
        <v/>
      </c>
      <c r="K67" t="b">
        <v>1</v>
      </c>
      <c r="L67">
        <f>IF($J$67,$H$67,"balanced")</f>
        <v/>
      </c>
      <c r="M67" t="inlineStr">
        <is>
          <t>firepower</t>
        </is>
      </c>
      <c r="N67">
        <f>IF(OR($E$67="",$G$67),"balanced",IF(OR($E$67="*",ISNUMBER(FIND(";"&amp;$L$67&amp;";",";"&amp;$E$67&amp;";"))),$L$67,IF(ISNUMBER(FIND(";"&amp;"balanced"&amp;";",";"&amp;$E$67&amp;";")),"balanced",LEFT($E$67,FIND(";",$E$67&amp;";")-1))))</f>
        <v/>
      </c>
      <c r="O67" t="inlineStr">
        <is>
          <t>firepower</t>
        </is>
      </c>
      <c r="P67">
        <f>IF(OR($E$67="",$G$67),"KHONG_CHIEN_THUAT",IF(NOT($J$67),IF($H$67="balanced","GIU","CHE_DO_BO_QUA"),IF($N$67=$H$67,"GIU","HO_SO_GHI_DE")))</f>
        <v/>
      </c>
      <c r="Q67" t="inlineStr">
        <is>
          <t>Sim/AI/ConquestAi.P28.cs TickLayered + Sim/AI/Commander.cs AllowedTactic (goal.Evacuate, orlov)</t>
        </is>
      </c>
      <c r="R67" t="inlineStr"/>
    </row>
    <row r="68">
      <c r="A68" t="inlineStr">
        <is>
          <t>goal.Evacuate/quaden</t>
        </is>
      </c>
      <c r="B68" t="inlineStr">
        <is>
          <t>goal.Evacuate</t>
        </is>
      </c>
      <c r="C68" t="inlineStr">
        <is>
          <t>quaden</t>
        </is>
      </c>
      <c r="D68">
        <f>AI_ho_so_anh_xa!$D$7</f>
        <v/>
      </c>
      <c r="E68">
        <f>INDEX(AI_ho_so_che_do!$B$2:$B$21,MATCH($D$68,AI_ho_so_che_do!$A$2:$A$21,0))&amp;""</f>
        <v/>
      </c>
      <c r="F68">
        <f>INDEX(AI_ho_so_che_do!$P$2:$P$21,MATCH($D$68,AI_ho_so_che_do!$A$2:$A$21,0))=TRUE</f>
        <v/>
      </c>
      <c r="G68">
        <f>ISNUMBER(FIND(";noGeneralTactic;",";"&amp;INDEX(AI_ho_so_che_do!$O$2:$O$21,MATCH($D$68,AI_ho_so_che_do!$A$2:$A$21,0))&amp;";"))</f>
        <v/>
      </c>
      <c r="H68">
        <f>IF(AI_tuong!$B$8&amp;""&lt;&gt;"",AI_tuong!$B$8,IF(AI_tuong!$B$4&amp;""&lt;&gt;"",AI_tuong!$B$4,"balanced"))</f>
        <v/>
      </c>
      <c r="I68" t="inlineStr">
        <is>
          <t>balanced</t>
        </is>
      </c>
      <c r="J68">
        <f>OR($F$68,AND(AI_ho_so_anh_xa!$B$7="mode",OR(AI_ho_so_anh_xa!$C$7="Weekly",AI_ho_so_anh_xa!$C$7="Operation")))</f>
        <v/>
      </c>
      <c r="K68" t="b">
        <v>1</v>
      </c>
      <c r="L68">
        <f>IF($J$68,$H$68,"balanced")</f>
        <v/>
      </c>
      <c r="M68" t="inlineStr">
        <is>
          <t>balanced</t>
        </is>
      </c>
      <c r="N68">
        <f>IF(OR($E$68="",$G$68),"balanced",IF(OR($E$68="*",ISNUMBER(FIND(";"&amp;$L$68&amp;";",";"&amp;$E$68&amp;";"))),$L$68,IF(ISNUMBER(FIND(";"&amp;"balanced"&amp;";",";"&amp;$E$68&amp;";")),"balanced",LEFT($E$68,FIND(";",$E$68&amp;";")-1))))</f>
        <v/>
      </c>
      <c r="O68" t="inlineStr">
        <is>
          <t>balanced</t>
        </is>
      </c>
      <c r="P68">
        <f>IF(OR($E$68="",$G$68),"KHONG_CHIEN_THUAT",IF(NOT($J$68),IF($H$68="balanced","GIU","CHE_DO_BO_QUA"),IF($N$68=$H$68,"GIU","HO_SO_GHI_DE")))</f>
        <v/>
      </c>
      <c r="Q68" t="inlineStr">
        <is>
          <t>Sim/AI/ConquestAi.P28.cs TickLayered + Sim/AI/Commander.cs AllowedTactic (goal.Evacuate, quaden)</t>
        </is>
      </c>
      <c r="R68" t="inlineStr"/>
    </row>
    <row r="69">
      <c r="A69" t="inlineStr">
        <is>
          <t>goal.Evacuate/sen</t>
        </is>
      </c>
      <c r="B69" t="inlineStr">
        <is>
          <t>goal.Evacuate</t>
        </is>
      </c>
      <c r="C69" t="inlineStr">
        <is>
          <t>sen</t>
        </is>
      </c>
      <c r="D69">
        <f>AI_ho_so_anh_xa!$D$7</f>
        <v/>
      </c>
      <c r="E69">
        <f>INDEX(AI_ho_so_che_do!$B$2:$B$21,MATCH($D$69,AI_ho_so_che_do!$A$2:$A$21,0))&amp;""</f>
        <v/>
      </c>
      <c r="F69">
        <f>INDEX(AI_ho_so_che_do!$P$2:$P$21,MATCH($D$69,AI_ho_so_che_do!$A$2:$A$21,0))=TRUE</f>
        <v/>
      </c>
      <c r="G69">
        <f>ISNUMBER(FIND(";noGeneralTactic;",";"&amp;INDEX(AI_ho_so_che_do!$O$2:$O$21,MATCH($D$69,AI_ho_so_che_do!$A$2:$A$21,0))&amp;";"))</f>
        <v/>
      </c>
      <c r="H69">
        <f>IF(AI_tuong!$B$9&amp;""&lt;&gt;"",AI_tuong!$B$9,IF(AI_tuong!$B$4&amp;""&lt;&gt;"",AI_tuong!$B$4,"balanced"))</f>
        <v/>
      </c>
      <c r="I69" t="inlineStr">
        <is>
          <t>balanced</t>
        </is>
      </c>
      <c r="J69">
        <f>OR($F$69,AND(AI_ho_so_anh_xa!$B$7="mode",OR(AI_ho_so_anh_xa!$C$7="Weekly",AI_ho_so_anh_xa!$C$7="Operation")))</f>
        <v/>
      </c>
      <c r="K69" t="b">
        <v>1</v>
      </c>
      <c r="L69">
        <f>IF($J$69,$H$69,"balanced")</f>
        <v/>
      </c>
      <c r="M69" t="inlineStr">
        <is>
          <t>balanced</t>
        </is>
      </c>
      <c r="N69">
        <f>IF(OR($E$69="",$G$69),"balanced",IF(OR($E$69="*",ISNUMBER(FIND(";"&amp;$L$69&amp;";",";"&amp;$E$69&amp;";"))),$L$69,IF(ISNUMBER(FIND(";"&amp;"balanced"&amp;";",";"&amp;$E$69&amp;";")),"balanced",LEFT($E$69,FIND(";",$E$69&amp;";")-1))))</f>
        <v/>
      </c>
      <c r="O69" t="inlineStr">
        <is>
          <t>balanced</t>
        </is>
      </c>
      <c r="P69">
        <f>IF(OR($E$69="",$G$69),"KHONG_CHIEN_THUAT",IF(NOT($J$69),IF($H$69="balanced","GIU","CHE_DO_BO_QUA"),IF($N$69=$H$69,"GIU","HO_SO_GHI_DE")))</f>
        <v/>
      </c>
      <c r="Q69" t="inlineStr">
        <is>
          <t>Sim/AI/ConquestAi.P28.cs TickLayered + Sim/AI/Commander.cs AllowedTactic (goal.Evacuate, sen)</t>
        </is>
      </c>
      <c r="R69" t="inlineStr"/>
    </row>
    <row r="70">
      <c r="A70" t="inlineStr">
        <is>
          <t>goal.Evacuate/thorne</t>
        </is>
      </c>
      <c r="B70" t="inlineStr">
        <is>
          <t>goal.Evacuate</t>
        </is>
      </c>
      <c r="C70" t="inlineStr">
        <is>
          <t>thorne</t>
        </is>
      </c>
      <c r="D70">
        <f>AI_ho_so_anh_xa!$D$7</f>
        <v/>
      </c>
      <c r="E70">
        <f>INDEX(AI_ho_so_che_do!$B$2:$B$21,MATCH($D$70,AI_ho_so_che_do!$A$2:$A$21,0))&amp;""</f>
        <v/>
      </c>
      <c r="F70">
        <f>INDEX(AI_ho_so_che_do!$P$2:$P$21,MATCH($D$70,AI_ho_so_che_do!$A$2:$A$21,0))=TRUE</f>
        <v/>
      </c>
      <c r="G70">
        <f>ISNUMBER(FIND(";noGeneralTactic;",";"&amp;INDEX(AI_ho_so_che_do!$O$2:$O$21,MATCH($D$70,AI_ho_so_che_do!$A$2:$A$21,0))&amp;";"))</f>
        <v/>
      </c>
      <c r="H70">
        <f>IF(AI_tuong!$B$10&amp;""&lt;&gt;"",AI_tuong!$B$10,IF(AI_tuong!$B$4&amp;""&lt;&gt;"",AI_tuong!$B$4,"balanced"))</f>
        <v/>
      </c>
      <c r="I70" t="inlineStr">
        <is>
          <t>balanced</t>
        </is>
      </c>
      <c r="J70">
        <f>OR($F$70,AND(AI_ho_so_anh_xa!$B$7="mode",OR(AI_ho_so_anh_xa!$C$7="Weekly",AI_ho_so_anh_xa!$C$7="Operation")))</f>
        <v/>
      </c>
      <c r="K70" t="b">
        <v>1</v>
      </c>
      <c r="L70">
        <f>IF($J$70,$H$70,"balanced")</f>
        <v/>
      </c>
      <c r="M70" t="inlineStr">
        <is>
          <t>balanced</t>
        </is>
      </c>
      <c r="N70">
        <f>IF(OR($E$70="",$G$70),"balanced",IF(OR($E$70="*",ISNUMBER(FIND(";"&amp;$L$70&amp;";",";"&amp;$E$70&amp;";"))),$L$70,IF(ISNUMBER(FIND(";"&amp;"balanced"&amp;";",";"&amp;$E$70&amp;";")),"balanced",LEFT($E$70,FIND(";",$E$70&amp;";")-1))))</f>
        <v/>
      </c>
      <c r="O70" t="inlineStr">
        <is>
          <t>balanced</t>
        </is>
      </c>
      <c r="P70">
        <f>IF(OR($E$70="",$G$70),"KHONG_CHIEN_THUAT",IF(NOT($J$70),IF($H$70="balanced","GIU","CHE_DO_BO_QUA"),IF($N$70=$H$70,"GIU","HO_SO_GHI_DE")))</f>
        <v/>
      </c>
      <c r="Q70" t="inlineStr">
        <is>
          <t>Sim/AI/ConquestAi.P28.cs TickLayered + Sim/AI/Commander.cs AllowedTactic (goal.Evacuate, thorne)</t>
        </is>
      </c>
      <c r="R70" t="inlineStr"/>
    </row>
    <row r="71">
      <c r="A71" t="inlineStr">
        <is>
          <t>goal.Evacuate/varga</t>
        </is>
      </c>
      <c r="B71" t="inlineStr">
        <is>
          <t>goal.Evacuate</t>
        </is>
      </c>
      <c r="C71" t="inlineStr">
        <is>
          <t>varga</t>
        </is>
      </c>
      <c r="D71">
        <f>AI_ho_so_anh_xa!$D$7</f>
        <v/>
      </c>
      <c r="E71">
        <f>INDEX(AI_ho_so_che_do!$B$2:$B$21,MATCH($D$71,AI_ho_so_che_do!$A$2:$A$21,0))&amp;""</f>
        <v/>
      </c>
      <c r="F71">
        <f>INDEX(AI_ho_so_che_do!$P$2:$P$21,MATCH($D$71,AI_ho_so_che_do!$A$2:$A$21,0))=TRUE</f>
        <v/>
      </c>
      <c r="G71">
        <f>ISNUMBER(FIND(";noGeneralTactic;",";"&amp;INDEX(AI_ho_so_che_do!$O$2:$O$21,MATCH($D$71,AI_ho_so_che_do!$A$2:$A$21,0))&amp;";"))</f>
        <v/>
      </c>
      <c r="H71">
        <f>IF(AI_tuong!$B$11&amp;""&lt;&gt;"",AI_tuong!$B$11,IF(AI_tuong!$B$4&amp;""&lt;&gt;"",AI_tuong!$B$4,"balanced"))</f>
        <v/>
      </c>
      <c r="I71" t="inlineStr">
        <is>
          <t>breakthrough</t>
        </is>
      </c>
      <c r="J71">
        <f>OR($F$71,AND(AI_ho_so_anh_xa!$B$7="mode",OR(AI_ho_so_anh_xa!$C$7="Weekly",AI_ho_so_anh_xa!$C$7="Operation")))</f>
        <v/>
      </c>
      <c r="K71" t="b">
        <v>1</v>
      </c>
      <c r="L71">
        <f>IF($J$71,$H$71,"balanced")</f>
        <v/>
      </c>
      <c r="M71" t="inlineStr">
        <is>
          <t>breakthrough</t>
        </is>
      </c>
      <c r="N71">
        <f>IF(OR($E$71="",$G$71),"balanced",IF(OR($E$71="*",ISNUMBER(FIND(";"&amp;$L$71&amp;";",";"&amp;$E$71&amp;";"))),$L$71,IF(ISNUMBER(FIND(";"&amp;"balanced"&amp;";",";"&amp;$E$71&amp;";")),"balanced",LEFT($E$71,FIND(";",$E$71&amp;";")-1))))</f>
        <v/>
      </c>
      <c r="O71" t="inlineStr">
        <is>
          <t>breakthrough</t>
        </is>
      </c>
      <c r="P71">
        <f>IF(OR($E$71="",$G$71),"KHONG_CHIEN_THUAT",IF(NOT($J$71),IF($H$71="balanced","GIU","CHE_DO_BO_QUA"),IF($N$71=$H$71,"GIU","HO_SO_GHI_DE")))</f>
        <v/>
      </c>
      <c r="Q71" t="inlineStr">
        <is>
          <t>Sim/AI/ConquestAi.P28.cs TickLayered + Sim/AI/Commander.cs AllowedTactic (goal.Evacuate, varga)</t>
        </is>
      </c>
      <c r="R71" t="inlineStr"/>
    </row>
    <row r="72">
      <c r="A72" t="inlineStr">
        <is>
          <t>goal.Evacuate/venn</t>
        </is>
      </c>
      <c r="B72" t="inlineStr">
        <is>
          <t>goal.Evacuate</t>
        </is>
      </c>
      <c r="C72" t="inlineStr">
        <is>
          <t>venn</t>
        </is>
      </c>
      <c r="D72">
        <f>AI_ho_so_anh_xa!$D$7</f>
        <v/>
      </c>
      <c r="E72">
        <f>INDEX(AI_ho_so_che_do!$B$2:$B$21,MATCH($D$72,AI_ho_so_che_do!$A$2:$A$21,0))&amp;""</f>
        <v/>
      </c>
      <c r="F72">
        <f>INDEX(AI_ho_so_che_do!$P$2:$P$21,MATCH($D$72,AI_ho_so_che_do!$A$2:$A$21,0))=TRUE</f>
        <v/>
      </c>
      <c r="G72">
        <f>ISNUMBER(FIND(";noGeneralTactic;",";"&amp;INDEX(AI_ho_so_che_do!$O$2:$O$21,MATCH($D$72,AI_ho_so_che_do!$A$2:$A$21,0))&amp;";"))</f>
        <v/>
      </c>
      <c r="H72">
        <f>IF(AI_tuong!$B$12&amp;""&lt;&gt;"",AI_tuong!$B$12,IF(AI_tuong!$B$4&amp;""&lt;&gt;"",AI_tuong!$B$4,"balanced"))</f>
        <v/>
      </c>
      <c r="I72" t="inlineStr">
        <is>
          <t>dispersal</t>
        </is>
      </c>
      <c r="J72">
        <f>OR($F$72,AND(AI_ho_so_anh_xa!$B$7="mode",OR(AI_ho_so_anh_xa!$C$7="Weekly",AI_ho_so_anh_xa!$C$7="Operation")))</f>
        <v/>
      </c>
      <c r="K72" t="b">
        <v>1</v>
      </c>
      <c r="L72">
        <f>IF($J$72,$H$72,"balanced")</f>
        <v/>
      </c>
      <c r="M72" t="inlineStr">
        <is>
          <t>dispersal</t>
        </is>
      </c>
      <c r="N72">
        <f>IF(OR($E$72="",$G$72),"balanced",IF(OR($E$72="*",ISNUMBER(FIND(";"&amp;$L$72&amp;";",";"&amp;$E$72&amp;";"))),$L$72,IF(ISNUMBER(FIND(";"&amp;"balanced"&amp;";",";"&amp;$E$72&amp;";")),"balanced",LEFT($E$72,FIND(";",$E$72&amp;";")-1))))</f>
        <v/>
      </c>
      <c r="O72" t="inlineStr">
        <is>
          <t>dispersal</t>
        </is>
      </c>
      <c r="P72">
        <f>IF(OR($E$72="",$G$72),"KHONG_CHIEN_THUAT",IF(NOT($J$72),IF($H$72="balanced","GIU","CHE_DO_BO_QUA"),IF($N$72=$H$72,"GIU","HO_SO_GHI_DE")))</f>
        <v/>
      </c>
      <c r="Q72" t="inlineStr">
        <is>
          <t>Sim/AI/ConquestAi.P28.cs TickLayered + Sim/AI/Commander.cs AllowedTactic (goal.Evacuate, venn)</t>
        </is>
      </c>
      <c r="R72" t="inlineStr"/>
    </row>
    <row r="73">
      <c r="A73" t="inlineStr">
        <is>
          <t>goal.Evacuate/wolff</t>
        </is>
      </c>
      <c r="B73" t="inlineStr">
        <is>
          <t>goal.Evacuate</t>
        </is>
      </c>
      <c r="C73" t="inlineStr">
        <is>
          <t>wolff</t>
        </is>
      </c>
      <c r="D73">
        <f>AI_ho_so_anh_xa!$D$7</f>
        <v/>
      </c>
      <c r="E73">
        <f>INDEX(AI_ho_so_che_do!$B$2:$B$21,MATCH($D$73,AI_ho_so_che_do!$A$2:$A$21,0))&amp;""</f>
        <v/>
      </c>
      <c r="F73">
        <f>INDEX(AI_ho_so_che_do!$P$2:$P$21,MATCH($D$73,AI_ho_so_che_do!$A$2:$A$21,0))=TRUE</f>
        <v/>
      </c>
      <c r="G73">
        <f>ISNUMBER(FIND(";noGeneralTactic;",";"&amp;INDEX(AI_ho_so_che_do!$O$2:$O$21,MATCH($D$73,AI_ho_so_che_do!$A$2:$A$21,0))&amp;";"))</f>
        <v/>
      </c>
      <c r="H73">
        <f>IF(AI_tuong!$B$13&amp;""&lt;&gt;"",AI_tuong!$B$13,IF(AI_tuong!$B$4&amp;""&lt;&gt;"",AI_tuong!$B$4,"balanced"))</f>
        <v/>
      </c>
      <c r="I73" t="inlineStr">
        <is>
          <t>air_superiority</t>
        </is>
      </c>
      <c r="J73">
        <f>OR($F$73,AND(AI_ho_so_anh_xa!$B$7="mode",OR(AI_ho_so_anh_xa!$C$7="Weekly",AI_ho_so_anh_xa!$C$7="Operation")))</f>
        <v/>
      </c>
      <c r="K73" t="b">
        <v>1</v>
      </c>
      <c r="L73">
        <f>IF($J$73,$H$73,"balanced")</f>
        <v/>
      </c>
      <c r="M73" t="inlineStr">
        <is>
          <t>air_superiority</t>
        </is>
      </c>
      <c r="N73">
        <f>IF(OR($E$73="",$G$73),"balanced",IF(OR($E$73="*",ISNUMBER(FIND(";"&amp;$L$73&amp;";",";"&amp;$E$73&amp;";"))),$L$73,IF(ISNUMBER(FIND(";"&amp;"balanced"&amp;";",";"&amp;$E$73&amp;";")),"balanced",LEFT($E$73,FIND(";",$E$73&amp;";")-1))))</f>
        <v/>
      </c>
      <c r="O73" t="inlineStr">
        <is>
          <t>air_superiority</t>
        </is>
      </c>
      <c r="P73">
        <f>IF(OR($E$73="",$G$73),"KHONG_CHIEN_THUAT",IF(NOT($J$73),IF($H$73="balanced","GIU","CHE_DO_BO_QUA"),IF($N$73=$H$73,"GIU","HO_SO_GHI_DE")))</f>
        <v/>
      </c>
      <c r="Q73" t="inlineStr">
        <is>
          <t>Sim/AI/ConquestAi.P28.cs TickLayered + Sim/AI/Commander.cs AllowedTactic (goal.Evacuate, wolff)</t>
        </is>
      </c>
      <c r="R73" t="inlineStr"/>
    </row>
    <row r="74">
      <c r="A74" t="inlineStr">
        <is>
          <t>goal.Hold/aurel</t>
        </is>
      </c>
      <c r="B74" t="inlineStr">
        <is>
          <t>goal.Hold</t>
        </is>
      </c>
      <c r="C74" t="inlineStr">
        <is>
          <t>aurel</t>
        </is>
      </c>
      <c r="D74">
        <f>AI_ho_so_anh_xa!$D$8</f>
        <v/>
      </c>
      <c r="E74">
        <f>INDEX(AI_ho_so_che_do!$B$2:$B$21,MATCH($D$74,AI_ho_so_che_do!$A$2:$A$21,0))&amp;""</f>
        <v/>
      </c>
      <c r="F74">
        <f>INDEX(AI_ho_so_che_do!$P$2:$P$21,MATCH($D$74,AI_ho_so_che_do!$A$2:$A$21,0))=TRUE</f>
        <v/>
      </c>
      <c r="G74">
        <f>ISNUMBER(FIND(";noGeneralTactic;",";"&amp;INDEX(AI_ho_so_che_do!$O$2:$O$21,MATCH($D$74,AI_ho_so_che_do!$A$2:$A$21,0))&amp;";"))</f>
        <v/>
      </c>
      <c r="H74">
        <f>IF(AI_tuong!$B$2&amp;""&lt;&gt;"",AI_tuong!$B$2,IF(AI_tuong!$B$4&amp;""&lt;&gt;"",AI_tuong!$B$4,"balanced"))</f>
        <v/>
      </c>
      <c r="I74" t="inlineStr">
        <is>
          <t>all_out</t>
        </is>
      </c>
      <c r="J74">
        <f>OR($F$74,AND(AI_ho_so_anh_xa!$B$8="mode",OR(AI_ho_so_anh_xa!$C$8="Weekly",AI_ho_so_anh_xa!$C$8="Operation")))</f>
        <v/>
      </c>
      <c r="K74" t="b">
        <v>1</v>
      </c>
      <c r="L74">
        <f>IF($J$74,$H$74,"balanced")</f>
        <v/>
      </c>
      <c r="M74" t="inlineStr">
        <is>
          <t>all_out</t>
        </is>
      </c>
      <c r="N74">
        <f>IF(OR($E$74="",$G$74),"balanced",IF(OR($E$74="*",ISNUMBER(FIND(";"&amp;$L$74&amp;";",";"&amp;$E$74&amp;";"))),$L$74,IF(ISNUMBER(FIND(";"&amp;"balanced"&amp;";",";"&amp;$E$74&amp;";")),"balanced",LEFT($E$74,FIND(";",$E$74&amp;";")-1))))</f>
        <v/>
      </c>
      <c r="O74" t="inlineStr">
        <is>
          <t>all_out</t>
        </is>
      </c>
      <c r="P74">
        <f>IF(OR($E$74="",$G$74),"KHONG_CHIEN_THUAT",IF(NOT($J$74),IF($H$74="balanced","GIU","CHE_DO_BO_QUA"),IF($N$74=$H$74,"GIU","HO_SO_GHI_DE")))</f>
        <v/>
      </c>
      <c r="Q74" t="inlineStr">
        <is>
          <t>Sim/AI/ConquestAi.P28.cs TickLayered + Sim/AI/Commander.cs AllowedTactic (goal.Hold, aurel)</t>
        </is>
      </c>
      <c r="R74" t="inlineStr"/>
    </row>
    <row r="75">
      <c r="A75" t="inlineStr">
        <is>
          <t>goal.Hold/brandt</t>
        </is>
      </c>
      <c r="B75" t="inlineStr">
        <is>
          <t>goal.Hold</t>
        </is>
      </c>
      <c r="C75" t="inlineStr">
        <is>
          <t>brandt</t>
        </is>
      </c>
      <c r="D75">
        <f>AI_ho_so_anh_xa!$D$8</f>
        <v/>
      </c>
      <c r="E75">
        <f>INDEX(AI_ho_so_che_do!$B$2:$B$21,MATCH($D$75,AI_ho_so_che_do!$A$2:$A$21,0))&amp;""</f>
        <v/>
      </c>
      <c r="F75">
        <f>INDEX(AI_ho_so_che_do!$P$2:$P$21,MATCH($D$75,AI_ho_so_che_do!$A$2:$A$21,0))=TRUE</f>
        <v/>
      </c>
      <c r="G75">
        <f>ISNUMBER(FIND(";noGeneralTactic;",";"&amp;INDEX(AI_ho_so_che_do!$O$2:$O$21,MATCH($D$75,AI_ho_so_che_do!$A$2:$A$21,0))&amp;";"))</f>
        <v/>
      </c>
      <c r="H75">
        <f>IF(AI_tuong!$B$3&amp;""&lt;&gt;"",AI_tuong!$B$3,IF(AI_tuong!$B$4&amp;""&lt;&gt;"",AI_tuong!$B$4,"balanced"))</f>
        <v/>
      </c>
      <c r="I75" t="inlineStr">
        <is>
          <t>depth</t>
        </is>
      </c>
      <c r="J75">
        <f>OR($F$75,AND(AI_ho_so_anh_xa!$B$8="mode",OR(AI_ho_so_anh_xa!$C$8="Weekly",AI_ho_so_anh_xa!$C$8="Operation")))</f>
        <v/>
      </c>
      <c r="K75" t="b">
        <v>1</v>
      </c>
      <c r="L75">
        <f>IF($J$75,$H$75,"balanced")</f>
        <v/>
      </c>
      <c r="M75" t="inlineStr">
        <is>
          <t>depth</t>
        </is>
      </c>
      <c r="N75">
        <f>IF(OR($E$75="",$G$75),"balanced",IF(OR($E$75="*",ISNUMBER(FIND(";"&amp;$L$75&amp;";",";"&amp;$E$75&amp;";"))),$L$75,IF(ISNUMBER(FIND(";"&amp;"balanced"&amp;";",";"&amp;$E$75&amp;";")),"balanced",LEFT($E$75,FIND(";",$E$75&amp;";")-1))))</f>
        <v/>
      </c>
      <c r="O75" t="inlineStr">
        <is>
          <t>depth</t>
        </is>
      </c>
      <c r="P75">
        <f>IF(OR($E$75="",$G$75),"KHONG_CHIEN_THUAT",IF(NOT($J$75),IF($H$75="balanced","GIU","CHE_DO_BO_QUA"),IF($N$75=$H$75,"GIU","HO_SO_GHI_DE")))</f>
        <v/>
      </c>
      <c r="Q75" t="inlineStr">
        <is>
          <t>Sim/AI/ConquestAi.P28.cs TickLayered + Sim/AI/Commander.cs AllowedTactic (goal.Hold, brandt)</t>
        </is>
      </c>
      <c r="R75" t="inlineStr"/>
    </row>
    <row r="76">
      <c r="A76" t="inlineStr">
        <is>
          <t>goal.Hold/default</t>
        </is>
      </c>
      <c r="B76" t="inlineStr">
        <is>
          <t>goal.Hold</t>
        </is>
      </c>
      <c r="C76" t="inlineStr">
        <is>
          <t>default</t>
        </is>
      </c>
      <c r="D76">
        <f>AI_ho_so_anh_xa!$D$8</f>
        <v/>
      </c>
      <c r="E76">
        <f>INDEX(AI_ho_so_che_do!$B$2:$B$21,MATCH($D$76,AI_ho_so_che_do!$A$2:$A$21,0))&amp;""</f>
        <v/>
      </c>
      <c r="F76">
        <f>INDEX(AI_ho_so_che_do!$P$2:$P$21,MATCH($D$76,AI_ho_so_che_do!$A$2:$A$21,0))=TRUE</f>
        <v/>
      </c>
      <c r="G76">
        <f>ISNUMBER(FIND(";noGeneralTactic;",";"&amp;INDEX(AI_ho_so_che_do!$O$2:$O$21,MATCH($D$76,AI_ho_so_che_do!$A$2:$A$21,0))&amp;";"))</f>
        <v/>
      </c>
      <c r="H76">
        <f>IF(AI_tuong!$B$4&amp;""&lt;&gt;"",AI_tuong!$B$4,IF(AI_tuong!$B$4&amp;""&lt;&gt;"",AI_tuong!$B$4,"balanced"))</f>
        <v/>
      </c>
      <c r="I76" t="inlineStr">
        <is>
          <t>balanced</t>
        </is>
      </c>
      <c r="J76">
        <f>OR($F$76,AND(AI_ho_so_anh_xa!$B$8="mode",OR(AI_ho_so_anh_xa!$C$8="Weekly",AI_ho_so_anh_xa!$C$8="Operation")))</f>
        <v/>
      </c>
      <c r="K76" t="b">
        <v>1</v>
      </c>
      <c r="L76">
        <f>IF($J$76,$H$76,"balanced")</f>
        <v/>
      </c>
      <c r="M76" t="inlineStr">
        <is>
          <t>balanced</t>
        </is>
      </c>
      <c r="N76">
        <f>IF(OR($E$76="",$G$76),"balanced",IF(OR($E$76="*",ISNUMBER(FIND(";"&amp;$L$76&amp;";",";"&amp;$E$76&amp;";"))),$L$76,IF(ISNUMBER(FIND(";"&amp;"balanced"&amp;";",";"&amp;$E$76&amp;";")),"balanced",LEFT($E$76,FIND(";",$E$76&amp;";")-1))))</f>
        <v/>
      </c>
      <c r="O76" t="inlineStr">
        <is>
          <t>balanced</t>
        </is>
      </c>
      <c r="P76">
        <f>IF(OR($E$76="",$G$76),"KHONG_CHIEN_THUAT",IF(NOT($J$76),IF($H$76="balanced","GIU","CHE_DO_BO_QUA"),IF($N$76=$H$76,"GIU","HO_SO_GHI_DE")))</f>
        <v/>
      </c>
      <c r="Q76" t="inlineStr">
        <is>
          <t>Sim/AI/ConquestAi.P28.cs TickLayered + Sim/AI/Commander.cs AllowedTactic (goal.Hold, default)</t>
        </is>
      </c>
      <c r="R76" t="inlineStr"/>
    </row>
    <row r="77">
      <c r="A77" t="inlineStr">
        <is>
          <t>goal.Hold/hung</t>
        </is>
      </c>
      <c r="B77" t="inlineStr">
        <is>
          <t>goal.Hold</t>
        </is>
      </c>
      <c r="C77" t="inlineStr">
        <is>
          <t>hung</t>
        </is>
      </c>
      <c r="D77">
        <f>AI_ho_so_anh_xa!$D$8</f>
        <v/>
      </c>
      <c r="E77">
        <f>INDEX(AI_ho_so_che_do!$B$2:$B$21,MATCH($D$77,AI_ho_so_che_do!$A$2:$A$21,0))&amp;""</f>
        <v/>
      </c>
      <c r="F77">
        <f>INDEX(AI_ho_so_che_do!$P$2:$P$21,MATCH($D$77,AI_ho_so_che_do!$A$2:$A$21,0))=TRUE</f>
        <v/>
      </c>
      <c r="G77">
        <f>ISNUMBER(FIND(";noGeneralTactic;",";"&amp;INDEX(AI_ho_so_che_do!$O$2:$O$21,MATCH($D$77,AI_ho_so_che_do!$A$2:$A$21,0))&amp;";"))</f>
        <v/>
      </c>
      <c r="H77">
        <f>IF(AI_tuong!$B$5&amp;""&lt;&gt;"",AI_tuong!$B$5,IF(AI_tuong!$B$4&amp;""&lt;&gt;"",AI_tuong!$B$4,"balanced"))</f>
        <v/>
      </c>
      <c r="I77" t="inlineStr">
        <is>
          <t>balanced</t>
        </is>
      </c>
      <c r="J77">
        <f>OR($F$77,AND(AI_ho_so_anh_xa!$B$8="mode",OR(AI_ho_so_anh_xa!$C$8="Weekly",AI_ho_so_anh_xa!$C$8="Operation")))</f>
        <v/>
      </c>
      <c r="K77" t="b">
        <v>1</v>
      </c>
      <c r="L77">
        <f>IF($J$77,$H$77,"balanced")</f>
        <v/>
      </c>
      <c r="M77" t="inlineStr">
        <is>
          <t>balanced</t>
        </is>
      </c>
      <c r="N77">
        <f>IF(OR($E$77="",$G$77),"balanced",IF(OR($E$77="*",ISNUMBER(FIND(";"&amp;$L$77&amp;";",";"&amp;$E$77&amp;";"))),$L$77,IF(ISNUMBER(FIND(";"&amp;"balanced"&amp;";",";"&amp;$E$77&amp;";")),"balanced",LEFT($E$77,FIND(";",$E$77&amp;";")-1))))</f>
        <v/>
      </c>
      <c r="O77" t="inlineStr">
        <is>
          <t>balanced</t>
        </is>
      </c>
      <c r="P77">
        <f>IF(OR($E$77="",$G$77),"KHONG_CHIEN_THUAT",IF(NOT($J$77),IF($H$77="balanced","GIU","CHE_DO_BO_QUA"),IF($N$77=$H$77,"GIU","HO_SO_GHI_DE")))</f>
        <v/>
      </c>
      <c r="Q77" t="inlineStr">
        <is>
          <t>Sim/AI/ConquestAi.P28.cs TickLayered + Sim/AI/Commander.cs AllowedTactic (goal.Hold, hung)</t>
        </is>
      </c>
      <c r="R77" t="inlineStr"/>
    </row>
    <row r="78">
      <c r="A78" t="inlineStr">
        <is>
          <t>goal.Hold/kessler</t>
        </is>
      </c>
      <c r="B78" t="inlineStr">
        <is>
          <t>goal.Hold</t>
        </is>
      </c>
      <c r="C78" t="inlineStr">
        <is>
          <t>kessler</t>
        </is>
      </c>
      <c r="D78">
        <f>AI_ho_so_anh_xa!$D$8</f>
        <v/>
      </c>
      <c r="E78">
        <f>INDEX(AI_ho_so_che_do!$B$2:$B$21,MATCH($D$78,AI_ho_so_che_do!$A$2:$A$21,0))&amp;""</f>
        <v/>
      </c>
      <c r="F78">
        <f>INDEX(AI_ho_so_che_do!$P$2:$P$21,MATCH($D$78,AI_ho_so_che_do!$A$2:$A$21,0))=TRUE</f>
        <v/>
      </c>
      <c r="G78">
        <f>ISNUMBER(FIND(";noGeneralTactic;",";"&amp;INDEX(AI_ho_so_che_do!$O$2:$O$21,MATCH($D$78,AI_ho_so_che_do!$A$2:$A$21,0))&amp;";"))</f>
        <v/>
      </c>
      <c r="H78">
        <f>IF(AI_tuong!$B$6&amp;""&lt;&gt;"",AI_tuong!$B$6,IF(AI_tuong!$B$4&amp;""&lt;&gt;"",AI_tuong!$B$4,"balanced"))</f>
        <v/>
      </c>
      <c r="I78" t="inlineStr">
        <is>
          <t>attrition</t>
        </is>
      </c>
      <c r="J78">
        <f>OR($F$78,AND(AI_ho_so_anh_xa!$B$8="mode",OR(AI_ho_so_anh_xa!$C$8="Weekly",AI_ho_so_anh_xa!$C$8="Operation")))</f>
        <v/>
      </c>
      <c r="K78" t="b">
        <v>1</v>
      </c>
      <c r="L78">
        <f>IF($J$78,$H$78,"balanced")</f>
        <v/>
      </c>
      <c r="M78" t="inlineStr">
        <is>
          <t>attrition</t>
        </is>
      </c>
      <c r="N78">
        <f>IF(OR($E$78="",$G$78),"balanced",IF(OR($E$78="*",ISNUMBER(FIND(";"&amp;$L$78&amp;";",";"&amp;$E$78&amp;";"))),$L$78,IF(ISNUMBER(FIND(";"&amp;"balanced"&amp;";",";"&amp;$E$78&amp;";")),"balanced",LEFT($E$78,FIND(";",$E$78&amp;";")-1))))</f>
        <v/>
      </c>
      <c r="O78" t="inlineStr">
        <is>
          <t>attrition</t>
        </is>
      </c>
      <c r="P78">
        <f>IF(OR($E$78="",$G$78),"KHONG_CHIEN_THUAT",IF(NOT($J$78),IF($H$78="balanced","GIU","CHE_DO_BO_QUA"),IF($N$78=$H$78,"GIU","HO_SO_GHI_DE")))</f>
        <v/>
      </c>
      <c r="Q78" t="inlineStr">
        <is>
          <t>Sim/AI/ConquestAi.P28.cs TickLayered + Sim/AI/Commander.cs AllowedTactic (goal.Hold, kessler)</t>
        </is>
      </c>
      <c r="R78" t="inlineStr"/>
    </row>
    <row r="79">
      <c r="A79" t="inlineStr">
        <is>
          <t>goal.Hold/orlov</t>
        </is>
      </c>
      <c r="B79" t="inlineStr">
        <is>
          <t>goal.Hold</t>
        </is>
      </c>
      <c r="C79" t="inlineStr">
        <is>
          <t>orlov</t>
        </is>
      </c>
      <c r="D79">
        <f>AI_ho_so_anh_xa!$D$8</f>
        <v/>
      </c>
      <c r="E79">
        <f>INDEX(AI_ho_so_che_do!$B$2:$B$21,MATCH($D$79,AI_ho_so_che_do!$A$2:$A$21,0))&amp;""</f>
        <v/>
      </c>
      <c r="F79">
        <f>INDEX(AI_ho_so_che_do!$P$2:$P$21,MATCH($D$79,AI_ho_so_che_do!$A$2:$A$21,0))=TRUE</f>
        <v/>
      </c>
      <c r="G79">
        <f>ISNUMBER(FIND(";noGeneralTactic;",";"&amp;INDEX(AI_ho_so_che_do!$O$2:$O$21,MATCH($D$79,AI_ho_so_che_do!$A$2:$A$21,0))&amp;";"))</f>
        <v/>
      </c>
      <c r="H79">
        <f>IF(AI_tuong!$B$7&amp;""&lt;&gt;"",AI_tuong!$B$7,IF(AI_tuong!$B$4&amp;""&lt;&gt;"",AI_tuong!$B$4,"balanced"))</f>
        <v/>
      </c>
      <c r="I79" t="inlineStr">
        <is>
          <t>firepower</t>
        </is>
      </c>
      <c r="J79">
        <f>OR($F$79,AND(AI_ho_so_anh_xa!$B$8="mode",OR(AI_ho_so_anh_xa!$C$8="Weekly",AI_ho_so_anh_xa!$C$8="Operation")))</f>
        <v/>
      </c>
      <c r="K79" t="b">
        <v>1</v>
      </c>
      <c r="L79">
        <f>IF($J$79,$H$79,"balanced")</f>
        <v/>
      </c>
      <c r="M79" t="inlineStr">
        <is>
          <t>firepower</t>
        </is>
      </c>
      <c r="N79">
        <f>IF(OR($E$79="",$G$79),"balanced",IF(OR($E$79="*",ISNUMBER(FIND(";"&amp;$L$79&amp;";",";"&amp;$E$79&amp;";"))),$L$79,IF(ISNUMBER(FIND(";"&amp;"balanced"&amp;";",";"&amp;$E$79&amp;";")),"balanced",LEFT($E$79,FIND(";",$E$79&amp;";")-1))))</f>
        <v/>
      </c>
      <c r="O79" t="inlineStr">
        <is>
          <t>firepower</t>
        </is>
      </c>
      <c r="P79">
        <f>IF(OR($E$79="",$G$79),"KHONG_CHIEN_THUAT",IF(NOT($J$79),IF($H$79="balanced","GIU","CHE_DO_BO_QUA"),IF($N$79=$H$79,"GIU","HO_SO_GHI_DE")))</f>
        <v/>
      </c>
      <c r="Q79" t="inlineStr">
        <is>
          <t>Sim/AI/ConquestAi.P28.cs TickLayered + Sim/AI/Commander.cs AllowedTactic (goal.Hold, orlov)</t>
        </is>
      </c>
      <c r="R79" t="inlineStr"/>
    </row>
    <row r="80">
      <c r="A80" t="inlineStr">
        <is>
          <t>goal.Hold/quaden</t>
        </is>
      </c>
      <c r="B80" t="inlineStr">
        <is>
          <t>goal.Hold</t>
        </is>
      </c>
      <c r="C80" t="inlineStr">
        <is>
          <t>quaden</t>
        </is>
      </c>
      <c r="D80">
        <f>AI_ho_so_anh_xa!$D$8</f>
        <v/>
      </c>
      <c r="E80">
        <f>INDEX(AI_ho_so_che_do!$B$2:$B$21,MATCH($D$80,AI_ho_so_che_do!$A$2:$A$21,0))&amp;""</f>
        <v/>
      </c>
      <c r="F80">
        <f>INDEX(AI_ho_so_che_do!$P$2:$P$21,MATCH($D$80,AI_ho_so_che_do!$A$2:$A$21,0))=TRUE</f>
        <v/>
      </c>
      <c r="G80">
        <f>ISNUMBER(FIND(";noGeneralTactic;",";"&amp;INDEX(AI_ho_so_che_do!$O$2:$O$21,MATCH($D$80,AI_ho_so_che_do!$A$2:$A$21,0))&amp;";"))</f>
        <v/>
      </c>
      <c r="H80">
        <f>IF(AI_tuong!$B$8&amp;""&lt;&gt;"",AI_tuong!$B$8,IF(AI_tuong!$B$4&amp;""&lt;&gt;"",AI_tuong!$B$4,"balanced"))</f>
        <v/>
      </c>
      <c r="I80" t="inlineStr">
        <is>
          <t>balanced</t>
        </is>
      </c>
      <c r="J80">
        <f>OR($F$80,AND(AI_ho_so_anh_xa!$B$8="mode",OR(AI_ho_so_anh_xa!$C$8="Weekly",AI_ho_so_anh_xa!$C$8="Operation")))</f>
        <v/>
      </c>
      <c r="K80" t="b">
        <v>1</v>
      </c>
      <c r="L80">
        <f>IF($J$80,$H$80,"balanced")</f>
        <v/>
      </c>
      <c r="M80" t="inlineStr">
        <is>
          <t>balanced</t>
        </is>
      </c>
      <c r="N80">
        <f>IF(OR($E$80="",$G$80),"balanced",IF(OR($E$80="*",ISNUMBER(FIND(";"&amp;$L$80&amp;";",";"&amp;$E$80&amp;";"))),$L$80,IF(ISNUMBER(FIND(";"&amp;"balanced"&amp;";",";"&amp;$E$80&amp;";")),"balanced",LEFT($E$80,FIND(";",$E$80&amp;";")-1))))</f>
        <v/>
      </c>
      <c r="O80" t="inlineStr">
        <is>
          <t>balanced</t>
        </is>
      </c>
      <c r="P80">
        <f>IF(OR($E$80="",$G$80),"KHONG_CHIEN_THUAT",IF(NOT($J$80),IF($H$80="balanced","GIU","CHE_DO_BO_QUA"),IF($N$80=$H$80,"GIU","HO_SO_GHI_DE")))</f>
        <v/>
      </c>
      <c r="Q80" t="inlineStr">
        <is>
          <t>Sim/AI/ConquestAi.P28.cs TickLayered + Sim/AI/Commander.cs AllowedTactic (goal.Hold, quaden)</t>
        </is>
      </c>
      <c r="R80" t="inlineStr"/>
    </row>
    <row r="81">
      <c r="A81" t="inlineStr">
        <is>
          <t>goal.Hold/sen</t>
        </is>
      </c>
      <c r="B81" t="inlineStr">
        <is>
          <t>goal.Hold</t>
        </is>
      </c>
      <c r="C81" t="inlineStr">
        <is>
          <t>sen</t>
        </is>
      </c>
      <c r="D81">
        <f>AI_ho_so_anh_xa!$D$8</f>
        <v/>
      </c>
      <c r="E81">
        <f>INDEX(AI_ho_so_che_do!$B$2:$B$21,MATCH($D$81,AI_ho_so_che_do!$A$2:$A$21,0))&amp;""</f>
        <v/>
      </c>
      <c r="F81">
        <f>INDEX(AI_ho_so_che_do!$P$2:$P$21,MATCH($D$81,AI_ho_so_che_do!$A$2:$A$21,0))=TRUE</f>
        <v/>
      </c>
      <c r="G81">
        <f>ISNUMBER(FIND(";noGeneralTactic;",";"&amp;INDEX(AI_ho_so_che_do!$O$2:$O$21,MATCH($D$81,AI_ho_so_che_do!$A$2:$A$21,0))&amp;";"))</f>
        <v/>
      </c>
      <c r="H81">
        <f>IF(AI_tuong!$B$9&amp;""&lt;&gt;"",AI_tuong!$B$9,IF(AI_tuong!$B$4&amp;""&lt;&gt;"",AI_tuong!$B$4,"balanced"))</f>
        <v/>
      </c>
      <c r="I81" t="inlineStr">
        <is>
          <t>balanced</t>
        </is>
      </c>
      <c r="J81">
        <f>OR($F$81,AND(AI_ho_so_anh_xa!$B$8="mode",OR(AI_ho_so_anh_xa!$C$8="Weekly",AI_ho_so_anh_xa!$C$8="Operation")))</f>
        <v/>
      </c>
      <c r="K81" t="b">
        <v>1</v>
      </c>
      <c r="L81">
        <f>IF($J$81,$H$81,"balanced")</f>
        <v/>
      </c>
      <c r="M81" t="inlineStr">
        <is>
          <t>balanced</t>
        </is>
      </c>
      <c r="N81">
        <f>IF(OR($E$81="",$G$81),"balanced",IF(OR($E$81="*",ISNUMBER(FIND(";"&amp;$L$81&amp;";",";"&amp;$E$81&amp;";"))),$L$81,IF(ISNUMBER(FIND(";"&amp;"balanced"&amp;";",";"&amp;$E$81&amp;";")),"balanced",LEFT($E$81,FIND(";",$E$81&amp;";")-1))))</f>
        <v/>
      </c>
      <c r="O81" t="inlineStr">
        <is>
          <t>balanced</t>
        </is>
      </c>
      <c r="P81">
        <f>IF(OR($E$81="",$G$81),"KHONG_CHIEN_THUAT",IF(NOT($J$81),IF($H$81="balanced","GIU","CHE_DO_BO_QUA"),IF($N$81=$H$81,"GIU","HO_SO_GHI_DE")))</f>
        <v/>
      </c>
      <c r="Q81" t="inlineStr">
        <is>
          <t>Sim/AI/ConquestAi.P28.cs TickLayered + Sim/AI/Commander.cs AllowedTactic (goal.Hold, sen)</t>
        </is>
      </c>
      <c r="R81" t="inlineStr"/>
    </row>
    <row r="82">
      <c r="A82" t="inlineStr">
        <is>
          <t>goal.Hold/thorne</t>
        </is>
      </c>
      <c r="B82" t="inlineStr">
        <is>
          <t>goal.Hold</t>
        </is>
      </c>
      <c r="C82" t="inlineStr">
        <is>
          <t>thorne</t>
        </is>
      </c>
      <c r="D82">
        <f>AI_ho_so_anh_xa!$D$8</f>
        <v/>
      </c>
      <c r="E82">
        <f>INDEX(AI_ho_so_che_do!$B$2:$B$21,MATCH($D$82,AI_ho_so_che_do!$A$2:$A$21,0))&amp;""</f>
        <v/>
      </c>
      <c r="F82">
        <f>INDEX(AI_ho_so_che_do!$P$2:$P$21,MATCH($D$82,AI_ho_so_che_do!$A$2:$A$21,0))=TRUE</f>
        <v/>
      </c>
      <c r="G82">
        <f>ISNUMBER(FIND(";noGeneralTactic;",";"&amp;INDEX(AI_ho_so_che_do!$O$2:$O$21,MATCH($D$82,AI_ho_so_che_do!$A$2:$A$21,0))&amp;";"))</f>
        <v/>
      </c>
      <c r="H82">
        <f>IF(AI_tuong!$B$10&amp;""&lt;&gt;"",AI_tuong!$B$10,IF(AI_tuong!$B$4&amp;""&lt;&gt;"",AI_tuong!$B$4,"balanced"))</f>
        <v/>
      </c>
      <c r="I82" t="inlineStr">
        <is>
          <t>balanced</t>
        </is>
      </c>
      <c r="J82">
        <f>OR($F$82,AND(AI_ho_so_anh_xa!$B$8="mode",OR(AI_ho_so_anh_xa!$C$8="Weekly",AI_ho_so_anh_xa!$C$8="Operation")))</f>
        <v/>
      </c>
      <c r="K82" t="b">
        <v>1</v>
      </c>
      <c r="L82">
        <f>IF($J$82,$H$82,"balanced")</f>
        <v/>
      </c>
      <c r="M82" t="inlineStr">
        <is>
          <t>balanced</t>
        </is>
      </c>
      <c r="N82">
        <f>IF(OR($E$82="",$G$82),"balanced",IF(OR($E$82="*",ISNUMBER(FIND(";"&amp;$L$82&amp;";",";"&amp;$E$82&amp;";"))),$L$82,IF(ISNUMBER(FIND(";"&amp;"balanced"&amp;";",";"&amp;$E$82&amp;";")),"balanced",LEFT($E$82,FIND(";",$E$82&amp;";")-1))))</f>
        <v/>
      </c>
      <c r="O82" t="inlineStr">
        <is>
          <t>balanced</t>
        </is>
      </c>
      <c r="P82">
        <f>IF(OR($E$82="",$G$82),"KHONG_CHIEN_THUAT",IF(NOT($J$82),IF($H$82="balanced","GIU","CHE_DO_BO_QUA"),IF($N$82=$H$82,"GIU","HO_SO_GHI_DE")))</f>
        <v/>
      </c>
      <c r="Q82" t="inlineStr">
        <is>
          <t>Sim/AI/ConquestAi.P28.cs TickLayered + Sim/AI/Commander.cs AllowedTactic (goal.Hold, thorne)</t>
        </is>
      </c>
      <c r="R82" t="inlineStr"/>
    </row>
    <row r="83">
      <c r="A83" t="inlineStr">
        <is>
          <t>goal.Hold/varga</t>
        </is>
      </c>
      <c r="B83" t="inlineStr">
        <is>
          <t>goal.Hold</t>
        </is>
      </c>
      <c r="C83" t="inlineStr">
        <is>
          <t>varga</t>
        </is>
      </c>
      <c r="D83">
        <f>AI_ho_so_anh_xa!$D$8</f>
        <v/>
      </c>
      <c r="E83">
        <f>INDEX(AI_ho_so_che_do!$B$2:$B$21,MATCH($D$83,AI_ho_so_che_do!$A$2:$A$21,0))&amp;""</f>
        <v/>
      </c>
      <c r="F83">
        <f>INDEX(AI_ho_so_che_do!$P$2:$P$21,MATCH($D$83,AI_ho_so_che_do!$A$2:$A$21,0))=TRUE</f>
        <v/>
      </c>
      <c r="G83">
        <f>ISNUMBER(FIND(";noGeneralTactic;",";"&amp;INDEX(AI_ho_so_che_do!$O$2:$O$21,MATCH($D$83,AI_ho_so_che_do!$A$2:$A$21,0))&amp;";"))</f>
        <v/>
      </c>
      <c r="H83">
        <f>IF(AI_tuong!$B$11&amp;""&lt;&gt;"",AI_tuong!$B$11,IF(AI_tuong!$B$4&amp;""&lt;&gt;"",AI_tuong!$B$4,"balanced"))</f>
        <v/>
      </c>
      <c r="I83" t="inlineStr">
        <is>
          <t>breakthrough</t>
        </is>
      </c>
      <c r="J83">
        <f>OR($F$83,AND(AI_ho_so_anh_xa!$B$8="mode",OR(AI_ho_so_anh_xa!$C$8="Weekly",AI_ho_so_anh_xa!$C$8="Operation")))</f>
        <v/>
      </c>
      <c r="K83" t="b">
        <v>1</v>
      </c>
      <c r="L83">
        <f>IF($J$83,$H$83,"balanced")</f>
        <v/>
      </c>
      <c r="M83" t="inlineStr">
        <is>
          <t>breakthrough</t>
        </is>
      </c>
      <c r="N83">
        <f>IF(OR($E$83="",$G$83),"balanced",IF(OR($E$83="*",ISNUMBER(FIND(";"&amp;$L$83&amp;";",";"&amp;$E$83&amp;";"))),$L$83,IF(ISNUMBER(FIND(";"&amp;"balanced"&amp;";",";"&amp;$E$83&amp;";")),"balanced",LEFT($E$83,FIND(";",$E$83&amp;";")-1))))</f>
        <v/>
      </c>
      <c r="O83" t="inlineStr">
        <is>
          <t>breakthrough</t>
        </is>
      </c>
      <c r="P83">
        <f>IF(OR($E$83="",$G$83),"KHONG_CHIEN_THUAT",IF(NOT($J$83),IF($H$83="balanced","GIU","CHE_DO_BO_QUA"),IF($N$83=$H$83,"GIU","HO_SO_GHI_DE")))</f>
        <v/>
      </c>
      <c r="Q83" t="inlineStr">
        <is>
          <t>Sim/AI/ConquestAi.P28.cs TickLayered + Sim/AI/Commander.cs AllowedTactic (goal.Hold, varga)</t>
        </is>
      </c>
      <c r="R83" t="inlineStr"/>
    </row>
    <row r="84">
      <c r="A84" t="inlineStr">
        <is>
          <t>goal.Hold/venn</t>
        </is>
      </c>
      <c r="B84" t="inlineStr">
        <is>
          <t>goal.Hold</t>
        </is>
      </c>
      <c r="C84" t="inlineStr">
        <is>
          <t>venn</t>
        </is>
      </c>
      <c r="D84">
        <f>AI_ho_so_anh_xa!$D$8</f>
        <v/>
      </c>
      <c r="E84">
        <f>INDEX(AI_ho_so_che_do!$B$2:$B$21,MATCH($D$84,AI_ho_so_che_do!$A$2:$A$21,0))&amp;""</f>
        <v/>
      </c>
      <c r="F84">
        <f>INDEX(AI_ho_so_che_do!$P$2:$P$21,MATCH($D$84,AI_ho_so_che_do!$A$2:$A$21,0))=TRUE</f>
        <v/>
      </c>
      <c r="G84">
        <f>ISNUMBER(FIND(";noGeneralTactic;",";"&amp;INDEX(AI_ho_so_che_do!$O$2:$O$21,MATCH($D$84,AI_ho_so_che_do!$A$2:$A$21,0))&amp;";"))</f>
        <v/>
      </c>
      <c r="H84">
        <f>IF(AI_tuong!$B$12&amp;""&lt;&gt;"",AI_tuong!$B$12,IF(AI_tuong!$B$4&amp;""&lt;&gt;"",AI_tuong!$B$4,"balanced"))</f>
        <v/>
      </c>
      <c r="I84" t="inlineStr">
        <is>
          <t>dispersal</t>
        </is>
      </c>
      <c r="J84">
        <f>OR($F$84,AND(AI_ho_so_anh_xa!$B$8="mode",OR(AI_ho_so_anh_xa!$C$8="Weekly",AI_ho_so_anh_xa!$C$8="Operation")))</f>
        <v/>
      </c>
      <c r="K84" t="b">
        <v>1</v>
      </c>
      <c r="L84">
        <f>IF($J$84,$H$84,"balanced")</f>
        <v/>
      </c>
      <c r="M84" t="inlineStr">
        <is>
          <t>dispersal</t>
        </is>
      </c>
      <c r="N84">
        <f>IF(OR($E$84="",$G$84),"balanced",IF(OR($E$84="*",ISNUMBER(FIND(";"&amp;$L$84&amp;";",";"&amp;$E$84&amp;";"))),$L$84,IF(ISNUMBER(FIND(";"&amp;"balanced"&amp;";",";"&amp;$E$84&amp;";")),"balanced",LEFT($E$84,FIND(";",$E$84&amp;";")-1))))</f>
        <v/>
      </c>
      <c r="O84" t="inlineStr">
        <is>
          <t>dispersal</t>
        </is>
      </c>
      <c r="P84">
        <f>IF(OR($E$84="",$G$84),"KHONG_CHIEN_THUAT",IF(NOT($J$84),IF($H$84="balanced","GIU","CHE_DO_BO_QUA"),IF($N$84=$H$84,"GIU","HO_SO_GHI_DE")))</f>
        <v/>
      </c>
      <c r="Q84" t="inlineStr">
        <is>
          <t>Sim/AI/ConquestAi.P28.cs TickLayered + Sim/AI/Commander.cs AllowedTactic (goal.Hold, venn)</t>
        </is>
      </c>
      <c r="R84" t="inlineStr"/>
    </row>
    <row r="85">
      <c r="A85" t="inlineStr">
        <is>
          <t>goal.Hold/wolff</t>
        </is>
      </c>
      <c r="B85" t="inlineStr">
        <is>
          <t>goal.Hold</t>
        </is>
      </c>
      <c r="C85" t="inlineStr">
        <is>
          <t>wolff</t>
        </is>
      </c>
      <c r="D85">
        <f>AI_ho_so_anh_xa!$D$8</f>
        <v/>
      </c>
      <c r="E85">
        <f>INDEX(AI_ho_so_che_do!$B$2:$B$21,MATCH($D$85,AI_ho_so_che_do!$A$2:$A$21,0))&amp;""</f>
        <v/>
      </c>
      <c r="F85">
        <f>INDEX(AI_ho_so_che_do!$P$2:$P$21,MATCH($D$85,AI_ho_so_che_do!$A$2:$A$21,0))=TRUE</f>
        <v/>
      </c>
      <c r="G85">
        <f>ISNUMBER(FIND(";noGeneralTactic;",";"&amp;INDEX(AI_ho_so_che_do!$O$2:$O$21,MATCH($D$85,AI_ho_so_che_do!$A$2:$A$21,0))&amp;";"))</f>
        <v/>
      </c>
      <c r="H85">
        <f>IF(AI_tuong!$B$13&amp;""&lt;&gt;"",AI_tuong!$B$13,IF(AI_tuong!$B$4&amp;""&lt;&gt;"",AI_tuong!$B$4,"balanced"))</f>
        <v/>
      </c>
      <c r="I85" t="inlineStr">
        <is>
          <t>air_superiority</t>
        </is>
      </c>
      <c r="J85">
        <f>OR($F$85,AND(AI_ho_so_anh_xa!$B$8="mode",OR(AI_ho_so_anh_xa!$C$8="Weekly",AI_ho_so_anh_xa!$C$8="Operation")))</f>
        <v/>
      </c>
      <c r="K85" t="b">
        <v>1</v>
      </c>
      <c r="L85">
        <f>IF($J$85,$H$85,"balanced")</f>
        <v/>
      </c>
      <c r="M85" t="inlineStr">
        <is>
          <t>air_superiority</t>
        </is>
      </c>
      <c r="N85">
        <f>IF(OR($E$85="",$G$85),"balanced",IF(OR($E$85="*",ISNUMBER(FIND(";"&amp;$L$85&amp;";",";"&amp;$E$85&amp;";"))),$L$85,IF(ISNUMBER(FIND(";"&amp;"balanced"&amp;";",";"&amp;$E$85&amp;";")),"balanced",LEFT($E$85,FIND(";",$E$85&amp;";")-1))))</f>
        <v/>
      </c>
      <c r="O85" t="inlineStr">
        <is>
          <t>air_superiority</t>
        </is>
      </c>
      <c r="P85">
        <f>IF(OR($E$85="",$G$85),"KHONG_CHIEN_THUAT",IF(NOT($J$85),IF($H$85="balanced","GIU","CHE_DO_BO_QUA"),IF($N$85=$H$85,"GIU","HO_SO_GHI_DE")))</f>
        <v/>
      </c>
      <c r="Q85" t="inlineStr">
        <is>
          <t>Sim/AI/ConquestAi.P28.cs TickLayered + Sim/AI/Commander.cs AllowedTactic (goal.Hold, wolff)</t>
        </is>
      </c>
      <c r="R85" t="inlineStr"/>
    </row>
    <row r="86">
      <c r="A86" t="inlineStr">
        <is>
          <t>goal.Hunt/aurel</t>
        </is>
      </c>
      <c r="B86" t="inlineStr">
        <is>
          <t>goal.Hunt</t>
        </is>
      </c>
      <c r="C86" t="inlineStr">
        <is>
          <t>aurel</t>
        </is>
      </c>
      <c r="D86">
        <f>AI_ho_so_anh_xa!$D$9</f>
        <v/>
      </c>
      <c r="E86">
        <f>INDEX(AI_ho_so_che_do!$B$2:$B$21,MATCH($D$86,AI_ho_so_che_do!$A$2:$A$21,0))&amp;""</f>
        <v/>
      </c>
      <c r="F86">
        <f>INDEX(AI_ho_so_che_do!$P$2:$P$21,MATCH($D$86,AI_ho_so_che_do!$A$2:$A$21,0))=TRUE</f>
        <v/>
      </c>
      <c r="G86">
        <f>ISNUMBER(FIND(";noGeneralTactic;",";"&amp;INDEX(AI_ho_so_che_do!$O$2:$O$21,MATCH($D$86,AI_ho_so_che_do!$A$2:$A$21,0))&amp;";"))</f>
        <v/>
      </c>
      <c r="H86">
        <f>IF(AI_tuong!$B$2&amp;""&lt;&gt;"",AI_tuong!$B$2,IF(AI_tuong!$B$4&amp;""&lt;&gt;"",AI_tuong!$B$4,"balanced"))</f>
        <v/>
      </c>
      <c r="I86" t="inlineStr">
        <is>
          <t>all_out</t>
        </is>
      </c>
      <c r="J86">
        <f>OR($F$86,AND(AI_ho_so_anh_xa!$B$9="mode",OR(AI_ho_so_anh_xa!$C$9="Weekly",AI_ho_so_anh_xa!$C$9="Operation")))</f>
        <v/>
      </c>
      <c r="K86" t="b">
        <v>1</v>
      </c>
      <c r="L86">
        <f>IF($J$86,$H$86,"balanced")</f>
        <v/>
      </c>
      <c r="M86" t="inlineStr">
        <is>
          <t>all_out</t>
        </is>
      </c>
      <c r="N86">
        <f>IF(OR($E$86="",$G$86),"balanced",IF(OR($E$86="*",ISNUMBER(FIND(";"&amp;$L$86&amp;";",";"&amp;$E$86&amp;";"))),$L$86,IF(ISNUMBER(FIND(";"&amp;"balanced"&amp;";",";"&amp;$E$86&amp;";")),"balanced",LEFT($E$86,FIND(";",$E$86&amp;";")-1))))</f>
        <v/>
      </c>
      <c r="O86" t="inlineStr">
        <is>
          <t>all_out</t>
        </is>
      </c>
      <c r="P86">
        <f>IF(OR($E$86="",$G$86),"KHONG_CHIEN_THUAT",IF(NOT($J$86),IF($H$86="balanced","GIU","CHE_DO_BO_QUA"),IF($N$86=$H$86,"GIU","HO_SO_GHI_DE")))</f>
        <v/>
      </c>
      <c r="Q86" t="inlineStr">
        <is>
          <t>Sim/AI/ConquestAi.P28.cs TickLayered + Sim/AI/Commander.cs AllowedTactic (goal.Hunt, aurel)</t>
        </is>
      </c>
      <c r="R86" t="inlineStr"/>
    </row>
    <row r="87">
      <c r="A87" t="inlineStr">
        <is>
          <t>goal.Hunt/brandt</t>
        </is>
      </c>
      <c r="B87" t="inlineStr">
        <is>
          <t>goal.Hunt</t>
        </is>
      </c>
      <c r="C87" t="inlineStr">
        <is>
          <t>brandt</t>
        </is>
      </c>
      <c r="D87">
        <f>AI_ho_so_anh_xa!$D$9</f>
        <v/>
      </c>
      <c r="E87">
        <f>INDEX(AI_ho_so_che_do!$B$2:$B$21,MATCH($D$87,AI_ho_so_che_do!$A$2:$A$21,0))&amp;""</f>
        <v/>
      </c>
      <c r="F87">
        <f>INDEX(AI_ho_so_che_do!$P$2:$P$21,MATCH($D$87,AI_ho_so_che_do!$A$2:$A$21,0))=TRUE</f>
        <v/>
      </c>
      <c r="G87">
        <f>ISNUMBER(FIND(";noGeneralTactic;",";"&amp;INDEX(AI_ho_so_che_do!$O$2:$O$21,MATCH($D$87,AI_ho_so_che_do!$A$2:$A$21,0))&amp;";"))</f>
        <v/>
      </c>
      <c r="H87">
        <f>IF(AI_tuong!$B$3&amp;""&lt;&gt;"",AI_tuong!$B$3,IF(AI_tuong!$B$4&amp;""&lt;&gt;"",AI_tuong!$B$4,"balanced"))</f>
        <v/>
      </c>
      <c r="I87" t="inlineStr">
        <is>
          <t>depth</t>
        </is>
      </c>
      <c r="J87">
        <f>OR($F$87,AND(AI_ho_so_anh_xa!$B$9="mode",OR(AI_ho_so_anh_xa!$C$9="Weekly",AI_ho_so_anh_xa!$C$9="Operation")))</f>
        <v/>
      </c>
      <c r="K87" t="b">
        <v>1</v>
      </c>
      <c r="L87">
        <f>IF($J$87,$H$87,"balanced")</f>
        <v/>
      </c>
      <c r="M87" t="inlineStr">
        <is>
          <t>depth</t>
        </is>
      </c>
      <c r="N87">
        <f>IF(OR($E$87="",$G$87),"balanced",IF(OR($E$87="*",ISNUMBER(FIND(";"&amp;$L$87&amp;";",";"&amp;$E$87&amp;";"))),$L$87,IF(ISNUMBER(FIND(";"&amp;"balanced"&amp;";",";"&amp;$E$87&amp;";")),"balanced",LEFT($E$87,FIND(";",$E$87&amp;";")-1))))</f>
        <v/>
      </c>
      <c r="O87" t="inlineStr">
        <is>
          <t>depth</t>
        </is>
      </c>
      <c r="P87">
        <f>IF(OR($E$87="",$G$87),"KHONG_CHIEN_THUAT",IF(NOT($J$87),IF($H$87="balanced","GIU","CHE_DO_BO_QUA"),IF($N$87=$H$87,"GIU","HO_SO_GHI_DE")))</f>
        <v/>
      </c>
      <c r="Q87" t="inlineStr">
        <is>
          <t>Sim/AI/ConquestAi.P28.cs TickLayered + Sim/AI/Commander.cs AllowedTactic (goal.Hunt, brandt)</t>
        </is>
      </c>
      <c r="R87" t="inlineStr"/>
    </row>
    <row r="88">
      <c r="A88" t="inlineStr">
        <is>
          <t>goal.Hunt/default</t>
        </is>
      </c>
      <c r="B88" t="inlineStr">
        <is>
          <t>goal.Hunt</t>
        </is>
      </c>
      <c r="C88" t="inlineStr">
        <is>
          <t>default</t>
        </is>
      </c>
      <c r="D88">
        <f>AI_ho_so_anh_xa!$D$9</f>
        <v/>
      </c>
      <c r="E88">
        <f>INDEX(AI_ho_so_che_do!$B$2:$B$21,MATCH($D$88,AI_ho_so_che_do!$A$2:$A$21,0))&amp;""</f>
        <v/>
      </c>
      <c r="F88">
        <f>INDEX(AI_ho_so_che_do!$P$2:$P$21,MATCH($D$88,AI_ho_so_che_do!$A$2:$A$21,0))=TRUE</f>
        <v/>
      </c>
      <c r="G88">
        <f>ISNUMBER(FIND(";noGeneralTactic;",";"&amp;INDEX(AI_ho_so_che_do!$O$2:$O$21,MATCH($D$88,AI_ho_so_che_do!$A$2:$A$21,0))&amp;";"))</f>
        <v/>
      </c>
      <c r="H88">
        <f>IF(AI_tuong!$B$4&amp;""&lt;&gt;"",AI_tuong!$B$4,IF(AI_tuong!$B$4&amp;""&lt;&gt;"",AI_tuong!$B$4,"balanced"))</f>
        <v/>
      </c>
      <c r="I88" t="inlineStr">
        <is>
          <t>balanced</t>
        </is>
      </c>
      <c r="J88">
        <f>OR($F$88,AND(AI_ho_so_anh_xa!$B$9="mode",OR(AI_ho_so_anh_xa!$C$9="Weekly",AI_ho_so_anh_xa!$C$9="Operation")))</f>
        <v/>
      </c>
      <c r="K88" t="b">
        <v>1</v>
      </c>
      <c r="L88">
        <f>IF($J$88,$H$88,"balanced")</f>
        <v/>
      </c>
      <c r="M88" t="inlineStr">
        <is>
          <t>balanced</t>
        </is>
      </c>
      <c r="N88">
        <f>IF(OR($E$88="",$G$88),"balanced",IF(OR($E$88="*",ISNUMBER(FIND(";"&amp;$L$88&amp;";",";"&amp;$E$88&amp;";"))),$L$88,IF(ISNUMBER(FIND(";"&amp;"balanced"&amp;";",";"&amp;$E$88&amp;";")),"balanced",LEFT($E$88,FIND(";",$E$88&amp;";")-1))))</f>
        <v/>
      </c>
      <c r="O88" t="inlineStr">
        <is>
          <t>balanced</t>
        </is>
      </c>
      <c r="P88">
        <f>IF(OR($E$88="",$G$88),"KHONG_CHIEN_THUAT",IF(NOT($J$88),IF($H$88="balanced","GIU","CHE_DO_BO_QUA"),IF($N$88=$H$88,"GIU","HO_SO_GHI_DE")))</f>
        <v/>
      </c>
      <c r="Q88" t="inlineStr">
        <is>
          <t>Sim/AI/ConquestAi.P28.cs TickLayered + Sim/AI/Commander.cs AllowedTactic (goal.Hunt, default)</t>
        </is>
      </c>
      <c r="R88" t="inlineStr"/>
    </row>
    <row r="89">
      <c r="A89" t="inlineStr">
        <is>
          <t>goal.Hunt/hung</t>
        </is>
      </c>
      <c r="B89" t="inlineStr">
        <is>
          <t>goal.Hunt</t>
        </is>
      </c>
      <c r="C89" t="inlineStr">
        <is>
          <t>hung</t>
        </is>
      </c>
      <c r="D89">
        <f>AI_ho_so_anh_xa!$D$9</f>
        <v/>
      </c>
      <c r="E89">
        <f>INDEX(AI_ho_so_che_do!$B$2:$B$21,MATCH($D$89,AI_ho_so_che_do!$A$2:$A$21,0))&amp;""</f>
        <v/>
      </c>
      <c r="F89">
        <f>INDEX(AI_ho_so_che_do!$P$2:$P$21,MATCH($D$89,AI_ho_so_che_do!$A$2:$A$21,0))=TRUE</f>
        <v/>
      </c>
      <c r="G89">
        <f>ISNUMBER(FIND(";noGeneralTactic;",";"&amp;INDEX(AI_ho_so_che_do!$O$2:$O$21,MATCH($D$89,AI_ho_so_che_do!$A$2:$A$21,0))&amp;";"))</f>
        <v/>
      </c>
      <c r="H89">
        <f>IF(AI_tuong!$B$5&amp;""&lt;&gt;"",AI_tuong!$B$5,IF(AI_tuong!$B$4&amp;""&lt;&gt;"",AI_tuong!$B$4,"balanced"))</f>
        <v/>
      </c>
      <c r="I89" t="inlineStr">
        <is>
          <t>balanced</t>
        </is>
      </c>
      <c r="J89">
        <f>OR($F$89,AND(AI_ho_so_anh_xa!$B$9="mode",OR(AI_ho_so_anh_xa!$C$9="Weekly",AI_ho_so_anh_xa!$C$9="Operation")))</f>
        <v/>
      </c>
      <c r="K89" t="b">
        <v>1</v>
      </c>
      <c r="L89">
        <f>IF($J$89,$H$89,"balanced")</f>
        <v/>
      </c>
      <c r="M89" t="inlineStr">
        <is>
          <t>balanced</t>
        </is>
      </c>
      <c r="N89">
        <f>IF(OR($E$89="",$G$89),"balanced",IF(OR($E$89="*",ISNUMBER(FIND(";"&amp;$L$89&amp;";",";"&amp;$E$89&amp;";"))),$L$89,IF(ISNUMBER(FIND(";"&amp;"balanced"&amp;";",";"&amp;$E$89&amp;";")),"balanced",LEFT($E$89,FIND(";",$E$89&amp;";")-1))))</f>
        <v/>
      </c>
      <c r="O89" t="inlineStr">
        <is>
          <t>balanced</t>
        </is>
      </c>
      <c r="P89">
        <f>IF(OR($E$89="",$G$89),"KHONG_CHIEN_THUAT",IF(NOT($J$89),IF($H$89="balanced","GIU","CHE_DO_BO_QUA"),IF($N$89=$H$89,"GIU","HO_SO_GHI_DE")))</f>
        <v/>
      </c>
      <c r="Q89" t="inlineStr">
        <is>
          <t>Sim/AI/ConquestAi.P28.cs TickLayered + Sim/AI/Commander.cs AllowedTactic (goal.Hunt, hung)</t>
        </is>
      </c>
      <c r="R89" t="inlineStr"/>
    </row>
    <row r="90">
      <c r="A90" t="inlineStr">
        <is>
          <t>goal.Hunt/kessler</t>
        </is>
      </c>
      <c r="B90" t="inlineStr">
        <is>
          <t>goal.Hunt</t>
        </is>
      </c>
      <c r="C90" t="inlineStr">
        <is>
          <t>kessler</t>
        </is>
      </c>
      <c r="D90">
        <f>AI_ho_so_anh_xa!$D$9</f>
        <v/>
      </c>
      <c r="E90">
        <f>INDEX(AI_ho_so_che_do!$B$2:$B$21,MATCH($D$90,AI_ho_so_che_do!$A$2:$A$21,0))&amp;""</f>
        <v/>
      </c>
      <c r="F90">
        <f>INDEX(AI_ho_so_che_do!$P$2:$P$21,MATCH($D$90,AI_ho_so_che_do!$A$2:$A$21,0))=TRUE</f>
        <v/>
      </c>
      <c r="G90">
        <f>ISNUMBER(FIND(";noGeneralTactic;",";"&amp;INDEX(AI_ho_so_che_do!$O$2:$O$21,MATCH($D$90,AI_ho_so_che_do!$A$2:$A$21,0))&amp;";"))</f>
        <v/>
      </c>
      <c r="H90">
        <f>IF(AI_tuong!$B$6&amp;""&lt;&gt;"",AI_tuong!$B$6,IF(AI_tuong!$B$4&amp;""&lt;&gt;"",AI_tuong!$B$4,"balanced"))</f>
        <v/>
      </c>
      <c r="I90" t="inlineStr">
        <is>
          <t>attrition</t>
        </is>
      </c>
      <c r="J90">
        <f>OR($F$90,AND(AI_ho_so_anh_xa!$B$9="mode",OR(AI_ho_so_anh_xa!$C$9="Weekly",AI_ho_so_anh_xa!$C$9="Operation")))</f>
        <v/>
      </c>
      <c r="K90" t="b">
        <v>1</v>
      </c>
      <c r="L90">
        <f>IF($J$90,$H$90,"balanced")</f>
        <v/>
      </c>
      <c r="M90" t="inlineStr">
        <is>
          <t>attrition</t>
        </is>
      </c>
      <c r="N90">
        <f>IF(OR($E$90="",$G$90),"balanced",IF(OR($E$90="*",ISNUMBER(FIND(";"&amp;$L$90&amp;";",";"&amp;$E$90&amp;";"))),$L$90,IF(ISNUMBER(FIND(";"&amp;"balanced"&amp;";",";"&amp;$E$90&amp;";")),"balanced",LEFT($E$90,FIND(";",$E$90&amp;";")-1))))</f>
        <v/>
      </c>
      <c r="O90" t="inlineStr">
        <is>
          <t>attrition</t>
        </is>
      </c>
      <c r="P90">
        <f>IF(OR($E$90="",$G$90),"KHONG_CHIEN_THUAT",IF(NOT($J$90),IF($H$90="balanced","GIU","CHE_DO_BO_QUA"),IF($N$90=$H$90,"GIU","HO_SO_GHI_DE")))</f>
        <v/>
      </c>
      <c r="Q90" t="inlineStr">
        <is>
          <t>Sim/AI/ConquestAi.P28.cs TickLayered + Sim/AI/Commander.cs AllowedTactic (goal.Hunt, kessler)</t>
        </is>
      </c>
      <c r="R90" t="inlineStr"/>
    </row>
    <row r="91">
      <c r="A91" t="inlineStr">
        <is>
          <t>goal.Hunt/orlov</t>
        </is>
      </c>
      <c r="B91" t="inlineStr">
        <is>
          <t>goal.Hunt</t>
        </is>
      </c>
      <c r="C91" t="inlineStr">
        <is>
          <t>orlov</t>
        </is>
      </c>
      <c r="D91">
        <f>AI_ho_so_anh_xa!$D$9</f>
        <v/>
      </c>
      <c r="E91">
        <f>INDEX(AI_ho_so_che_do!$B$2:$B$21,MATCH($D$91,AI_ho_so_che_do!$A$2:$A$21,0))&amp;""</f>
        <v/>
      </c>
      <c r="F91">
        <f>INDEX(AI_ho_so_che_do!$P$2:$P$21,MATCH($D$91,AI_ho_so_che_do!$A$2:$A$21,0))=TRUE</f>
        <v/>
      </c>
      <c r="G91">
        <f>ISNUMBER(FIND(";noGeneralTactic;",";"&amp;INDEX(AI_ho_so_che_do!$O$2:$O$21,MATCH($D$91,AI_ho_so_che_do!$A$2:$A$21,0))&amp;";"))</f>
        <v/>
      </c>
      <c r="H91">
        <f>IF(AI_tuong!$B$7&amp;""&lt;&gt;"",AI_tuong!$B$7,IF(AI_tuong!$B$4&amp;""&lt;&gt;"",AI_tuong!$B$4,"balanced"))</f>
        <v/>
      </c>
      <c r="I91" t="inlineStr">
        <is>
          <t>firepower</t>
        </is>
      </c>
      <c r="J91">
        <f>OR($F$91,AND(AI_ho_so_anh_xa!$B$9="mode",OR(AI_ho_so_anh_xa!$C$9="Weekly",AI_ho_so_anh_xa!$C$9="Operation")))</f>
        <v/>
      </c>
      <c r="K91" t="b">
        <v>1</v>
      </c>
      <c r="L91">
        <f>IF($J$91,$H$91,"balanced")</f>
        <v/>
      </c>
      <c r="M91" t="inlineStr">
        <is>
          <t>firepower</t>
        </is>
      </c>
      <c r="N91">
        <f>IF(OR($E$91="",$G$91),"balanced",IF(OR($E$91="*",ISNUMBER(FIND(";"&amp;$L$91&amp;";",";"&amp;$E$91&amp;";"))),$L$91,IF(ISNUMBER(FIND(";"&amp;"balanced"&amp;";",";"&amp;$E$91&amp;";")),"balanced",LEFT($E$91,FIND(";",$E$91&amp;";")-1))))</f>
        <v/>
      </c>
      <c r="O91" t="inlineStr">
        <is>
          <t>firepower</t>
        </is>
      </c>
      <c r="P91">
        <f>IF(OR($E$91="",$G$91),"KHONG_CHIEN_THUAT",IF(NOT($J$91),IF($H$91="balanced","GIU","CHE_DO_BO_QUA"),IF($N$91=$H$91,"GIU","HO_SO_GHI_DE")))</f>
        <v/>
      </c>
      <c r="Q91" t="inlineStr">
        <is>
          <t>Sim/AI/ConquestAi.P28.cs TickLayered + Sim/AI/Commander.cs AllowedTactic (goal.Hunt, orlov)</t>
        </is>
      </c>
      <c r="R91" t="inlineStr"/>
    </row>
    <row r="92">
      <c r="A92" t="inlineStr">
        <is>
          <t>goal.Hunt/quaden</t>
        </is>
      </c>
      <c r="B92" t="inlineStr">
        <is>
          <t>goal.Hunt</t>
        </is>
      </c>
      <c r="C92" t="inlineStr">
        <is>
          <t>quaden</t>
        </is>
      </c>
      <c r="D92">
        <f>AI_ho_so_anh_xa!$D$9</f>
        <v/>
      </c>
      <c r="E92">
        <f>INDEX(AI_ho_so_che_do!$B$2:$B$21,MATCH($D$92,AI_ho_so_che_do!$A$2:$A$21,0))&amp;""</f>
        <v/>
      </c>
      <c r="F92">
        <f>INDEX(AI_ho_so_che_do!$P$2:$P$21,MATCH($D$92,AI_ho_so_che_do!$A$2:$A$21,0))=TRUE</f>
        <v/>
      </c>
      <c r="G92">
        <f>ISNUMBER(FIND(";noGeneralTactic;",";"&amp;INDEX(AI_ho_so_che_do!$O$2:$O$21,MATCH($D$92,AI_ho_so_che_do!$A$2:$A$21,0))&amp;";"))</f>
        <v/>
      </c>
      <c r="H92">
        <f>IF(AI_tuong!$B$8&amp;""&lt;&gt;"",AI_tuong!$B$8,IF(AI_tuong!$B$4&amp;""&lt;&gt;"",AI_tuong!$B$4,"balanced"))</f>
        <v/>
      </c>
      <c r="I92" t="inlineStr">
        <is>
          <t>balanced</t>
        </is>
      </c>
      <c r="J92">
        <f>OR($F$92,AND(AI_ho_so_anh_xa!$B$9="mode",OR(AI_ho_so_anh_xa!$C$9="Weekly",AI_ho_so_anh_xa!$C$9="Operation")))</f>
        <v/>
      </c>
      <c r="K92" t="b">
        <v>1</v>
      </c>
      <c r="L92">
        <f>IF($J$92,$H$92,"balanced")</f>
        <v/>
      </c>
      <c r="M92" t="inlineStr">
        <is>
          <t>balanced</t>
        </is>
      </c>
      <c r="N92">
        <f>IF(OR($E$92="",$G$92),"balanced",IF(OR($E$92="*",ISNUMBER(FIND(";"&amp;$L$92&amp;";",";"&amp;$E$92&amp;";"))),$L$92,IF(ISNUMBER(FIND(";"&amp;"balanced"&amp;";",";"&amp;$E$92&amp;";")),"balanced",LEFT($E$92,FIND(";",$E$92&amp;";")-1))))</f>
        <v/>
      </c>
      <c r="O92" t="inlineStr">
        <is>
          <t>balanced</t>
        </is>
      </c>
      <c r="P92">
        <f>IF(OR($E$92="",$G$92),"KHONG_CHIEN_THUAT",IF(NOT($J$92),IF($H$92="balanced","GIU","CHE_DO_BO_QUA"),IF($N$92=$H$92,"GIU","HO_SO_GHI_DE")))</f>
        <v/>
      </c>
      <c r="Q92" t="inlineStr">
        <is>
          <t>Sim/AI/ConquestAi.P28.cs TickLayered + Sim/AI/Commander.cs AllowedTactic (goal.Hunt, quaden)</t>
        </is>
      </c>
      <c r="R92" t="inlineStr"/>
    </row>
    <row r="93">
      <c r="A93" t="inlineStr">
        <is>
          <t>goal.Hunt/sen</t>
        </is>
      </c>
      <c r="B93" t="inlineStr">
        <is>
          <t>goal.Hunt</t>
        </is>
      </c>
      <c r="C93" t="inlineStr">
        <is>
          <t>sen</t>
        </is>
      </c>
      <c r="D93">
        <f>AI_ho_so_anh_xa!$D$9</f>
        <v/>
      </c>
      <c r="E93">
        <f>INDEX(AI_ho_so_che_do!$B$2:$B$21,MATCH($D$93,AI_ho_so_che_do!$A$2:$A$21,0))&amp;""</f>
        <v/>
      </c>
      <c r="F93">
        <f>INDEX(AI_ho_so_che_do!$P$2:$P$21,MATCH($D$93,AI_ho_so_che_do!$A$2:$A$21,0))=TRUE</f>
        <v/>
      </c>
      <c r="G93">
        <f>ISNUMBER(FIND(";noGeneralTactic;",";"&amp;INDEX(AI_ho_so_che_do!$O$2:$O$21,MATCH($D$93,AI_ho_so_che_do!$A$2:$A$21,0))&amp;";"))</f>
        <v/>
      </c>
      <c r="H93">
        <f>IF(AI_tuong!$B$9&amp;""&lt;&gt;"",AI_tuong!$B$9,IF(AI_tuong!$B$4&amp;""&lt;&gt;"",AI_tuong!$B$4,"balanced"))</f>
        <v/>
      </c>
      <c r="I93" t="inlineStr">
        <is>
          <t>balanced</t>
        </is>
      </c>
      <c r="J93">
        <f>OR($F$93,AND(AI_ho_so_anh_xa!$B$9="mode",OR(AI_ho_so_anh_xa!$C$9="Weekly",AI_ho_so_anh_xa!$C$9="Operation")))</f>
        <v/>
      </c>
      <c r="K93" t="b">
        <v>1</v>
      </c>
      <c r="L93">
        <f>IF($J$93,$H$93,"balanced")</f>
        <v/>
      </c>
      <c r="M93" t="inlineStr">
        <is>
          <t>balanced</t>
        </is>
      </c>
      <c r="N93">
        <f>IF(OR($E$93="",$G$93),"balanced",IF(OR($E$93="*",ISNUMBER(FIND(";"&amp;$L$93&amp;";",";"&amp;$E$93&amp;";"))),$L$93,IF(ISNUMBER(FIND(";"&amp;"balanced"&amp;";",";"&amp;$E$93&amp;";")),"balanced",LEFT($E$93,FIND(";",$E$93&amp;";")-1))))</f>
        <v/>
      </c>
      <c r="O93" t="inlineStr">
        <is>
          <t>balanced</t>
        </is>
      </c>
      <c r="P93">
        <f>IF(OR($E$93="",$G$93),"KHONG_CHIEN_THUAT",IF(NOT($J$93),IF($H$93="balanced","GIU","CHE_DO_BO_QUA"),IF($N$93=$H$93,"GIU","HO_SO_GHI_DE")))</f>
        <v/>
      </c>
      <c r="Q93" t="inlineStr">
        <is>
          <t>Sim/AI/ConquestAi.P28.cs TickLayered + Sim/AI/Commander.cs AllowedTactic (goal.Hunt, sen)</t>
        </is>
      </c>
      <c r="R93" t="inlineStr"/>
    </row>
    <row r="94">
      <c r="A94" t="inlineStr">
        <is>
          <t>goal.Hunt/thorne</t>
        </is>
      </c>
      <c r="B94" t="inlineStr">
        <is>
          <t>goal.Hunt</t>
        </is>
      </c>
      <c r="C94" t="inlineStr">
        <is>
          <t>thorne</t>
        </is>
      </c>
      <c r="D94">
        <f>AI_ho_so_anh_xa!$D$9</f>
        <v/>
      </c>
      <c r="E94">
        <f>INDEX(AI_ho_so_che_do!$B$2:$B$21,MATCH($D$94,AI_ho_so_che_do!$A$2:$A$21,0))&amp;""</f>
        <v/>
      </c>
      <c r="F94">
        <f>INDEX(AI_ho_so_che_do!$P$2:$P$21,MATCH($D$94,AI_ho_so_che_do!$A$2:$A$21,0))=TRUE</f>
        <v/>
      </c>
      <c r="G94">
        <f>ISNUMBER(FIND(";noGeneralTactic;",";"&amp;INDEX(AI_ho_so_che_do!$O$2:$O$21,MATCH($D$94,AI_ho_so_che_do!$A$2:$A$21,0))&amp;";"))</f>
        <v/>
      </c>
      <c r="H94">
        <f>IF(AI_tuong!$B$10&amp;""&lt;&gt;"",AI_tuong!$B$10,IF(AI_tuong!$B$4&amp;""&lt;&gt;"",AI_tuong!$B$4,"balanced"))</f>
        <v/>
      </c>
      <c r="I94" t="inlineStr">
        <is>
          <t>balanced</t>
        </is>
      </c>
      <c r="J94">
        <f>OR($F$94,AND(AI_ho_so_anh_xa!$B$9="mode",OR(AI_ho_so_anh_xa!$C$9="Weekly",AI_ho_so_anh_xa!$C$9="Operation")))</f>
        <v/>
      </c>
      <c r="K94" t="b">
        <v>1</v>
      </c>
      <c r="L94">
        <f>IF($J$94,$H$94,"balanced")</f>
        <v/>
      </c>
      <c r="M94" t="inlineStr">
        <is>
          <t>balanced</t>
        </is>
      </c>
      <c r="N94">
        <f>IF(OR($E$94="",$G$94),"balanced",IF(OR($E$94="*",ISNUMBER(FIND(";"&amp;$L$94&amp;";",";"&amp;$E$94&amp;";"))),$L$94,IF(ISNUMBER(FIND(";"&amp;"balanced"&amp;";",";"&amp;$E$94&amp;";")),"balanced",LEFT($E$94,FIND(";",$E$94&amp;";")-1))))</f>
        <v/>
      </c>
      <c r="O94" t="inlineStr">
        <is>
          <t>balanced</t>
        </is>
      </c>
      <c r="P94">
        <f>IF(OR($E$94="",$G$94),"KHONG_CHIEN_THUAT",IF(NOT($J$94),IF($H$94="balanced","GIU","CHE_DO_BO_QUA"),IF($N$94=$H$94,"GIU","HO_SO_GHI_DE")))</f>
        <v/>
      </c>
      <c r="Q94" t="inlineStr">
        <is>
          <t>Sim/AI/ConquestAi.P28.cs TickLayered + Sim/AI/Commander.cs AllowedTactic (goal.Hunt, thorne)</t>
        </is>
      </c>
      <c r="R94" t="inlineStr"/>
    </row>
    <row r="95">
      <c r="A95" t="inlineStr">
        <is>
          <t>goal.Hunt/varga</t>
        </is>
      </c>
      <c r="B95" t="inlineStr">
        <is>
          <t>goal.Hunt</t>
        </is>
      </c>
      <c r="C95" t="inlineStr">
        <is>
          <t>varga</t>
        </is>
      </c>
      <c r="D95">
        <f>AI_ho_so_anh_xa!$D$9</f>
        <v/>
      </c>
      <c r="E95">
        <f>INDEX(AI_ho_so_che_do!$B$2:$B$21,MATCH($D$95,AI_ho_so_che_do!$A$2:$A$21,0))&amp;""</f>
        <v/>
      </c>
      <c r="F95">
        <f>INDEX(AI_ho_so_che_do!$P$2:$P$21,MATCH($D$95,AI_ho_so_che_do!$A$2:$A$21,0))=TRUE</f>
        <v/>
      </c>
      <c r="G95">
        <f>ISNUMBER(FIND(";noGeneralTactic;",";"&amp;INDEX(AI_ho_so_che_do!$O$2:$O$21,MATCH($D$95,AI_ho_so_che_do!$A$2:$A$21,0))&amp;";"))</f>
        <v/>
      </c>
      <c r="H95">
        <f>IF(AI_tuong!$B$11&amp;""&lt;&gt;"",AI_tuong!$B$11,IF(AI_tuong!$B$4&amp;""&lt;&gt;"",AI_tuong!$B$4,"balanced"))</f>
        <v/>
      </c>
      <c r="I95" t="inlineStr">
        <is>
          <t>breakthrough</t>
        </is>
      </c>
      <c r="J95">
        <f>OR($F$95,AND(AI_ho_so_anh_xa!$B$9="mode",OR(AI_ho_so_anh_xa!$C$9="Weekly",AI_ho_so_anh_xa!$C$9="Operation")))</f>
        <v/>
      </c>
      <c r="K95" t="b">
        <v>1</v>
      </c>
      <c r="L95">
        <f>IF($J$95,$H$95,"balanced")</f>
        <v/>
      </c>
      <c r="M95" t="inlineStr">
        <is>
          <t>breakthrough</t>
        </is>
      </c>
      <c r="N95">
        <f>IF(OR($E$95="",$G$95),"balanced",IF(OR($E$95="*",ISNUMBER(FIND(";"&amp;$L$95&amp;";",";"&amp;$E$95&amp;";"))),$L$95,IF(ISNUMBER(FIND(";"&amp;"balanced"&amp;";",";"&amp;$E$95&amp;";")),"balanced",LEFT($E$95,FIND(";",$E$95&amp;";")-1))))</f>
        <v/>
      </c>
      <c r="O95" t="inlineStr">
        <is>
          <t>breakthrough</t>
        </is>
      </c>
      <c r="P95">
        <f>IF(OR($E$95="",$G$95),"KHONG_CHIEN_THUAT",IF(NOT($J$95),IF($H$95="balanced","GIU","CHE_DO_BO_QUA"),IF($N$95=$H$95,"GIU","HO_SO_GHI_DE")))</f>
        <v/>
      </c>
      <c r="Q95" t="inlineStr">
        <is>
          <t>Sim/AI/ConquestAi.P28.cs TickLayered + Sim/AI/Commander.cs AllowedTactic (goal.Hunt, varga)</t>
        </is>
      </c>
      <c r="R95" t="inlineStr"/>
    </row>
    <row r="96">
      <c r="A96" t="inlineStr">
        <is>
          <t>goal.Hunt/venn</t>
        </is>
      </c>
      <c r="B96" t="inlineStr">
        <is>
          <t>goal.Hunt</t>
        </is>
      </c>
      <c r="C96" t="inlineStr">
        <is>
          <t>venn</t>
        </is>
      </c>
      <c r="D96">
        <f>AI_ho_so_anh_xa!$D$9</f>
        <v/>
      </c>
      <c r="E96">
        <f>INDEX(AI_ho_so_che_do!$B$2:$B$21,MATCH($D$96,AI_ho_so_che_do!$A$2:$A$21,0))&amp;""</f>
        <v/>
      </c>
      <c r="F96">
        <f>INDEX(AI_ho_so_che_do!$P$2:$P$21,MATCH($D$96,AI_ho_so_che_do!$A$2:$A$21,0))=TRUE</f>
        <v/>
      </c>
      <c r="G96">
        <f>ISNUMBER(FIND(";noGeneralTactic;",";"&amp;INDEX(AI_ho_so_che_do!$O$2:$O$21,MATCH($D$96,AI_ho_so_che_do!$A$2:$A$21,0))&amp;";"))</f>
        <v/>
      </c>
      <c r="H96">
        <f>IF(AI_tuong!$B$12&amp;""&lt;&gt;"",AI_tuong!$B$12,IF(AI_tuong!$B$4&amp;""&lt;&gt;"",AI_tuong!$B$4,"balanced"))</f>
        <v/>
      </c>
      <c r="I96" t="inlineStr">
        <is>
          <t>dispersal</t>
        </is>
      </c>
      <c r="J96">
        <f>OR($F$96,AND(AI_ho_so_anh_xa!$B$9="mode",OR(AI_ho_so_anh_xa!$C$9="Weekly",AI_ho_so_anh_xa!$C$9="Operation")))</f>
        <v/>
      </c>
      <c r="K96" t="b">
        <v>1</v>
      </c>
      <c r="L96">
        <f>IF($J$96,$H$96,"balanced")</f>
        <v/>
      </c>
      <c r="M96" t="inlineStr">
        <is>
          <t>dispersal</t>
        </is>
      </c>
      <c r="N96">
        <f>IF(OR($E$96="",$G$96),"balanced",IF(OR($E$96="*",ISNUMBER(FIND(";"&amp;$L$96&amp;";",";"&amp;$E$96&amp;";"))),$L$96,IF(ISNUMBER(FIND(";"&amp;"balanced"&amp;";",";"&amp;$E$96&amp;";")),"balanced",LEFT($E$96,FIND(";",$E$96&amp;";")-1))))</f>
        <v/>
      </c>
      <c r="O96" t="inlineStr">
        <is>
          <t>dispersal</t>
        </is>
      </c>
      <c r="P96">
        <f>IF(OR($E$96="",$G$96),"KHONG_CHIEN_THUAT",IF(NOT($J$96),IF($H$96="balanced","GIU","CHE_DO_BO_QUA"),IF($N$96=$H$96,"GIU","HO_SO_GHI_DE")))</f>
        <v/>
      </c>
      <c r="Q96" t="inlineStr">
        <is>
          <t>Sim/AI/ConquestAi.P28.cs TickLayered + Sim/AI/Commander.cs AllowedTactic (goal.Hunt, venn)</t>
        </is>
      </c>
      <c r="R96" t="inlineStr"/>
    </row>
    <row r="97">
      <c r="A97" t="inlineStr">
        <is>
          <t>goal.Hunt/wolff</t>
        </is>
      </c>
      <c r="B97" t="inlineStr">
        <is>
          <t>goal.Hunt</t>
        </is>
      </c>
      <c r="C97" t="inlineStr">
        <is>
          <t>wolff</t>
        </is>
      </c>
      <c r="D97">
        <f>AI_ho_so_anh_xa!$D$9</f>
        <v/>
      </c>
      <c r="E97">
        <f>INDEX(AI_ho_so_che_do!$B$2:$B$21,MATCH($D$97,AI_ho_so_che_do!$A$2:$A$21,0))&amp;""</f>
        <v/>
      </c>
      <c r="F97">
        <f>INDEX(AI_ho_so_che_do!$P$2:$P$21,MATCH($D$97,AI_ho_so_che_do!$A$2:$A$21,0))=TRUE</f>
        <v/>
      </c>
      <c r="G97">
        <f>ISNUMBER(FIND(";noGeneralTactic;",";"&amp;INDEX(AI_ho_so_che_do!$O$2:$O$21,MATCH($D$97,AI_ho_so_che_do!$A$2:$A$21,0))&amp;";"))</f>
        <v/>
      </c>
      <c r="H97">
        <f>IF(AI_tuong!$B$13&amp;""&lt;&gt;"",AI_tuong!$B$13,IF(AI_tuong!$B$4&amp;""&lt;&gt;"",AI_tuong!$B$4,"balanced"))</f>
        <v/>
      </c>
      <c r="I97" t="inlineStr">
        <is>
          <t>air_superiority</t>
        </is>
      </c>
      <c r="J97">
        <f>OR($F$97,AND(AI_ho_so_anh_xa!$B$9="mode",OR(AI_ho_so_anh_xa!$C$9="Weekly",AI_ho_so_anh_xa!$C$9="Operation")))</f>
        <v/>
      </c>
      <c r="K97" t="b">
        <v>1</v>
      </c>
      <c r="L97">
        <f>IF($J$97,$H$97,"balanced")</f>
        <v/>
      </c>
      <c r="M97" t="inlineStr">
        <is>
          <t>air_superiority</t>
        </is>
      </c>
      <c r="N97">
        <f>IF(OR($E$97="",$G$97),"balanced",IF(OR($E$97="*",ISNUMBER(FIND(";"&amp;$L$97&amp;";",";"&amp;$E$97&amp;";"))),$L$97,IF(ISNUMBER(FIND(";"&amp;"balanced"&amp;";",";"&amp;$E$97&amp;";")),"balanced",LEFT($E$97,FIND(";",$E$97&amp;";")-1))))</f>
        <v/>
      </c>
      <c r="O97" t="inlineStr">
        <is>
          <t>air_superiority</t>
        </is>
      </c>
      <c r="P97">
        <f>IF(OR($E$97="",$G$97),"KHONG_CHIEN_THUAT",IF(NOT($J$97),IF($H$97="balanced","GIU","CHE_DO_BO_QUA"),IF($N$97=$H$97,"GIU","HO_SO_GHI_DE")))</f>
        <v/>
      </c>
      <c r="Q97" t="inlineStr">
        <is>
          <t>Sim/AI/ConquestAi.P28.cs TickLayered + Sim/AI/Commander.cs AllowedTactic (goal.Hunt, wolff)</t>
        </is>
      </c>
      <c r="R97" t="inlineStr"/>
    </row>
    <row r="98">
      <c r="A98" t="inlineStr">
        <is>
          <t>goal.Intercept/aurel</t>
        </is>
      </c>
      <c r="B98" t="inlineStr">
        <is>
          <t>goal.Intercept</t>
        </is>
      </c>
      <c r="C98" t="inlineStr">
        <is>
          <t>aurel</t>
        </is>
      </c>
      <c r="D98">
        <f>AI_ho_so_anh_xa!$D$10</f>
        <v/>
      </c>
      <c r="E98">
        <f>INDEX(AI_ho_so_che_do!$B$2:$B$21,MATCH($D$98,AI_ho_so_che_do!$A$2:$A$21,0))&amp;""</f>
        <v/>
      </c>
      <c r="F98">
        <f>INDEX(AI_ho_so_che_do!$P$2:$P$21,MATCH($D$98,AI_ho_so_che_do!$A$2:$A$21,0))=TRUE</f>
        <v/>
      </c>
      <c r="G98">
        <f>ISNUMBER(FIND(";noGeneralTactic;",";"&amp;INDEX(AI_ho_so_che_do!$O$2:$O$21,MATCH($D$98,AI_ho_so_che_do!$A$2:$A$21,0))&amp;";"))</f>
        <v/>
      </c>
      <c r="H98">
        <f>IF(AI_tuong!$B$2&amp;""&lt;&gt;"",AI_tuong!$B$2,IF(AI_tuong!$B$4&amp;""&lt;&gt;"",AI_tuong!$B$4,"balanced"))</f>
        <v/>
      </c>
      <c r="I98" t="inlineStr">
        <is>
          <t>all_out</t>
        </is>
      </c>
      <c r="J98">
        <f>OR($F$98,AND(AI_ho_so_anh_xa!$B$10="mode",OR(AI_ho_so_anh_xa!$C$10="Weekly",AI_ho_so_anh_xa!$C$10="Operation")))</f>
        <v/>
      </c>
      <c r="K98" t="b">
        <v>1</v>
      </c>
      <c r="L98">
        <f>IF($J$98,$H$98,"balanced")</f>
        <v/>
      </c>
      <c r="M98" t="inlineStr">
        <is>
          <t>all_out</t>
        </is>
      </c>
      <c r="N98">
        <f>IF(OR($E$98="",$G$98),"balanced",IF(OR($E$98="*",ISNUMBER(FIND(";"&amp;$L$98&amp;";",";"&amp;$E$98&amp;";"))),$L$98,IF(ISNUMBER(FIND(";"&amp;"balanced"&amp;";",";"&amp;$E$98&amp;";")),"balanced",LEFT($E$98,FIND(";",$E$98&amp;";")-1))))</f>
        <v/>
      </c>
      <c r="O98" t="inlineStr">
        <is>
          <t>all_out</t>
        </is>
      </c>
      <c r="P98">
        <f>IF(OR($E$98="",$G$98),"KHONG_CHIEN_THUAT",IF(NOT($J$98),IF($H$98="balanced","GIU","CHE_DO_BO_QUA"),IF($N$98=$H$98,"GIU","HO_SO_GHI_DE")))</f>
        <v/>
      </c>
      <c r="Q98" t="inlineStr">
        <is>
          <t>Sim/AI/ConquestAi.P28.cs TickLayered + Sim/AI/Commander.cs AllowedTactic (goal.Intercept, aurel)</t>
        </is>
      </c>
      <c r="R98" t="inlineStr"/>
    </row>
    <row r="99">
      <c r="A99" t="inlineStr">
        <is>
          <t>goal.Intercept/brandt</t>
        </is>
      </c>
      <c r="B99" t="inlineStr">
        <is>
          <t>goal.Intercept</t>
        </is>
      </c>
      <c r="C99" t="inlineStr">
        <is>
          <t>brandt</t>
        </is>
      </c>
      <c r="D99">
        <f>AI_ho_so_anh_xa!$D$10</f>
        <v/>
      </c>
      <c r="E99">
        <f>INDEX(AI_ho_so_che_do!$B$2:$B$21,MATCH($D$99,AI_ho_so_che_do!$A$2:$A$21,0))&amp;""</f>
        <v/>
      </c>
      <c r="F99">
        <f>INDEX(AI_ho_so_che_do!$P$2:$P$21,MATCH($D$99,AI_ho_so_che_do!$A$2:$A$21,0))=TRUE</f>
        <v/>
      </c>
      <c r="G99">
        <f>ISNUMBER(FIND(";noGeneralTactic;",";"&amp;INDEX(AI_ho_so_che_do!$O$2:$O$21,MATCH($D$99,AI_ho_so_che_do!$A$2:$A$21,0))&amp;";"))</f>
        <v/>
      </c>
      <c r="H99">
        <f>IF(AI_tuong!$B$3&amp;""&lt;&gt;"",AI_tuong!$B$3,IF(AI_tuong!$B$4&amp;""&lt;&gt;"",AI_tuong!$B$4,"balanced"))</f>
        <v/>
      </c>
      <c r="I99" t="inlineStr">
        <is>
          <t>depth</t>
        </is>
      </c>
      <c r="J99">
        <f>OR($F$99,AND(AI_ho_so_anh_xa!$B$10="mode",OR(AI_ho_so_anh_xa!$C$10="Weekly",AI_ho_so_anh_xa!$C$10="Operation")))</f>
        <v/>
      </c>
      <c r="K99" t="b">
        <v>1</v>
      </c>
      <c r="L99">
        <f>IF($J$99,$H$99,"balanced")</f>
        <v/>
      </c>
      <c r="M99" t="inlineStr">
        <is>
          <t>depth</t>
        </is>
      </c>
      <c r="N99">
        <f>IF(OR($E$99="",$G$99),"balanced",IF(OR($E$99="*",ISNUMBER(FIND(";"&amp;$L$99&amp;";",";"&amp;$E$99&amp;";"))),$L$99,IF(ISNUMBER(FIND(";"&amp;"balanced"&amp;";",";"&amp;$E$99&amp;";")),"balanced",LEFT($E$99,FIND(";",$E$99&amp;";")-1))))</f>
        <v/>
      </c>
      <c r="O99" t="inlineStr">
        <is>
          <t>depth</t>
        </is>
      </c>
      <c r="P99">
        <f>IF(OR($E$99="",$G$99),"KHONG_CHIEN_THUAT",IF(NOT($J$99),IF($H$99="balanced","GIU","CHE_DO_BO_QUA"),IF($N$99=$H$99,"GIU","HO_SO_GHI_DE")))</f>
        <v/>
      </c>
      <c r="Q99" t="inlineStr">
        <is>
          <t>Sim/AI/ConquestAi.P28.cs TickLayered + Sim/AI/Commander.cs AllowedTactic (goal.Intercept, brandt)</t>
        </is>
      </c>
      <c r="R99" t="inlineStr"/>
    </row>
    <row r="100">
      <c r="A100" t="inlineStr">
        <is>
          <t>goal.Intercept/default</t>
        </is>
      </c>
      <c r="B100" t="inlineStr">
        <is>
          <t>goal.Intercept</t>
        </is>
      </c>
      <c r="C100" t="inlineStr">
        <is>
          <t>default</t>
        </is>
      </c>
      <c r="D100">
        <f>AI_ho_so_anh_xa!$D$10</f>
        <v/>
      </c>
      <c r="E100">
        <f>INDEX(AI_ho_so_che_do!$B$2:$B$21,MATCH($D$100,AI_ho_so_che_do!$A$2:$A$21,0))&amp;""</f>
        <v/>
      </c>
      <c r="F100">
        <f>INDEX(AI_ho_so_che_do!$P$2:$P$21,MATCH($D$100,AI_ho_so_che_do!$A$2:$A$21,0))=TRUE</f>
        <v/>
      </c>
      <c r="G100">
        <f>ISNUMBER(FIND(";noGeneralTactic;",";"&amp;INDEX(AI_ho_so_che_do!$O$2:$O$21,MATCH($D$100,AI_ho_so_che_do!$A$2:$A$21,0))&amp;";"))</f>
        <v/>
      </c>
      <c r="H100">
        <f>IF(AI_tuong!$B$4&amp;""&lt;&gt;"",AI_tuong!$B$4,IF(AI_tuong!$B$4&amp;""&lt;&gt;"",AI_tuong!$B$4,"balanced"))</f>
        <v/>
      </c>
      <c r="I100" t="inlineStr">
        <is>
          <t>balanced</t>
        </is>
      </c>
      <c r="J100">
        <f>OR($F$100,AND(AI_ho_so_anh_xa!$B$10="mode",OR(AI_ho_so_anh_xa!$C$10="Weekly",AI_ho_so_anh_xa!$C$10="Operation")))</f>
        <v/>
      </c>
      <c r="K100" t="b">
        <v>1</v>
      </c>
      <c r="L100">
        <f>IF($J$100,$H$100,"balanced")</f>
        <v/>
      </c>
      <c r="M100" t="inlineStr">
        <is>
          <t>balanced</t>
        </is>
      </c>
      <c r="N100">
        <f>IF(OR($E$100="",$G$100),"balanced",IF(OR($E$100="*",ISNUMBER(FIND(";"&amp;$L$100&amp;";",";"&amp;$E$100&amp;";"))),$L$100,IF(ISNUMBER(FIND(";"&amp;"balanced"&amp;";",";"&amp;$E$100&amp;";")),"balanced",LEFT($E$100,FIND(";",$E$100&amp;";")-1))))</f>
        <v/>
      </c>
      <c r="O100" t="inlineStr">
        <is>
          <t>balanced</t>
        </is>
      </c>
      <c r="P100">
        <f>IF(OR($E$100="",$G$100),"KHONG_CHIEN_THUAT",IF(NOT($J$100),IF($H$100="balanced","GIU","CHE_DO_BO_QUA"),IF($N$100=$H$100,"GIU","HO_SO_GHI_DE")))</f>
        <v/>
      </c>
      <c r="Q100" t="inlineStr">
        <is>
          <t>Sim/AI/ConquestAi.P28.cs TickLayered + Sim/AI/Commander.cs AllowedTactic (goal.Intercept, default)</t>
        </is>
      </c>
      <c r="R100" t="inlineStr"/>
    </row>
    <row r="101">
      <c r="A101" t="inlineStr">
        <is>
          <t>goal.Intercept/hung</t>
        </is>
      </c>
      <c r="B101" t="inlineStr">
        <is>
          <t>goal.Intercept</t>
        </is>
      </c>
      <c r="C101" t="inlineStr">
        <is>
          <t>hung</t>
        </is>
      </c>
      <c r="D101">
        <f>AI_ho_so_anh_xa!$D$10</f>
        <v/>
      </c>
      <c r="E101">
        <f>INDEX(AI_ho_so_che_do!$B$2:$B$21,MATCH($D$101,AI_ho_so_che_do!$A$2:$A$21,0))&amp;""</f>
        <v/>
      </c>
      <c r="F101">
        <f>INDEX(AI_ho_so_che_do!$P$2:$P$21,MATCH($D$101,AI_ho_so_che_do!$A$2:$A$21,0))=TRUE</f>
        <v/>
      </c>
      <c r="G101">
        <f>ISNUMBER(FIND(";noGeneralTactic;",";"&amp;INDEX(AI_ho_so_che_do!$O$2:$O$21,MATCH($D$101,AI_ho_so_che_do!$A$2:$A$21,0))&amp;";"))</f>
        <v/>
      </c>
      <c r="H101">
        <f>IF(AI_tuong!$B$5&amp;""&lt;&gt;"",AI_tuong!$B$5,IF(AI_tuong!$B$4&amp;""&lt;&gt;"",AI_tuong!$B$4,"balanced"))</f>
        <v/>
      </c>
      <c r="I101" t="inlineStr">
        <is>
          <t>balanced</t>
        </is>
      </c>
      <c r="J101">
        <f>OR($F$101,AND(AI_ho_so_anh_xa!$B$10="mode",OR(AI_ho_so_anh_xa!$C$10="Weekly",AI_ho_so_anh_xa!$C$10="Operation")))</f>
        <v/>
      </c>
      <c r="K101" t="b">
        <v>1</v>
      </c>
      <c r="L101">
        <f>IF($J$101,$H$101,"balanced")</f>
        <v/>
      </c>
      <c r="M101" t="inlineStr">
        <is>
          <t>balanced</t>
        </is>
      </c>
      <c r="N101">
        <f>IF(OR($E$101="",$G$101),"balanced",IF(OR($E$101="*",ISNUMBER(FIND(";"&amp;$L$101&amp;";",";"&amp;$E$101&amp;";"))),$L$101,IF(ISNUMBER(FIND(";"&amp;"balanced"&amp;";",";"&amp;$E$101&amp;";")),"balanced",LEFT($E$101,FIND(";",$E$101&amp;";")-1))))</f>
        <v/>
      </c>
      <c r="O101" t="inlineStr">
        <is>
          <t>balanced</t>
        </is>
      </c>
      <c r="P101">
        <f>IF(OR($E$101="",$G$101),"KHONG_CHIEN_THUAT",IF(NOT($J$101),IF($H$101="balanced","GIU","CHE_DO_BO_QUA"),IF($N$101=$H$101,"GIU","HO_SO_GHI_DE")))</f>
        <v/>
      </c>
      <c r="Q101" t="inlineStr">
        <is>
          <t>Sim/AI/ConquestAi.P28.cs TickLayered + Sim/AI/Commander.cs AllowedTactic (goal.Intercept, hung)</t>
        </is>
      </c>
      <c r="R101" t="inlineStr"/>
    </row>
    <row r="102">
      <c r="A102" t="inlineStr">
        <is>
          <t>goal.Intercept/kessler</t>
        </is>
      </c>
      <c r="B102" t="inlineStr">
        <is>
          <t>goal.Intercept</t>
        </is>
      </c>
      <c r="C102" t="inlineStr">
        <is>
          <t>kessler</t>
        </is>
      </c>
      <c r="D102">
        <f>AI_ho_so_anh_xa!$D$10</f>
        <v/>
      </c>
      <c r="E102">
        <f>INDEX(AI_ho_so_che_do!$B$2:$B$21,MATCH($D$102,AI_ho_so_che_do!$A$2:$A$21,0))&amp;""</f>
        <v/>
      </c>
      <c r="F102">
        <f>INDEX(AI_ho_so_che_do!$P$2:$P$21,MATCH($D$102,AI_ho_so_che_do!$A$2:$A$21,0))=TRUE</f>
        <v/>
      </c>
      <c r="G102">
        <f>ISNUMBER(FIND(";noGeneralTactic;",";"&amp;INDEX(AI_ho_so_che_do!$O$2:$O$21,MATCH($D$102,AI_ho_so_che_do!$A$2:$A$21,0))&amp;";"))</f>
        <v/>
      </c>
      <c r="H102">
        <f>IF(AI_tuong!$B$6&amp;""&lt;&gt;"",AI_tuong!$B$6,IF(AI_tuong!$B$4&amp;""&lt;&gt;"",AI_tuong!$B$4,"balanced"))</f>
        <v/>
      </c>
      <c r="I102" t="inlineStr">
        <is>
          <t>attrition</t>
        </is>
      </c>
      <c r="J102">
        <f>OR($F$102,AND(AI_ho_so_anh_xa!$B$10="mode",OR(AI_ho_so_anh_xa!$C$10="Weekly",AI_ho_so_anh_xa!$C$10="Operation")))</f>
        <v/>
      </c>
      <c r="K102" t="b">
        <v>1</v>
      </c>
      <c r="L102">
        <f>IF($J$102,$H$102,"balanced")</f>
        <v/>
      </c>
      <c r="M102" t="inlineStr">
        <is>
          <t>attrition</t>
        </is>
      </c>
      <c r="N102">
        <f>IF(OR($E$102="",$G$102),"balanced",IF(OR($E$102="*",ISNUMBER(FIND(";"&amp;$L$102&amp;";",";"&amp;$E$102&amp;";"))),$L$102,IF(ISNUMBER(FIND(";"&amp;"balanced"&amp;";",";"&amp;$E$102&amp;";")),"balanced",LEFT($E$102,FIND(";",$E$102&amp;";")-1))))</f>
        <v/>
      </c>
      <c r="O102" t="inlineStr">
        <is>
          <t>attrition</t>
        </is>
      </c>
      <c r="P102">
        <f>IF(OR($E$102="",$G$102),"KHONG_CHIEN_THUAT",IF(NOT($J$102),IF($H$102="balanced","GIU","CHE_DO_BO_QUA"),IF($N$102=$H$102,"GIU","HO_SO_GHI_DE")))</f>
        <v/>
      </c>
      <c r="Q102" t="inlineStr">
        <is>
          <t>Sim/AI/ConquestAi.P28.cs TickLayered + Sim/AI/Commander.cs AllowedTactic (goal.Intercept, kessler)</t>
        </is>
      </c>
      <c r="R102" t="inlineStr"/>
    </row>
    <row r="103">
      <c r="A103" t="inlineStr">
        <is>
          <t>goal.Intercept/orlov</t>
        </is>
      </c>
      <c r="B103" t="inlineStr">
        <is>
          <t>goal.Intercept</t>
        </is>
      </c>
      <c r="C103" t="inlineStr">
        <is>
          <t>orlov</t>
        </is>
      </c>
      <c r="D103">
        <f>AI_ho_so_anh_xa!$D$10</f>
        <v/>
      </c>
      <c r="E103">
        <f>INDEX(AI_ho_so_che_do!$B$2:$B$21,MATCH($D$103,AI_ho_so_che_do!$A$2:$A$21,0))&amp;""</f>
        <v/>
      </c>
      <c r="F103">
        <f>INDEX(AI_ho_so_che_do!$P$2:$P$21,MATCH($D$103,AI_ho_so_che_do!$A$2:$A$21,0))=TRUE</f>
        <v/>
      </c>
      <c r="G103">
        <f>ISNUMBER(FIND(";noGeneralTactic;",";"&amp;INDEX(AI_ho_so_che_do!$O$2:$O$21,MATCH($D$103,AI_ho_so_che_do!$A$2:$A$21,0))&amp;";"))</f>
        <v/>
      </c>
      <c r="H103">
        <f>IF(AI_tuong!$B$7&amp;""&lt;&gt;"",AI_tuong!$B$7,IF(AI_tuong!$B$4&amp;""&lt;&gt;"",AI_tuong!$B$4,"balanced"))</f>
        <v/>
      </c>
      <c r="I103" t="inlineStr">
        <is>
          <t>firepower</t>
        </is>
      </c>
      <c r="J103">
        <f>OR($F$103,AND(AI_ho_so_anh_xa!$B$10="mode",OR(AI_ho_so_anh_xa!$C$10="Weekly",AI_ho_so_anh_xa!$C$10="Operation")))</f>
        <v/>
      </c>
      <c r="K103" t="b">
        <v>1</v>
      </c>
      <c r="L103">
        <f>IF($J$103,$H$103,"balanced")</f>
        <v/>
      </c>
      <c r="M103" t="inlineStr">
        <is>
          <t>firepower</t>
        </is>
      </c>
      <c r="N103">
        <f>IF(OR($E$103="",$G$103),"balanced",IF(OR($E$103="*",ISNUMBER(FIND(";"&amp;$L$103&amp;";",";"&amp;$E$103&amp;";"))),$L$103,IF(ISNUMBER(FIND(";"&amp;"balanced"&amp;";",";"&amp;$E$103&amp;";")),"balanced",LEFT($E$103,FIND(";",$E$103&amp;";")-1))))</f>
        <v/>
      </c>
      <c r="O103" t="inlineStr">
        <is>
          <t>firepower</t>
        </is>
      </c>
      <c r="P103">
        <f>IF(OR($E$103="",$G$103),"KHONG_CHIEN_THUAT",IF(NOT($J$103),IF($H$103="balanced","GIU","CHE_DO_BO_QUA"),IF($N$103=$H$103,"GIU","HO_SO_GHI_DE")))</f>
        <v/>
      </c>
      <c r="Q103" t="inlineStr">
        <is>
          <t>Sim/AI/ConquestAi.P28.cs TickLayered + Sim/AI/Commander.cs AllowedTactic (goal.Intercept, orlov)</t>
        </is>
      </c>
      <c r="R103" t="inlineStr"/>
    </row>
    <row r="104">
      <c r="A104" t="inlineStr">
        <is>
          <t>goal.Intercept/quaden</t>
        </is>
      </c>
      <c r="B104" t="inlineStr">
        <is>
          <t>goal.Intercept</t>
        </is>
      </c>
      <c r="C104" t="inlineStr">
        <is>
          <t>quaden</t>
        </is>
      </c>
      <c r="D104">
        <f>AI_ho_so_anh_xa!$D$10</f>
        <v/>
      </c>
      <c r="E104">
        <f>INDEX(AI_ho_so_che_do!$B$2:$B$21,MATCH($D$104,AI_ho_so_che_do!$A$2:$A$21,0))&amp;""</f>
        <v/>
      </c>
      <c r="F104">
        <f>INDEX(AI_ho_so_che_do!$P$2:$P$21,MATCH($D$104,AI_ho_so_che_do!$A$2:$A$21,0))=TRUE</f>
        <v/>
      </c>
      <c r="G104">
        <f>ISNUMBER(FIND(";noGeneralTactic;",";"&amp;INDEX(AI_ho_so_che_do!$O$2:$O$21,MATCH($D$104,AI_ho_so_che_do!$A$2:$A$21,0))&amp;";"))</f>
        <v/>
      </c>
      <c r="H104">
        <f>IF(AI_tuong!$B$8&amp;""&lt;&gt;"",AI_tuong!$B$8,IF(AI_tuong!$B$4&amp;""&lt;&gt;"",AI_tuong!$B$4,"balanced"))</f>
        <v/>
      </c>
      <c r="I104" t="inlineStr">
        <is>
          <t>balanced</t>
        </is>
      </c>
      <c r="J104">
        <f>OR($F$104,AND(AI_ho_so_anh_xa!$B$10="mode",OR(AI_ho_so_anh_xa!$C$10="Weekly",AI_ho_so_anh_xa!$C$10="Operation")))</f>
        <v/>
      </c>
      <c r="K104" t="b">
        <v>1</v>
      </c>
      <c r="L104">
        <f>IF($J$104,$H$104,"balanced")</f>
        <v/>
      </c>
      <c r="M104" t="inlineStr">
        <is>
          <t>balanced</t>
        </is>
      </c>
      <c r="N104">
        <f>IF(OR($E$104="",$G$104),"balanced",IF(OR($E$104="*",ISNUMBER(FIND(";"&amp;$L$104&amp;";",";"&amp;$E$104&amp;";"))),$L$104,IF(ISNUMBER(FIND(";"&amp;"balanced"&amp;";",";"&amp;$E$104&amp;";")),"balanced",LEFT($E$104,FIND(";",$E$104&amp;";")-1))))</f>
        <v/>
      </c>
      <c r="O104" t="inlineStr">
        <is>
          <t>balanced</t>
        </is>
      </c>
      <c r="P104">
        <f>IF(OR($E$104="",$G$104),"KHONG_CHIEN_THUAT",IF(NOT($J$104),IF($H$104="balanced","GIU","CHE_DO_BO_QUA"),IF($N$104=$H$104,"GIU","HO_SO_GHI_DE")))</f>
        <v/>
      </c>
      <c r="Q104" t="inlineStr">
        <is>
          <t>Sim/AI/ConquestAi.P28.cs TickLayered + Sim/AI/Commander.cs AllowedTactic (goal.Intercept, quaden)</t>
        </is>
      </c>
      <c r="R104" t="inlineStr"/>
    </row>
    <row r="105">
      <c r="A105" t="inlineStr">
        <is>
          <t>goal.Intercept/sen</t>
        </is>
      </c>
      <c r="B105" t="inlineStr">
        <is>
          <t>goal.Intercept</t>
        </is>
      </c>
      <c r="C105" t="inlineStr">
        <is>
          <t>sen</t>
        </is>
      </c>
      <c r="D105">
        <f>AI_ho_so_anh_xa!$D$10</f>
        <v/>
      </c>
      <c r="E105">
        <f>INDEX(AI_ho_so_che_do!$B$2:$B$21,MATCH($D$105,AI_ho_so_che_do!$A$2:$A$21,0))&amp;""</f>
        <v/>
      </c>
      <c r="F105">
        <f>INDEX(AI_ho_so_che_do!$P$2:$P$21,MATCH($D$105,AI_ho_so_che_do!$A$2:$A$21,0))=TRUE</f>
        <v/>
      </c>
      <c r="G105">
        <f>ISNUMBER(FIND(";noGeneralTactic;",";"&amp;INDEX(AI_ho_so_che_do!$O$2:$O$21,MATCH($D$105,AI_ho_so_che_do!$A$2:$A$21,0))&amp;";"))</f>
        <v/>
      </c>
      <c r="H105">
        <f>IF(AI_tuong!$B$9&amp;""&lt;&gt;"",AI_tuong!$B$9,IF(AI_tuong!$B$4&amp;""&lt;&gt;"",AI_tuong!$B$4,"balanced"))</f>
        <v/>
      </c>
      <c r="I105" t="inlineStr">
        <is>
          <t>balanced</t>
        </is>
      </c>
      <c r="J105">
        <f>OR($F$105,AND(AI_ho_so_anh_xa!$B$10="mode",OR(AI_ho_so_anh_xa!$C$10="Weekly",AI_ho_so_anh_xa!$C$10="Operation")))</f>
        <v/>
      </c>
      <c r="K105" t="b">
        <v>1</v>
      </c>
      <c r="L105">
        <f>IF($J$105,$H$105,"balanced")</f>
        <v/>
      </c>
      <c r="M105" t="inlineStr">
        <is>
          <t>balanced</t>
        </is>
      </c>
      <c r="N105">
        <f>IF(OR($E$105="",$G$105),"balanced",IF(OR($E$105="*",ISNUMBER(FIND(";"&amp;$L$105&amp;";",";"&amp;$E$105&amp;";"))),$L$105,IF(ISNUMBER(FIND(";"&amp;"balanced"&amp;";",";"&amp;$E$105&amp;";")),"balanced",LEFT($E$105,FIND(";",$E$105&amp;";")-1))))</f>
        <v/>
      </c>
      <c r="O105" t="inlineStr">
        <is>
          <t>balanced</t>
        </is>
      </c>
      <c r="P105">
        <f>IF(OR($E$105="",$G$105),"KHONG_CHIEN_THUAT",IF(NOT($J$105),IF($H$105="balanced","GIU","CHE_DO_BO_QUA"),IF($N$105=$H$105,"GIU","HO_SO_GHI_DE")))</f>
        <v/>
      </c>
      <c r="Q105" t="inlineStr">
        <is>
          <t>Sim/AI/ConquestAi.P28.cs TickLayered + Sim/AI/Commander.cs AllowedTactic (goal.Intercept, sen)</t>
        </is>
      </c>
      <c r="R105" t="inlineStr"/>
    </row>
    <row r="106">
      <c r="A106" t="inlineStr">
        <is>
          <t>goal.Intercept/thorne</t>
        </is>
      </c>
      <c r="B106" t="inlineStr">
        <is>
          <t>goal.Intercept</t>
        </is>
      </c>
      <c r="C106" t="inlineStr">
        <is>
          <t>thorne</t>
        </is>
      </c>
      <c r="D106">
        <f>AI_ho_so_anh_xa!$D$10</f>
        <v/>
      </c>
      <c r="E106">
        <f>INDEX(AI_ho_so_che_do!$B$2:$B$21,MATCH($D$106,AI_ho_so_che_do!$A$2:$A$21,0))&amp;""</f>
        <v/>
      </c>
      <c r="F106">
        <f>INDEX(AI_ho_so_che_do!$P$2:$P$21,MATCH($D$106,AI_ho_so_che_do!$A$2:$A$21,0))=TRUE</f>
        <v/>
      </c>
      <c r="G106">
        <f>ISNUMBER(FIND(";noGeneralTactic;",";"&amp;INDEX(AI_ho_so_che_do!$O$2:$O$21,MATCH($D$106,AI_ho_so_che_do!$A$2:$A$21,0))&amp;";"))</f>
        <v/>
      </c>
      <c r="H106">
        <f>IF(AI_tuong!$B$10&amp;""&lt;&gt;"",AI_tuong!$B$10,IF(AI_tuong!$B$4&amp;""&lt;&gt;"",AI_tuong!$B$4,"balanced"))</f>
        <v/>
      </c>
      <c r="I106" t="inlineStr">
        <is>
          <t>balanced</t>
        </is>
      </c>
      <c r="J106">
        <f>OR($F$106,AND(AI_ho_so_anh_xa!$B$10="mode",OR(AI_ho_so_anh_xa!$C$10="Weekly",AI_ho_so_anh_xa!$C$10="Operation")))</f>
        <v/>
      </c>
      <c r="K106" t="b">
        <v>1</v>
      </c>
      <c r="L106">
        <f>IF($J$106,$H$106,"balanced")</f>
        <v/>
      </c>
      <c r="M106" t="inlineStr">
        <is>
          <t>balanced</t>
        </is>
      </c>
      <c r="N106">
        <f>IF(OR($E$106="",$G$106),"balanced",IF(OR($E$106="*",ISNUMBER(FIND(";"&amp;$L$106&amp;";",";"&amp;$E$106&amp;";"))),$L$106,IF(ISNUMBER(FIND(";"&amp;"balanced"&amp;";",";"&amp;$E$106&amp;";")),"balanced",LEFT($E$106,FIND(";",$E$106&amp;";")-1))))</f>
        <v/>
      </c>
      <c r="O106" t="inlineStr">
        <is>
          <t>balanced</t>
        </is>
      </c>
      <c r="P106">
        <f>IF(OR($E$106="",$G$106),"KHONG_CHIEN_THUAT",IF(NOT($J$106),IF($H$106="balanced","GIU","CHE_DO_BO_QUA"),IF($N$106=$H$106,"GIU","HO_SO_GHI_DE")))</f>
        <v/>
      </c>
      <c r="Q106" t="inlineStr">
        <is>
          <t>Sim/AI/ConquestAi.P28.cs TickLayered + Sim/AI/Commander.cs AllowedTactic (goal.Intercept, thorne)</t>
        </is>
      </c>
      <c r="R106" t="inlineStr"/>
    </row>
    <row r="107">
      <c r="A107" t="inlineStr">
        <is>
          <t>goal.Intercept/varga</t>
        </is>
      </c>
      <c r="B107" t="inlineStr">
        <is>
          <t>goal.Intercept</t>
        </is>
      </c>
      <c r="C107" t="inlineStr">
        <is>
          <t>varga</t>
        </is>
      </c>
      <c r="D107">
        <f>AI_ho_so_anh_xa!$D$10</f>
        <v/>
      </c>
      <c r="E107">
        <f>INDEX(AI_ho_so_che_do!$B$2:$B$21,MATCH($D$107,AI_ho_so_che_do!$A$2:$A$21,0))&amp;""</f>
        <v/>
      </c>
      <c r="F107">
        <f>INDEX(AI_ho_so_che_do!$P$2:$P$21,MATCH($D$107,AI_ho_so_che_do!$A$2:$A$21,0))=TRUE</f>
        <v/>
      </c>
      <c r="G107">
        <f>ISNUMBER(FIND(";noGeneralTactic;",";"&amp;INDEX(AI_ho_so_che_do!$O$2:$O$21,MATCH($D$107,AI_ho_so_che_do!$A$2:$A$21,0))&amp;";"))</f>
        <v/>
      </c>
      <c r="H107">
        <f>IF(AI_tuong!$B$11&amp;""&lt;&gt;"",AI_tuong!$B$11,IF(AI_tuong!$B$4&amp;""&lt;&gt;"",AI_tuong!$B$4,"balanced"))</f>
        <v/>
      </c>
      <c r="I107" t="inlineStr">
        <is>
          <t>breakthrough</t>
        </is>
      </c>
      <c r="J107">
        <f>OR($F$107,AND(AI_ho_so_anh_xa!$B$10="mode",OR(AI_ho_so_anh_xa!$C$10="Weekly",AI_ho_so_anh_xa!$C$10="Operation")))</f>
        <v/>
      </c>
      <c r="K107" t="b">
        <v>1</v>
      </c>
      <c r="L107">
        <f>IF($J$107,$H$107,"balanced")</f>
        <v/>
      </c>
      <c r="M107" t="inlineStr">
        <is>
          <t>breakthrough</t>
        </is>
      </c>
      <c r="N107">
        <f>IF(OR($E$107="",$G$107),"balanced",IF(OR($E$107="*",ISNUMBER(FIND(";"&amp;$L$107&amp;";",";"&amp;$E$107&amp;";"))),$L$107,IF(ISNUMBER(FIND(";"&amp;"balanced"&amp;";",";"&amp;$E$107&amp;";")),"balanced",LEFT($E$107,FIND(";",$E$107&amp;";")-1))))</f>
        <v/>
      </c>
      <c r="O107" t="inlineStr">
        <is>
          <t>breakthrough</t>
        </is>
      </c>
      <c r="P107">
        <f>IF(OR($E$107="",$G$107),"KHONG_CHIEN_THUAT",IF(NOT($J$107),IF($H$107="balanced","GIU","CHE_DO_BO_QUA"),IF($N$107=$H$107,"GIU","HO_SO_GHI_DE")))</f>
        <v/>
      </c>
      <c r="Q107" t="inlineStr">
        <is>
          <t>Sim/AI/ConquestAi.P28.cs TickLayered + Sim/AI/Commander.cs AllowedTactic (goal.Intercept, varga)</t>
        </is>
      </c>
      <c r="R107" t="inlineStr"/>
    </row>
    <row r="108">
      <c r="A108" t="inlineStr">
        <is>
          <t>goal.Intercept/venn</t>
        </is>
      </c>
      <c r="B108" t="inlineStr">
        <is>
          <t>goal.Intercept</t>
        </is>
      </c>
      <c r="C108" t="inlineStr">
        <is>
          <t>venn</t>
        </is>
      </c>
      <c r="D108">
        <f>AI_ho_so_anh_xa!$D$10</f>
        <v/>
      </c>
      <c r="E108">
        <f>INDEX(AI_ho_so_che_do!$B$2:$B$21,MATCH($D$108,AI_ho_so_che_do!$A$2:$A$21,0))&amp;""</f>
        <v/>
      </c>
      <c r="F108">
        <f>INDEX(AI_ho_so_che_do!$P$2:$P$21,MATCH($D$108,AI_ho_so_che_do!$A$2:$A$21,0))=TRUE</f>
        <v/>
      </c>
      <c r="G108">
        <f>ISNUMBER(FIND(";noGeneralTactic;",";"&amp;INDEX(AI_ho_so_che_do!$O$2:$O$21,MATCH($D$108,AI_ho_so_che_do!$A$2:$A$21,0))&amp;";"))</f>
        <v/>
      </c>
      <c r="H108">
        <f>IF(AI_tuong!$B$12&amp;""&lt;&gt;"",AI_tuong!$B$12,IF(AI_tuong!$B$4&amp;""&lt;&gt;"",AI_tuong!$B$4,"balanced"))</f>
        <v/>
      </c>
      <c r="I108" t="inlineStr">
        <is>
          <t>dispersal</t>
        </is>
      </c>
      <c r="J108">
        <f>OR($F$108,AND(AI_ho_so_anh_xa!$B$10="mode",OR(AI_ho_so_anh_xa!$C$10="Weekly",AI_ho_so_anh_xa!$C$10="Operation")))</f>
        <v/>
      </c>
      <c r="K108" t="b">
        <v>1</v>
      </c>
      <c r="L108">
        <f>IF($J$108,$H$108,"balanced")</f>
        <v/>
      </c>
      <c r="M108" t="inlineStr">
        <is>
          <t>dispersal</t>
        </is>
      </c>
      <c r="N108">
        <f>IF(OR($E$108="",$G$108),"balanced",IF(OR($E$108="*",ISNUMBER(FIND(";"&amp;$L$108&amp;";",";"&amp;$E$108&amp;";"))),$L$108,IF(ISNUMBER(FIND(";"&amp;"balanced"&amp;";",";"&amp;$E$108&amp;";")),"balanced",LEFT($E$108,FIND(";",$E$108&amp;";")-1))))</f>
        <v/>
      </c>
      <c r="O108" t="inlineStr">
        <is>
          <t>dispersal</t>
        </is>
      </c>
      <c r="P108">
        <f>IF(OR($E$108="",$G$108),"KHONG_CHIEN_THUAT",IF(NOT($J$108),IF($H$108="balanced","GIU","CHE_DO_BO_QUA"),IF($N$108=$H$108,"GIU","HO_SO_GHI_DE")))</f>
        <v/>
      </c>
      <c r="Q108" t="inlineStr">
        <is>
          <t>Sim/AI/ConquestAi.P28.cs TickLayered + Sim/AI/Commander.cs AllowedTactic (goal.Intercept, venn)</t>
        </is>
      </c>
      <c r="R108" t="inlineStr"/>
    </row>
    <row r="109">
      <c r="A109" t="inlineStr">
        <is>
          <t>goal.Intercept/wolff</t>
        </is>
      </c>
      <c r="B109" t="inlineStr">
        <is>
          <t>goal.Intercept</t>
        </is>
      </c>
      <c r="C109" t="inlineStr">
        <is>
          <t>wolff</t>
        </is>
      </c>
      <c r="D109">
        <f>AI_ho_so_anh_xa!$D$10</f>
        <v/>
      </c>
      <c r="E109">
        <f>INDEX(AI_ho_so_che_do!$B$2:$B$21,MATCH($D$109,AI_ho_so_che_do!$A$2:$A$21,0))&amp;""</f>
        <v/>
      </c>
      <c r="F109">
        <f>INDEX(AI_ho_so_che_do!$P$2:$P$21,MATCH($D$109,AI_ho_so_che_do!$A$2:$A$21,0))=TRUE</f>
        <v/>
      </c>
      <c r="G109">
        <f>ISNUMBER(FIND(";noGeneralTactic;",";"&amp;INDEX(AI_ho_so_che_do!$O$2:$O$21,MATCH($D$109,AI_ho_so_che_do!$A$2:$A$21,0))&amp;";"))</f>
        <v/>
      </c>
      <c r="H109">
        <f>IF(AI_tuong!$B$13&amp;""&lt;&gt;"",AI_tuong!$B$13,IF(AI_tuong!$B$4&amp;""&lt;&gt;"",AI_tuong!$B$4,"balanced"))</f>
        <v/>
      </c>
      <c r="I109" t="inlineStr">
        <is>
          <t>air_superiority</t>
        </is>
      </c>
      <c r="J109">
        <f>OR($F$109,AND(AI_ho_so_anh_xa!$B$10="mode",OR(AI_ho_so_anh_xa!$C$10="Weekly",AI_ho_so_anh_xa!$C$10="Operation")))</f>
        <v/>
      </c>
      <c r="K109" t="b">
        <v>1</v>
      </c>
      <c r="L109">
        <f>IF($J$109,$H$109,"balanced")</f>
        <v/>
      </c>
      <c r="M109" t="inlineStr">
        <is>
          <t>air_superiority</t>
        </is>
      </c>
      <c r="N109">
        <f>IF(OR($E$109="",$G$109),"balanced",IF(OR($E$109="*",ISNUMBER(FIND(";"&amp;$L$109&amp;";",";"&amp;$E$109&amp;";"))),$L$109,IF(ISNUMBER(FIND(";"&amp;"balanced"&amp;";",";"&amp;$E$109&amp;";")),"balanced",LEFT($E$109,FIND(";",$E$109&amp;";")-1))))</f>
        <v/>
      </c>
      <c r="O109" t="inlineStr">
        <is>
          <t>air_superiority</t>
        </is>
      </c>
      <c r="P109">
        <f>IF(OR($E$109="",$G$109),"KHONG_CHIEN_THUAT",IF(NOT($J$109),IF($H$109="balanced","GIU","CHE_DO_BO_QUA"),IF($N$109=$H$109,"GIU","HO_SO_GHI_DE")))</f>
        <v/>
      </c>
      <c r="Q109" t="inlineStr">
        <is>
          <t>Sim/AI/ConquestAi.P28.cs TickLayered + Sim/AI/Commander.cs AllowedTactic (goal.Intercept, wolff)</t>
        </is>
      </c>
      <c r="R109" t="inlineStr"/>
    </row>
    <row r="110">
      <c r="A110" t="inlineStr">
        <is>
          <t>goal.Outpost/aurel</t>
        </is>
      </c>
      <c r="B110" t="inlineStr">
        <is>
          <t>goal.Outpost</t>
        </is>
      </c>
      <c r="C110" t="inlineStr">
        <is>
          <t>aurel</t>
        </is>
      </c>
      <c r="D110">
        <f>AI_ho_so_anh_xa!$D$11</f>
        <v/>
      </c>
      <c r="E110">
        <f>INDEX(AI_ho_so_che_do!$B$2:$B$21,MATCH($D$110,AI_ho_so_che_do!$A$2:$A$21,0))&amp;""</f>
        <v/>
      </c>
      <c r="F110">
        <f>INDEX(AI_ho_so_che_do!$P$2:$P$21,MATCH($D$110,AI_ho_so_che_do!$A$2:$A$21,0))=TRUE</f>
        <v/>
      </c>
      <c r="G110">
        <f>ISNUMBER(FIND(";noGeneralTactic;",";"&amp;INDEX(AI_ho_so_che_do!$O$2:$O$21,MATCH($D$110,AI_ho_so_che_do!$A$2:$A$21,0))&amp;";"))</f>
        <v/>
      </c>
      <c r="H110">
        <f>IF(AI_tuong!$B$2&amp;""&lt;&gt;"",AI_tuong!$B$2,IF(AI_tuong!$B$4&amp;""&lt;&gt;"",AI_tuong!$B$4,"balanced"))</f>
        <v/>
      </c>
      <c r="I110" t="inlineStr">
        <is>
          <t>all_out</t>
        </is>
      </c>
      <c r="J110">
        <f>OR($F$110,AND(AI_ho_so_anh_xa!$B$11="mode",OR(AI_ho_so_anh_xa!$C$11="Weekly",AI_ho_so_anh_xa!$C$11="Operation")))</f>
        <v/>
      </c>
      <c r="K110" t="b">
        <v>1</v>
      </c>
      <c r="L110">
        <f>IF($J$110,$H$110,"balanced")</f>
        <v/>
      </c>
      <c r="M110" t="inlineStr">
        <is>
          <t>all_out</t>
        </is>
      </c>
      <c r="N110">
        <f>IF(OR($E$110="",$G$110),"balanced",IF(OR($E$110="*",ISNUMBER(FIND(";"&amp;$L$110&amp;";",";"&amp;$E$110&amp;";"))),$L$110,IF(ISNUMBER(FIND(";"&amp;"balanced"&amp;";",";"&amp;$E$110&amp;";")),"balanced",LEFT($E$110,FIND(";",$E$110&amp;";")-1))))</f>
        <v/>
      </c>
      <c r="O110" t="inlineStr">
        <is>
          <t>all_out</t>
        </is>
      </c>
      <c r="P110">
        <f>IF(OR($E$110="",$G$110),"KHONG_CHIEN_THUAT",IF(NOT($J$110),IF($H$110="balanced","GIU","CHE_DO_BO_QUA"),IF($N$110=$H$110,"GIU","HO_SO_GHI_DE")))</f>
        <v/>
      </c>
      <c r="Q110" t="inlineStr">
        <is>
          <t>Sim/AI/ConquestAi.P28.cs TickLayered + Sim/AI/Commander.cs AllowedTactic (goal.Outpost, aurel)</t>
        </is>
      </c>
      <c r="R110" t="inlineStr"/>
    </row>
    <row r="111">
      <c r="A111" t="inlineStr">
        <is>
          <t>goal.Outpost/brandt</t>
        </is>
      </c>
      <c r="B111" t="inlineStr">
        <is>
          <t>goal.Outpost</t>
        </is>
      </c>
      <c r="C111" t="inlineStr">
        <is>
          <t>brandt</t>
        </is>
      </c>
      <c r="D111">
        <f>AI_ho_so_anh_xa!$D$11</f>
        <v/>
      </c>
      <c r="E111">
        <f>INDEX(AI_ho_so_che_do!$B$2:$B$21,MATCH($D$111,AI_ho_so_che_do!$A$2:$A$21,0))&amp;""</f>
        <v/>
      </c>
      <c r="F111">
        <f>INDEX(AI_ho_so_che_do!$P$2:$P$21,MATCH($D$111,AI_ho_so_che_do!$A$2:$A$21,0))=TRUE</f>
        <v/>
      </c>
      <c r="G111">
        <f>ISNUMBER(FIND(";noGeneralTactic;",";"&amp;INDEX(AI_ho_so_che_do!$O$2:$O$21,MATCH($D$111,AI_ho_so_che_do!$A$2:$A$21,0))&amp;";"))</f>
        <v/>
      </c>
      <c r="H111">
        <f>IF(AI_tuong!$B$3&amp;""&lt;&gt;"",AI_tuong!$B$3,IF(AI_tuong!$B$4&amp;""&lt;&gt;"",AI_tuong!$B$4,"balanced"))</f>
        <v/>
      </c>
      <c r="I111" t="inlineStr">
        <is>
          <t>depth</t>
        </is>
      </c>
      <c r="J111">
        <f>OR($F$111,AND(AI_ho_so_anh_xa!$B$11="mode",OR(AI_ho_so_anh_xa!$C$11="Weekly",AI_ho_so_anh_xa!$C$11="Operation")))</f>
        <v/>
      </c>
      <c r="K111" t="b">
        <v>1</v>
      </c>
      <c r="L111">
        <f>IF($J$111,$H$111,"balanced")</f>
        <v/>
      </c>
      <c r="M111" t="inlineStr">
        <is>
          <t>depth</t>
        </is>
      </c>
      <c r="N111">
        <f>IF(OR($E$111="",$G$111),"balanced",IF(OR($E$111="*",ISNUMBER(FIND(";"&amp;$L$111&amp;";",";"&amp;$E$111&amp;";"))),$L$111,IF(ISNUMBER(FIND(";"&amp;"balanced"&amp;";",";"&amp;$E$111&amp;";")),"balanced",LEFT($E$111,FIND(";",$E$111&amp;";")-1))))</f>
        <v/>
      </c>
      <c r="O111" t="inlineStr">
        <is>
          <t>depth</t>
        </is>
      </c>
      <c r="P111">
        <f>IF(OR($E$111="",$G$111),"KHONG_CHIEN_THUAT",IF(NOT($J$111),IF($H$111="balanced","GIU","CHE_DO_BO_QUA"),IF($N$111=$H$111,"GIU","HO_SO_GHI_DE")))</f>
        <v/>
      </c>
      <c r="Q111" t="inlineStr">
        <is>
          <t>Sim/AI/ConquestAi.P28.cs TickLayered + Sim/AI/Commander.cs AllowedTactic (goal.Outpost, brandt)</t>
        </is>
      </c>
      <c r="R111" t="inlineStr"/>
    </row>
    <row r="112">
      <c r="A112" t="inlineStr">
        <is>
          <t>goal.Outpost/default</t>
        </is>
      </c>
      <c r="B112" t="inlineStr">
        <is>
          <t>goal.Outpost</t>
        </is>
      </c>
      <c r="C112" t="inlineStr">
        <is>
          <t>default</t>
        </is>
      </c>
      <c r="D112">
        <f>AI_ho_so_anh_xa!$D$11</f>
        <v/>
      </c>
      <c r="E112">
        <f>INDEX(AI_ho_so_che_do!$B$2:$B$21,MATCH($D$112,AI_ho_so_che_do!$A$2:$A$21,0))&amp;""</f>
        <v/>
      </c>
      <c r="F112">
        <f>INDEX(AI_ho_so_che_do!$P$2:$P$21,MATCH($D$112,AI_ho_so_che_do!$A$2:$A$21,0))=TRUE</f>
        <v/>
      </c>
      <c r="G112">
        <f>ISNUMBER(FIND(";noGeneralTactic;",";"&amp;INDEX(AI_ho_so_che_do!$O$2:$O$21,MATCH($D$112,AI_ho_so_che_do!$A$2:$A$21,0))&amp;";"))</f>
        <v/>
      </c>
      <c r="H112">
        <f>IF(AI_tuong!$B$4&amp;""&lt;&gt;"",AI_tuong!$B$4,IF(AI_tuong!$B$4&amp;""&lt;&gt;"",AI_tuong!$B$4,"balanced"))</f>
        <v/>
      </c>
      <c r="I112" t="inlineStr">
        <is>
          <t>balanced</t>
        </is>
      </c>
      <c r="J112">
        <f>OR($F$112,AND(AI_ho_so_anh_xa!$B$11="mode",OR(AI_ho_so_anh_xa!$C$11="Weekly",AI_ho_so_anh_xa!$C$11="Operation")))</f>
        <v/>
      </c>
      <c r="K112" t="b">
        <v>1</v>
      </c>
      <c r="L112">
        <f>IF($J$112,$H$112,"balanced")</f>
        <v/>
      </c>
      <c r="M112" t="inlineStr">
        <is>
          <t>balanced</t>
        </is>
      </c>
      <c r="N112">
        <f>IF(OR($E$112="",$G$112),"balanced",IF(OR($E$112="*",ISNUMBER(FIND(";"&amp;$L$112&amp;";",";"&amp;$E$112&amp;";"))),$L$112,IF(ISNUMBER(FIND(";"&amp;"balanced"&amp;";",";"&amp;$E$112&amp;";")),"balanced",LEFT($E$112,FIND(";",$E$112&amp;";")-1))))</f>
        <v/>
      </c>
      <c r="O112" t="inlineStr">
        <is>
          <t>balanced</t>
        </is>
      </c>
      <c r="P112">
        <f>IF(OR($E$112="",$G$112),"KHONG_CHIEN_THUAT",IF(NOT($J$112),IF($H$112="balanced","GIU","CHE_DO_BO_QUA"),IF($N$112=$H$112,"GIU","HO_SO_GHI_DE")))</f>
        <v/>
      </c>
      <c r="Q112" t="inlineStr">
        <is>
          <t>Sim/AI/ConquestAi.P28.cs TickLayered + Sim/AI/Commander.cs AllowedTactic (goal.Outpost, default)</t>
        </is>
      </c>
      <c r="R112" t="inlineStr"/>
    </row>
    <row r="113">
      <c r="A113" t="inlineStr">
        <is>
          <t>goal.Outpost/hung</t>
        </is>
      </c>
      <c r="B113" t="inlineStr">
        <is>
          <t>goal.Outpost</t>
        </is>
      </c>
      <c r="C113" t="inlineStr">
        <is>
          <t>hung</t>
        </is>
      </c>
      <c r="D113">
        <f>AI_ho_so_anh_xa!$D$11</f>
        <v/>
      </c>
      <c r="E113">
        <f>INDEX(AI_ho_so_che_do!$B$2:$B$21,MATCH($D$113,AI_ho_so_che_do!$A$2:$A$21,0))&amp;""</f>
        <v/>
      </c>
      <c r="F113">
        <f>INDEX(AI_ho_so_che_do!$P$2:$P$21,MATCH($D$113,AI_ho_so_che_do!$A$2:$A$21,0))=TRUE</f>
        <v/>
      </c>
      <c r="G113">
        <f>ISNUMBER(FIND(";noGeneralTactic;",";"&amp;INDEX(AI_ho_so_che_do!$O$2:$O$21,MATCH($D$113,AI_ho_so_che_do!$A$2:$A$21,0))&amp;";"))</f>
        <v/>
      </c>
      <c r="H113">
        <f>IF(AI_tuong!$B$5&amp;""&lt;&gt;"",AI_tuong!$B$5,IF(AI_tuong!$B$4&amp;""&lt;&gt;"",AI_tuong!$B$4,"balanced"))</f>
        <v/>
      </c>
      <c r="I113" t="inlineStr">
        <is>
          <t>balanced</t>
        </is>
      </c>
      <c r="J113">
        <f>OR($F$113,AND(AI_ho_so_anh_xa!$B$11="mode",OR(AI_ho_so_anh_xa!$C$11="Weekly",AI_ho_so_anh_xa!$C$11="Operation")))</f>
        <v/>
      </c>
      <c r="K113" t="b">
        <v>1</v>
      </c>
      <c r="L113">
        <f>IF($J$113,$H$113,"balanced")</f>
        <v/>
      </c>
      <c r="M113" t="inlineStr">
        <is>
          <t>balanced</t>
        </is>
      </c>
      <c r="N113">
        <f>IF(OR($E$113="",$G$113),"balanced",IF(OR($E$113="*",ISNUMBER(FIND(";"&amp;$L$113&amp;";",";"&amp;$E$113&amp;";"))),$L$113,IF(ISNUMBER(FIND(";"&amp;"balanced"&amp;";",";"&amp;$E$113&amp;";")),"balanced",LEFT($E$113,FIND(";",$E$113&amp;";")-1))))</f>
        <v/>
      </c>
      <c r="O113" t="inlineStr">
        <is>
          <t>balanced</t>
        </is>
      </c>
      <c r="P113">
        <f>IF(OR($E$113="",$G$113),"KHONG_CHIEN_THUAT",IF(NOT($J$113),IF($H$113="balanced","GIU","CHE_DO_BO_QUA"),IF($N$113=$H$113,"GIU","HO_SO_GHI_DE")))</f>
        <v/>
      </c>
      <c r="Q113" t="inlineStr">
        <is>
          <t>Sim/AI/ConquestAi.P28.cs TickLayered + Sim/AI/Commander.cs AllowedTactic (goal.Outpost, hung)</t>
        </is>
      </c>
      <c r="R113" t="inlineStr"/>
    </row>
    <row r="114">
      <c r="A114" t="inlineStr">
        <is>
          <t>goal.Outpost/kessler</t>
        </is>
      </c>
      <c r="B114" t="inlineStr">
        <is>
          <t>goal.Outpost</t>
        </is>
      </c>
      <c r="C114" t="inlineStr">
        <is>
          <t>kessler</t>
        </is>
      </c>
      <c r="D114">
        <f>AI_ho_so_anh_xa!$D$11</f>
        <v/>
      </c>
      <c r="E114">
        <f>INDEX(AI_ho_so_che_do!$B$2:$B$21,MATCH($D$114,AI_ho_so_che_do!$A$2:$A$21,0))&amp;""</f>
        <v/>
      </c>
      <c r="F114">
        <f>INDEX(AI_ho_so_che_do!$P$2:$P$21,MATCH($D$114,AI_ho_so_che_do!$A$2:$A$21,0))=TRUE</f>
        <v/>
      </c>
      <c r="G114">
        <f>ISNUMBER(FIND(";noGeneralTactic;",";"&amp;INDEX(AI_ho_so_che_do!$O$2:$O$21,MATCH($D$114,AI_ho_so_che_do!$A$2:$A$21,0))&amp;";"))</f>
        <v/>
      </c>
      <c r="H114">
        <f>IF(AI_tuong!$B$6&amp;""&lt;&gt;"",AI_tuong!$B$6,IF(AI_tuong!$B$4&amp;""&lt;&gt;"",AI_tuong!$B$4,"balanced"))</f>
        <v/>
      </c>
      <c r="I114" t="inlineStr">
        <is>
          <t>attrition</t>
        </is>
      </c>
      <c r="J114">
        <f>OR($F$114,AND(AI_ho_so_anh_xa!$B$11="mode",OR(AI_ho_so_anh_xa!$C$11="Weekly",AI_ho_so_anh_xa!$C$11="Operation")))</f>
        <v/>
      </c>
      <c r="K114" t="b">
        <v>1</v>
      </c>
      <c r="L114">
        <f>IF($J$114,$H$114,"balanced")</f>
        <v/>
      </c>
      <c r="M114" t="inlineStr">
        <is>
          <t>attrition</t>
        </is>
      </c>
      <c r="N114">
        <f>IF(OR($E$114="",$G$114),"balanced",IF(OR($E$114="*",ISNUMBER(FIND(";"&amp;$L$114&amp;";",";"&amp;$E$114&amp;";"))),$L$114,IF(ISNUMBER(FIND(";"&amp;"balanced"&amp;";",";"&amp;$E$114&amp;";")),"balanced",LEFT($E$114,FIND(";",$E$114&amp;";")-1))))</f>
        <v/>
      </c>
      <c r="O114" t="inlineStr">
        <is>
          <t>attrition</t>
        </is>
      </c>
      <c r="P114">
        <f>IF(OR($E$114="",$G$114),"KHONG_CHIEN_THUAT",IF(NOT($J$114),IF($H$114="balanced","GIU","CHE_DO_BO_QUA"),IF($N$114=$H$114,"GIU","HO_SO_GHI_DE")))</f>
        <v/>
      </c>
      <c r="Q114" t="inlineStr">
        <is>
          <t>Sim/AI/ConquestAi.P28.cs TickLayered + Sim/AI/Commander.cs AllowedTactic (goal.Outpost, kessler)</t>
        </is>
      </c>
      <c r="R114" t="inlineStr"/>
    </row>
    <row r="115">
      <c r="A115" t="inlineStr">
        <is>
          <t>goal.Outpost/orlov</t>
        </is>
      </c>
      <c r="B115" t="inlineStr">
        <is>
          <t>goal.Outpost</t>
        </is>
      </c>
      <c r="C115" t="inlineStr">
        <is>
          <t>orlov</t>
        </is>
      </c>
      <c r="D115">
        <f>AI_ho_so_anh_xa!$D$11</f>
        <v/>
      </c>
      <c r="E115">
        <f>INDEX(AI_ho_so_che_do!$B$2:$B$21,MATCH($D$115,AI_ho_so_che_do!$A$2:$A$21,0))&amp;""</f>
        <v/>
      </c>
      <c r="F115">
        <f>INDEX(AI_ho_so_che_do!$P$2:$P$21,MATCH($D$115,AI_ho_so_che_do!$A$2:$A$21,0))=TRUE</f>
        <v/>
      </c>
      <c r="G115">
        <f>ISNUMBER(FIND(";noGeneralTactic;",";"&amp;INDEX(AI_ho_so_che_do!$O$2:$O$21,MATCH($D$115,AI_ho_so_che_do!$A$2:$A$21,0))&amp;";"))</f>
        <v/>
      </c>
      <c r="H115">
        <f>IF(AI_tuong!$B$7&amp;""&lt;&gt;"",AI_tuong!$B$7,IF(AI_tuong!$B$4&amp;""&lt;&gt;"",AI_tuong!$B$4,"balanced"))</f>
        <v/>
      </c>
      <c r="I115" t="inlineStr">
        <is>
          <t>firepower</t>
        </is>
      </c>
      <c r="J115">
        <f>OR($F$115,AND(AI_ho_so_anh_xa!$B$11="mode",OR(AI_ho_so_anh_xa!$C$11="Weekly",AI_ho_so_anh_xa!$C$11="Operation")))</f>
        <v/>
      </c>
      <c r="K115" t="b">
        <v>1</v>
      </c>
      <c r="L115">
        <f>IF($J$115,$H$115,"balanced")</f>
        <v/>
      </c>
      <c r="M115" t="inlineStr">
        <is>
          <t>firepower</t>
        </is>
      </c>
      <c r="N115">
        <f>IF(OR($E$115="",$G$115),"balanced",IF(OR($E$115="*",ISNUMBER(FIND(";"&amp;$L$115&amp;";",";"&amp;$E$115&amp;";"))),$L$115,IF(ISNUMBER(FIND(";"&amp;"balanced"&amp;";",";"&amp;$E$115&amp;";")),"balanced",LEFT($E$115,FIND(";",$E$115&amp;";")-1))))</f>
        <v/>
      </c>
      <c r="O115" t="inlineStr">
        <is>
          <t>firepower</t>
        </is>
      </c>
      <c r="P115">
        <f>IF(OR($E$115="",$G$115),"KHONG_CHIEN_THUAT",IF(NOT($J$115),IF($H$115="balanced","GIU","CHE_DO_BO_QUA"),IF($N$115=$H$115,"GIU","HO_SO_GHI_DE")))</f>
        <v/>
      </c>
      <c r="Q115" t="inlineStr">
        <is>
          <t>Sim/AI/ConquestAi.P28.cs TickLayered + Sim/AI/Commander.cs AllowedTactic (goal.Outpost, orlov)</t>
        </is>
      </c>
      <c r="R115" t="inlineStr"/>
    </row>
    <row r="116">
      <c r="A116" t="inlineStr">
        <is>
          <t>goal.Outpost/quaden</t>
        </is>
      </c>
      <c r="B116" t="inlineStr">
        <is>
          <t>goal.Outpost</t>
        </is>
      </c>
      <c r="C116" t="inlineStr">
        <is>
          <t>quaden</t>
        </is>
      </c>
      <c r="D116">
        <f>AI_ho_so_anh_xa!$D$11</f>
        <v/>
      </c>
      <c r="E116">
        <f>INDEX(AI_ho_so_che_do!$B$2:$B$21,MATCH($D$116,AI_ho_so_che_do!$A$2:$A$21,0))&amp;""</f>
        <v/>
      </c>
      <c r="F116">
        <f>INDEX(AI_ho_so_che_do!$P$2:$P$21,MATCH($D$116,AI_ho_so_che_do!$A$2:$A$21,0))=TRUE</f>
        <v/>
      </c>
      <c r="G116">
        <f>ISNUMBER(FIND(";noGeneralTactic;",";"&amp;INDEX(AI_ho_so_che_do!$O$2:$O$21,MATCH($D$116,AI_ho_so_che_do!$A$2:$A$21,0))&amp;";"))</f>
        <v/>
      </c>
      <c r="H116">
        <f>IF(AI_tuong!$B$8&amp;""&lt;&gt;"",AI_tuong!$B$8,IF(AI_tuong!$B$4&amp;""&lt;&gt;"",AI_tuong!$B$4,"balanced"))</f>
        <v/>
      </c>
      <c r="I116" t="inlineStr">
        <is>
          <t>balanced</t>
        </is>
      </c>
      <c r="J116">
        <f>OR($F$116,AND(AI_ho_so_anh_xa!$B$11="mode",OR(AI_ho_so_anh_xa!$C$11="Weekly",AI_ho_so_anh_xa!$C$11="Operation")))</f>
        <v/>
      </c>
      <c r="K116" t="b">
        <v>1</v>
      </c>
      <c r="L116">
        <f>IF($J$116,$H$116,"balanced")</f>
        <v/>
      </c>
      <c r="M116" t="inlineStr">
        <is>
          <t>balanced</t>
        </is>
      </c>
      <c r="N116">
        <f>IF(OR($E$116="",$G$116),"balanced",IF(OR($E$116="*",ISNUMBER(FIND(";"&amp;$L$116&amp;";",";"&amp;$E$116&amp;";"))),$L$116,IF(ISNUMBER(FIND(";"&amp;"balanced"&amp;";",";"&amp;$E$116&amp;";")),"balanced",LEFT($E$116,FIND(";",$E$116&amp;";")-1))))</f>
        <v/>
      </c>
      <c r="O116" t="inlineStr">
        <is>
          <t>balanced</t>
        </is>
      </c>
      <c r="P116">
        <f>IF(OR($E$116="",$G$116),"KHONG_CHIEN_THUAT",IF(NOT($J$116),IF($H$116="balanced","GIU","CHE_DO_BO_QUA"),IF($N$116=$H$116,"GIU","HO_SO_GHI_DE")))</f>
        <v/>
      </c>
      <c r="Q116" t="inlineStr">
        <is>
          <t>Sim/AI/ConquestAi.P28.cs TickLayered + Sim/AI/Commander.cs AllowedTactic (goal.Outpost, quaden)</t>
        </is>
      </c>
      <c r="R116" t="inlineStr"/>
    </row>
    <row r="117">
      <c r="A117" t="inlineStr">
        <is>
          <t>goal.Outpost/sen</t>
        </is>
      </c>
      <c r="B117" t="inlineStr">
        <is>
          <t>goal.Outpost</t>
        </is>
      </c>
      <c r="C117" t="inlineStr">
        <is>
          <t>sen</t>
        </is>
      </c>
      <c r="D117">
        <f>AI_ho_so_anh_xa!$D$11</f>
        <v/>
      </c>
      <c r="E117">
        <f>INDEX(AI_ho_so_che_do!$B$2:$B$21,MATCH($D$117,AI_ho_so_che_do!$A$2:$A$21,0))&amp;""</f>
        <v/>
      </c>
      <c r="F117">
        <f>INDEX(AI_ho_so_che_do!$P$2:$P$21,MATCH($D$117,AI_ho_so_che_do!$A$2:$A$21,0))=TRUE</f>
        <v/>
      </c>
      <c r="G117">
        <f>ISNUMBER(FIND(";noGeneralTactic;",";"&amp;INDEX(AI_ho_so_che_do!$O$2:$O$21,MATCH($D$117,AI_ho_so_che_do!$A$2:$A$21,0))&amp;";"))</f>
        <v/>
      </c>
      <c r="H117">
        <f>IF(AI_tuong!$B$9&amp;""&lt;&gt;"",AI_tuong!$B$9,IF(AI_tuong!$B$4&amp;""&lt;&gt;"",AI_tuong!$B$4,"balanced"))</f>
        <v/>
      </c>
      <c r="I117" t="inlineStr">
        <is>
          <t>balanced</t>
        </is>
      </c>
      <c r="J117">
        <f>OR($F$117,AND(AI_ho_so_anh_xa!$B$11="mode",OR(AI_ho_so_anh_xa!$C$11="Weekly",AI_ho_so_anh_xa!$C$11="Operation")))</f>
        <v/>
      </c>
      <c r="K117" t="b">
        <v>1</v>
      </c>
      <c r="L117">
        <f>IF($J$117,$H$117,"balanced")</f>
        <v/>
      </c>
      <c r="M117" t="inlineStr">
        <is>
          <t>balanced</t>
        </is>
      </c>
      <c r="N117">
        <f>IF(OR($E$117="",$G$117),"balanced",IF(OR($E$117="*",ISNUMBER(FIND(";"&amp;$L$117&amp;";",";"&amp;$E$117&amp;";"))),$L$117,IF(ISNUMBER(FIND(";"&amp;"balanced"&amp;";",";"&amp;$E$117&amp;";")),"balanced",LEFT($E$117,FIND(";",$E$117&amp;";")-1))))</f>
        <v/>
      </c>
      <c r="O117" t="inlineStr">
        <is>
          <t>balanced</t>
        </is>
      </c>
      <c r="P117">
        <f>IF(OR($E$117="",$G$117),"KHONG_CHIEN_THUAT",IF(NOT($J$117),IF($H$117="balanced","GIU","CHE_DO_BO_QUA"),IF($N$117=$H$117,"GIU","HO_SO_GHI_DE")))</f>
        <v/>
      </c>
      <c r="Q117" t="inlineStr">
        <is>
          <t>Sim/AI/ConquestAi.P28.cs TickLayered + Sim/AI/Commander.cs AllowedTactic (goal.Outpost, sen)</t>
        </is>
      </c>
      <c r="R117" t="inlineStr"/>
    </row>
    <row r="118">
      <c r="A118" t="inlineStr">
        <is>
          <t>goal.Outpost/thorne</t>
        </is>
      </c>
      <c r="B118" t="inlineStr">
        <is>
          <t>goal.Outpost</t>
        </is>
      </c>
      <c r="C118" t="inlineStr">
        <is>
          <t>thorne</t>
        </is>
      </c>
      <c r="D118">
        <f>AI_ho_so_anh_xa!$D$11</f>
        <v/>
      </c>
      <c r="E118">
        <f>INDEX(AI_ho_so_che_do!$B$2:$B$21,MATCH($D$118,AI_ho_so_che_do!$A$2:$A$21,0))&amp;""</f>
        <v/>
      </c>
      <c r="F118">
        <f>INDEX(AI_ho_so_che_do!$P$2:$P$21,MATCH($D$118,AI_ho_so_che_do!$A$2:$A$21,0))=TRUE</f>
        <v/>
      </c>
      <c r="G118">
        <f>ISNUMBER(FIND(";noGeneralTactic;",";"&amp;INDEX(AI_ho_so_che_do!$O$2:$O$21,MATCH($D$118,AI_ho_so_che_do!$A$2:$A$21,0))&amp;";"))</f>
        <v/>
      </c>
      <c r="H118">
        <f>IF(AI_tuong!$B$10&amp;""&lt;&gt;"",AI_tuong!$B$10,IF(AI_tuong!$B$4&amp;""&lt;&gt;"",AI_tuong!$B$4,"balanced"))</f>
        <v/>
      </c>
      <c r="I118" t="inlineStr">
        <is>
          <t>balanced</t>
        </is>
      </c>
      <c r="J118">
        <f>OR($F$118,AND(AI_ho_so_anh_xa!$B$11="mode",OR(AI_ho_so_anh_xa!$C$11="Weekly",AI_ho_so_anh_xa!$C$11="Operation")))</f>
        <v/>
      </c>
      <c r="K118" t="b">
        <v>1</v>
      </c>
      <c r="L118">
        <f>IF($J$118,$H$118,"balanced")</f>
        <v/>
      </c>
      <c r="M118" t="inlineStr">
        <is>
          <t>balanced</t>
        </is>
      </c>
      <c r="N118">
        <f>IF(OR($E$118="",$G$118),"balanced",IF(OR($E$118="*",ISNUMBER(FIND(";"&amp;$L$118&amp;";",";"&amp;$E$118&amp;";"))),$L$118,IF(ISNUMBER(FIND(";"&amp;"balanced"&amp;";",";"&amp;$E$118&amp;";")),"balanced",LEFT($E$118,FIND(";",$E$118&amp;";")-1))))</f>
        <v/>
      </c>
      <c r="O118" t="inlineStr">
        <is>
          <t>balanced</t>
        </is>
      </c>
      <c r="P118">
        <f>IF(OR($E$118="",$G$118),"KHONG_CHIEN_THUAT",IF(NOT($J$118),IF($H$118="balanced","GIU","CHE_DO_BO_QUA"),IF($N$118=$H$118,"GIU","HO_SO_GHI_DE")))</f>
        <v/>
      </c>
      <c r="Q118" t="inlineStr">
        <is>
          <t>Sim/AI/ConquestAi.P28.cs TickLayered + Sim/AI/Commander.cs AllowedTactic (goal.Outpost, thorne)</t>
        </is>
      </c>
      <c r="R118" t="inlineStr"/>
    </row>
    <row r="119">
      <c r="A119" t="inlineStr">
        <is>
          <t>goal.Outpost/varga</t>
        </is>
      </c>
      <c r="B119" t="inlineStr">
        <is>
          <t>goal.Outpost</t>
        </is>
      </c>
      <c r="C119" t="inlineStr">
        <is>
          <t>varga</t>
        </is>
      </c>
      <c r="D119">
        <f>AI_ho_so_anh_xa!$D$11</f>
        <v/>
      </c>
      <c r="E119">
        <f>INDEX(AI_ho_so_che_do!$B$2:$B$21,MATCH($D$119,AI_ho_so_che_do!$A$2:$A$21,0))&amp;""</f>
        <v/>
      </c>
      <c r="F119">
        <f>INDEX(AI_ho_so_che_do!$P$2:$P$21,MATCH($D$119,AI_ho_so_che_do!$A$2:$A$21,0))=TRUE</f>
        <v/>
      </c>
      <c r="G119">
        <f>ISNUMBER(FIND(";noGeneralTactic;",";"&amp;INDEX(AI_ho_so_che_do!$O$2:$O$21,MATCH($D$119,AI_ho_so_che_do!$A$2:$A$21,0))&amp;";"))</f>
        <v/>
      </c>
      <c r="H119">
        <f>IF(AI_tuong!$B$11&amp;""&lt;&gt;"",AI_tuong!$B$11,IF(AI_tuong!$B$4&amp;""&lt;&gt;"",AI_tuong!$B$4,"balanced"))</f>
        <v/>
      </c>
      <c r="I119" t="inlineStr">
        <is>
          <t>breakthrough</t>
        </is>
      </c>
      <c r="J119">
        <f>OR($F$119,AND(AI_ho_so_anh_xa!$B$11="mode",OR(AI_ho_so_anh_xa!$C$11="Weekly",AI_ho_so_anh_xa!$C$11="Operation")))</f>
        <v/>
      </c>
      <c r="K119" t="b">
        <v>1</v>
      </c>
      <c r="L119">
        <f>IF($J$119,$H$119,"balanced")</f>
        <v/>
      </c>
      <c r="M119" t="inlineStr">
        <is>
          <t>breakthrough</t>
        </is>
      </c>
      <c r="N119">
        <f>IF(OR($E$119="",$G$119),"balanced",IF(OR($E$119="*",ISNUMBER(FIND(";"&amp;$L$119&amp;";",";"&amp;$E$119&amp;";"))),$L$119,IF(ISNUMBER(FIND(";"&amp;"balanced"&amp;";",";"&amp;$E$119&amp;";")),"balanced",LEFT($E$119,FIND(";",$E$119&amp;";")-1))))</f>
        <v/>
      </c>
      <c r="O119" t="inlineStr">
        <is>
          <t>breakthrough</t>
        </is>
      </c>
      <c r="P119">
        <f>IF(OR($E$119="",$G$119),"KHONG_CHIEN_THUAT",IF(NOT($J$119),IF($H$119="balanced","GIU","CHE_DO_BO_QUA"),IF($N$119=$H$119,"GIU","HO_SO_GHI_DE")))</f>
        <v/>
      </c>
      <c r="Q119" t="inlineStr">
        <is>
          <t>Sim/AI/ConquestAi.P28.cs TickLayered + Sim/AI/Commander.cs AllowedTactic (goal.Outpost, varga)</t>
        </is>
      </c>
      <c r="R119" t="inlineStr"/>
    </row>
    <row r="120">
      <c r="A120" t="inlineStr">
        <is>
          <t>goal.Outpost/venn</t>
        </is>
      </c>
      <c r="B120" t="inlineStr">
        <is>
          <t>goal.Outpost</t>
        </is>
      </c>
      <c r="C120" t="inlineStr">
        <is>
          <t>venn</t>
        </is>
      </c>
      <c r="D120">
        <f>AI_ho_so_anh_xa!$D$11</f>
        <v/>
      </c>
      <c r="E120">
        <f>INDEX(AI_ho_so_che_do!$B$2:$B$21,MATCH($D$120,AI_ho_so_che_do!$A$2:$A$21,0))&amp;""</f>
        <v/>
      </c>
      <c r="F120">
        <f>INDEX(AI_ho_so_che_do!$P$2:$P$21,MATCH($D$120,AI_ho_so_che_do!$A$2:$A$21,0))=TRUE</f>
        <v/>
      </c>
      <c r="G120">
        <f>ISNUMBER(FIND(";noGeneralTactic;",";"&amp;INDEX(AI_ho_so_che_do!$O$2:$O$21,MATCH($D$120,AI_ho_so_che_do!$A$2:$A$21,0))&amp;";"))</f>
        <v/>
      </c>
      <c r="H120">
        <f>IF(AI_tuong!$B$12&amp;""&lt;&gt;"",AI_tuong!$B$12,IF(AI_tuong!$B$4&amp;""&lt;&gt;"",AI_tuong!$B$4,"balanced"))</f>
        <v/>
      </c>
      <c r="I120" t="inlineStr">
        <is>
          <t>dispersal</t>
        </is>
      </c>
      <c r="J120">
        <f>OR($F$120,AND(AI_ho_so_anh_xa!$B$11="mode",OR(AI_ho_so_anh_xa!$C$11="Weekly",AI_ho_so_anh_xa!$C$11="Operation")))</f>
        <v/>
      </c>
      <c r="K120" t="b">
        <v>1</v>
      </c>
      <c r="L120">
        <f>IF($J$120,$H$120,"balanced")</f>
        <v/>
      </c>
      <c r="M120" t="inlineStr">
        <is>
          <t>dispersal</t>
        </is>
      </c>
      <c r="N120">
        <f>IF(OR($E$120="",$G$120),"balanced",IF(OR($E$120="*",ISNUMBER(FIND(";"&amp;$L$120&amp;";",";"&amp;$E$120&amp;";"))),$L$120,IF(ISNUMBER(FIND(";"&amp;"balanced"&amp;";",";"&amp;$E$120&amp;";")),"balanced",LEFT($E$120,FIND(";",$E$120&amp;";")-1))))</f>
        <v/>
      </c>
      <c r="O120" t="inlineStr">
        <is>
          <t>dispersal</t>
        </is>
      </c>
      <c r="P120">
        <f>IF(OR($E$120="",$G$120),"KHONG_CHIEN_THUAT",IF(NOT($J$120),IF($H$120="balanced","GIU","CHE_DO_BO_QUA"),IF($N$120=$H$120,"GIU","HO_SO_GHI_DE")))</f>
        <v/>
      </c>
      <c r="Q120" t="inlineStr">
        <is>
          <t>Sim/AI/ConquestAi.P28.cs TickLayered + Sim/AI/Commander.cs AllowedTactic (goal.Outpost, venn)</t>
        </is>
      </c>
      <c r="R120" t="inlineStr"/>
    </row>
    <row r="121">
      <c r="A121" t="inlineStr">
        <is>
          <t>goal.Outpost/wolff</t>
        </is>
      </c>
      <c r="B121" t="inlineStr">
        <is>
          <t>goal.Outpost</t>
        </is>
      </c>
      <c r="C121" t="inlineStr">
        <is>
          <t>wolff</t>
        </is>
      </c>
      <c r="D121">
        <f>AI_ho_so_anh_xa!$D$11</f>
        <v/>
      </c>
      <c r="E121">
        <f>INDEX(AI_ho_so_che_do!$B$2:$B$21,MATCH($D$121,AI_ho_so_che_do!$A$2:$A$21,0))&amp;""</f>
        <v/>
      </c>
      <c r="F121">
        <f>INDEX(AI_ho_so_che_do!$P$2:$P$21,MATCH($D$121,AI_ho_so_che_do!$A$2:$A$21,0))=TRUE</f>
        <v/>
      </c>
      <c r="G121">
        <f>ISNUMBER(FIND(";noGeneralTactic;",";"&amp;INDEX(AI_ho_so_che_do!$O$2:$O$21,MATCH($D$121,AI_ho_so_che_do!$A$2:$A$21,0))&amp;";"))</f>
        <v/>
      </c>
      <c r="H121">
        <f>IF(AI_tuong!$B$13&amp;""&lt;&gt;"",AI_tuong!$B$13,IF(AI_tuong!$B$4&amp;""&lt;&gt;"",AI_tuong!$B$4,"balanced"))</f>
        <v/>
      </c>
      <c r="I121" t="inlineStr">
        <is>
          <t>air_superiority</t>
        </is>
      </c>
      <c r="J121">
        <f>OR($F$121,AND(AI_ho_so_anh_xa!$B$11="mode",OR(AI_ho_so_anh_xa!$C$11="Weekly",AI_ho_so_anh_xa!$C$11="Operation")))</f>
        <v/>
      </c>
      <c r="K121" t="b">
        <v>1</v>
      </c>
      <c r="L121">
        <f>IF($J$121,$H$121,"balanced")</f>
        <v/>
      </c>
      <c r="M121" t="inlineStr">
        <is>
          <t>air_superiority</t>
        </is>
      </c>
      <c r="N121">
        <f>IF(OR($E$121="",$G$121),"balanced",IF(OR($E$121="*",ISNUMBER(FIND(";"&amp;$L$121&amp;";",";"&amp;$E$121&amp;";"))),$L$121,IF(ISNUMBER(FIND(";"&amp;"balanced"&amp;";",";"&amp;$E$121&amp;";")),"balanced",LEFT($E$121,FIND(";",$E$121&amp;";")-1))))</f>
        <v/>
      </c>
      <c r="O121" t="inlineStr">
        <is>
          <t>air_superiority</t>
        </is>
      </c>
      <c r="P121">
        <f>IF(OR($E$121="",$G$121),"KHONG_CHIEN_THUAT",IF(NOT($J$121),IF($H$121="balanced","GIU","CHE_DO_BO_QUA"),IF($N$121=$H$121,"GIU","HO_SO_GHI_DE")))</f>
        <v/>
      </c>
      <c r="Q121" t="inlineStr">
        <is>
          <t>Sim/AI/ConquestAi.P28.cs TickLayered + Sim/AI/Commander.cs AllowedTactic (goal.Outpost, wolff)</t>
        </is>
      </c>
      <c r="R121" t="inlineStr"/>
    </row>
    <row r="122">
      <c r="A122" t="inlineStr">
        <is>
          <t>goal.Protect/aurel</t>
        </is>
      </c>
      <c r="B122" t="inlineStr">
        <is>
          <t>goal.Protect</t>
        </is>
      </c>
      <c r="C122" t="inlineStr">
        <is>
          <t>aurel</t>
        </is>
      </c>
      <c r="D122">
        <f>AI_ho_so_anh_xa!$D$12</f>
        <v/>
      </c>
      <c r="E122">
        <f>INDEX(AI_ho_so_che_do!$B$2:$B$21,MATCH($D$122,AI_ho_so_che_do!$A$2:$A$21,0))&amp;""</f>
        <v/>
      </c>
      <c r="F122">
        <f>INDEX(AI_ho_so_che_do!$P$2:$P$21,MATCH($D$122,AI_ho_so_che_do!$A$2:$A$21,0))=TRUE</f>
        <v/>
      </c>
      <c r="G122">
        <f>ISNUMBER(FIND(";noGeneralTactic;",";"&amp;INDEX(AI_ho_so_che_do!$O$2:$O$21,MATCH($D$122,AI_ho_so_che_do!$A$2:$A$21,0))&amp;";"))</f>
        <v/>
      </c>
      <c r="H122">
        <f>IF(AI_tuong!$B$2&amp;""&lt;&gt;"",AI_tuong!$B$2,IF(AI_tuong!$B$4&amp;""&lt;&gt;"",AI_tuong!$B$4,"balanced"))</f>
        <v/>
      </c>
      <c r="I122" t="inlineStr">
        <is>
          <t>all_out</t>
        </is>
      </c>
      <c r="J122">
        <f>OR($F$122,AND(AI_ho_so_anh_xa!$B$12="mode",OR(AI_ho_so_anh_xa!$C$12="Weekly",AI_ho_so_anh_xa!$C$12="Operation")))</f>
        <v/>
      </c>
      <c r="K122" t="b">
        <v>1</v>
      </c>
      <c r="L122">
        <f>IF($J$122,$H$122,"balanced")</f>
        <v/>
      </c>
      <c r="M122" t="inlineStr">
        <is>
          <t>all_out</t>
        </is>
      </c>
      <c r="N122">
        <f>IF(OR($E$122="",$G$122),"balanced",IF(OR($E$122="*",ISNUMBER(FIND(";"&amp;$L$122&amp;";",";"&amp;$E$122&amp;";"))),$L$122,IF(ISNUMBER(FIND(";"&amp;"balanced"&amp;";",";"&amp;$E$122&amp;";")),"balanced",LEFT($E$122,FIND(";",$E$122&amp;";")-1))))</f>
        <v/>
      </c>
      <c r="O122" t="inlineStr">
        <is>
          <t>all_out</t>
        </is>
      </c>
      <c r="P122">
        <f>IF(OR($E$122="",$G$122),"KHONG_CHIEN_THUAT",IF(NOT($J$122),IF($H$122="balanced","GIU","CHE_DO_BO_QUA"),IF($N$122=$H$122,"GIU","HO_SO_GHI_DE")))</f>
        <v/>
      </c>
      <c r="Q122" t="inlineStr">
        <is>
          <t>Sim/AI/ConquestAi.P28.cs TickLayered + Sim/AI/Commander.cs AllowedTactic (goal.Protect, aurel)</t>
        </is>
      </c>
      <c r="R122" t="inlineStr"/>
    </row>
    <row r="123">
      <c r="A123" t="inlineStr">
        <is>
          <t>goal.Protect/brandt</t>
        </is>
      </c>
      <c r="B123" t="inlineStr">
        <is>
          <t>goal.Protect</t>
        </is>
      </c>
      <c r="C123" t="inlineStr">
        <is>
          <t>brandt</t>
        </is>
      </c>
      <c r="D123">
        <f>AI_ho_so_anh_xa!$D$12</f>
        <v/>
      </c>
      <c r="E123">
        <f>INDEX(AI_ho_so_che_do!$B$2:$B$21,MATCH($D$123,AI_ho_so_che_do!$A$2:$A$21,0))&amp;""</f>
        <v/>
      </c>
      <c r="F123">
        <f>INDEX(AI_ho_so_che_do!$P$2:$P$21,MATCH($D$123,AI_ho_so_che_do!$A$2:$A$21,0))=TRUE</f>
        <v/>
      </c>
      <c r="G123">
        <f>ISNUMBER(FIND(";noGeneralTactic;",";"&amp;INDEX(AI_ho_so_che_do!$O$2:$O$21,MATCH($D$123,AI_ho_so_che_do!$A$2:$A$21,0))&amp;";"))</f>
        <v/>
      </c>
      <c r="H123">
        <f>IF(AI_tuong!$B$3&amp;""&lt;&gt;"",AI_tuong!$B$3,IF(AI_tuong!$B$4&amp;""&lt;&gt;"",AI_tuong!$B$4,"balanced"))</f>
        <v/>
      </c>
      <c r="I123" t="inlineStr">
        <is>
          <t>depth</t>
        </is>
      </c>
      <c r="J123">
        <f>OR($F$123,AND(AI_ho_so_anh_xa!$B$12="mode",OR(AI_ho_so_anh_xa!$C$12="Weekly",AI_ho_so_anh_xa!$C$12="Operation")))</f>
        <v/>
      </c>
      <c r="K123" t="b">
        <v>1</v>
      </c>
      <c r="L123">
        <f>IF($J$123,$H$123,"balanced")</f>
        <v/>
      </c>
      <c r="M123" t="inlineStr">
        <is>
          <t>depth</t>
        </is>
      </c>
      <c r="N123">
        <f>IF(OR($E$123="",$G$123),"balanced",IF(OR($E$123="*",ISNUMBER(FIND(";"&amp;$L$123&amp;";",";"&amp;$E$123&amp;";"))),$L$123,IF(ISNUMBER(FIND(";"&amp;"balanced"&amp;";",";"&amp;$E$123&amp;";")),"balanced",LEFT($E$123,FIND(";",$E$123&amp;";")-1))))</f>
        <v/>
      </c>
      <c r="O123" t="inlineStr">
        <is>
          <t>depth</t>
        </is>
      </c>
      <c r="P123">
        <f>IF(OR($E$123="",$G$123),"KHONG_CHIEN_THUAT",IF(NOT($J$123),IF($H$123="balanced","GIU","CHE_DO_BO_QUA"),IF($N$123=$H$123,"GIU","HO_SO_GHI_DE")))</f>
        <v/>
      </c>
      <c r="Q123" t="inlineStr">
        <is>
          <t>Sim/AI/ConquestAi.P28.cs TickLayered + Sim/AI/Commander.cs AllowedTactic (goal.Protect, brandt)</t>
        </is>
      </c>
      <c r="R123" t="inlineStr"/>
    </row>
    <row r="124">
      <c r="A124" t="inlineStr">
        <is>
          <t>goal.Protect/default</t>
        </is>
      </c>
      <c r="B124" t="inlineStr">
        <is>
          <t>goal.Protect</t>
        </is>
      </c>
      <c r="C124" t="inlineStr">
        <is>
          <t>default</t>
        </is>
      </c>
      <c r="D124">
        <f>AI_ho_so_anh_xa!$D$12</f>
        <v/>
      </c>
      <c r="E124">
        <f>INDEX(AI_ho_so_che_do!$B$2:$B$21,MATCH($D$124,AI_ho_so_che_do!$A$2:$A$21,0))&amp;""</f>
        <v/>
      </c>
      <c r="F124">
        <f>INDEX(AI_ho_so_che_do!$P$2:$P$21,MATCH($D$124,AI_ho_so_che_do!$A$2:$A$21,0))=TRUE</f>
        <v/>
      </c>
      <c r="G124">
        <f>ISNUMBER(FIND(";noGeneralTactic;",";"&amp;INDEX(AI_ho_so_che_do!$O$2:$O$21,MATCH($D$124,AI_ho_so_che_do!$A$2:$A$21,0))&amp;";"))</f>
        <v/>
      </c>
      <c r="H124">
        <f>IF(AI_tuong!$B$4&amp;""&lt;&gt;"",AI_tuong!$B$4,IF(AI_tuong!$B$4&amp;""&lt;&gt;"",AI_tuong!$B$4,"balanced"))</f>
        <v/>
      </c>
      <c r="I124" t="inlineStr">
        <is>
          <t>balanced</t>
        </is>
      </c>
      <c r="J124">
        <f>OR($F$124,AND(AI_ho_so_anh_xa!$B$12="mode",OR(AI_ho_so_anh_xa!$C$12="Weekly",AI_ho_so_anh_xa!$C$12="Operation")))</f>
        <v/>
      </c>
      <c r="K124" t="b">
        <v>1</v>
      </c>
      <c r="L124">
        <f>IF($J$124,$H$124,"balanced")</f>
        <v/>
      </c>
      <c r="M124" t="inlineStr">
        <is>
          <t>balanced</t>
        </is>
      </c>
      <c r="N124">
        <f>IF(OR($E$124="",$G$124),"balanced",IF(OR($E$124="*",ISNUMBER(FIND(";"&amp;$L$124&amp;";",";"&amp;$E$124&amp;";"))),$L$124,IF(ISNUMBER(FIND(";"&amp;"balanced"&amp;";",";"&amp;$E$124&amp;";")),"balanced",LEFT($E$124,FIND(";",$E$124&amp;";")-1))))</f>
        <v/>
      </c>
      <c r="O124" t="inlineStr">
        <is>
          <t>balanced</t>
        </is>
      </c>
      <c r="P124">
        <f>IF(OR($E$124="",$G$124),"KHONG_CHIEN_THUAT",IF(NOT($J$124),IF($H$124="balanced","GIU","CHE_DO_BO_QUA"),IF($N$124=$H$124,"GIU","HO_SO_GHI_DE")))</f>
        <v/>
      </c>
      <c r="Q124" t="inlineStr">
        <is>
          <t>Sim/AI/ConquestAi.P28.cs TickLayered + Sim/AI/Commander.cs AllowedTactic (goal.Protect, default)</t>
        </is>
      </c>
      <c r="R124" t="inlineStr"/>
    </row>
    <row r="125">
      <c r="A125" t="inlineStr">
        <is>
          <t>goal.Protect/hung</t>
        </is>
      </c>
      <c r="B125" t="inlineStr">
        <is>
          <t>goal.Protect</t>
        </is>
      </c>
      <c r="C125" t="inlineStr">
        <is>
          <t>hung</t>
        </is>
      </c>
      <c r="D125">
        <f>AI_ho_so_anh_xa!$D$12</f>
        <v/>
      </c>
      <c r="E125">
        <f>INDEX(AI_ho_so_che_do!$B$2:$B$21,MATCH($D$125,AI_ho_so_che_do!$A$2:$A$21,0))&amp;""</f>
        <v/>
      </c>
      <c r="F125">
        <f>INDEX(AI_ho_so_che_do!$P$2:$P$21,MATCH($D$125,AI_ho_so_che_do!$A$2:$A$21,0))=TRUE</f>
        <v/>
      </c>
      <c r="G125">
        <f>ISNUMBER(FIND(";noGeneralTactic;",";"&amp;INDEX(AI_ho_so_che_do!$O$2:$O$21,MATCH($D$125,AI_ho_so_che_do!$A$2:$A$21,0))&amp;";"))</f>
        <v/>
      </c>
      <c r="H125">
        <f>IF(AI_tuong!$B$5&amp;""&lt;&gt;"",AI_tuong!$B$5,IF(AI_tuong!$B$4&amp;""&lt;&gt;"",AI_tuong!$B$4,"balanced"))</f>
        <v/>
      </c>
      <c r="I125" t="inlineStr">
        <is>
          <t>balanced</t>
        </is>
      </c>
      <c r="J125">
        <f>OR($F$125,AND(AI_ho_so_anh_xa!$B$12="mode",OR(AI_ho_so_anh_xa!$C$12="Weekly",AI_ho_so_anh_xa!$C$12="Operation")))</f>
        <v/>
      </c>
      <c r="K125" t="b">
        <v>1</v>
      </c>
      <c r="L125">
        <f>IF($J$125,$H$125,"balanced")</f>
        <v/>
      </c>
      <c r="M125" t="inlineStr">
        <is>
          <t>balanced</t>
        </is>
      </c>
      <c r="N125">
        <f>IF(OR($E$125="",$G$125),"balanced",IF(OR($E$125="*",ISNUMBER(FIND(";"&amp;$L$125&amp;";",";"&amp;$E$125&amp;";"))),$L$125,IF(ISNUMBER(FIND(";"&amp;"balanced"&amp;";",";"&amp;$E$125&amp;";")),"balanced",LEFT($E$125,FIND(";",$E$125&amp;";")-1))))</f>
        <v/>
      </c>
      <c r="O125" t="inlineStr">
        <is>
          <t>balanced</t>
        </is>
      </c>
      <c r="P125">
        <f>IF(OR($E$125="",$G$125),"KHONG_CHIEN_THUAT",IF(NOT($J$125),IF($H$125="balanced","GIU","CHE_DO_BO_QUA"),IF($N$125=$H$125,"GIU","HO_SO_GHI_DE")))</f>
        <v/>
      </c>
      <c r="Q125" t="inlineStr">
        <is>
          <t>Sim/AI/ConquestAi.P28.cs TickLayered + Sim/AI/Commander.cs AllowedTactic (goal.Protect, hung)</t>
        </is>
      </c>
      <c r="R125" t="inlineStr"/>
    </row>
    <row r="126">
      <c r="A126" t="inlineStr">
        <is>
          <t>goal.Protect/kessler</t>
        </is>
      </c>
      <c r="B126" t="inlineStr">
        <is>
          <t>goal.Protect</t>
        </is>
      </c>
      <c r="C126" t="inlineStr">
        <is>
          <t>kessler</t>
        </is>
      </c>
      <c r="D126">
        <f>AI_ho_so_anh_xa!$D$12</f>
        <v/>
      </c>
      <c r="E126">
        <f>INDEX(AI_ho_so_che_do!$B$2:$B$21,MATCH($D$126,AI_ho_so_che_do!$A$2:$A$21,0))&amp;""</f>
        <v/>
      </c>
      <c r="F126">
        <f>INDEX(AI_ho_so_che_do!$P$2:$P$21,MATCH($D$126,AI_ho_so_che_do!$A$2:$A$21,0))=TRUE</f>
        <v/>
      </c>
      <c r="G126">
        <f>ISNUMBER(FIND(";noGeneralTactic;",";"&amp;INDEX(AI_ho_so_che_do!$O$2:$O$21,MATCH($D$126,AI_ho_so_che_do!$A$2:$A$21,0))&amp;";"))</f>
        <v/>
      </c>
      <c r="H126">
        <f>IF(AI_tuong!$B$6&amp;""&lt;&gt;"",AI_tuong!$B$6,IF(AI_tuong!$B$4&amp;""&lt;&gt;"",AI_tuong!$B$4,"balanced"))</f>
        <v/>
      </c>
      <c r="I126" t="inlineStr">
        <is>
          <t>attrition</t>
        </is>
      </c>
      <c r="J126">
        <f>OR($F$126,AND(AI_ho_so_anh_xa!$B$12="mode",OR(AI_ho_so_anh_xa!$C$12="Weekly",AI_ho_so_anh_xa!$C$12="Operation")))</f>
        <v/>
      </c>
      <c r="K126" t="b">
        <v>1</v>
      </c>
      <c r="L126">
        <f>IF($J$126,$H$126,"balanced")</f>
        <v/>
      </c>
      <c r="M126" t="inlineStr">
        <is>
          <t>attrition</t>
        </is>
      </c>
      <c r="N126">
        <f>IF(OR($E$126="",$G$126),"balanced",IF(OR($E$126="*",ISNUMBER(FIND(";"&amp;$L$126&amp;";",";"&amp;$E$126&amp;";"))),$L$126,IF(ISNUMBER(FIND(";"&amp;"balanced"&amp;";",";"&amp;$E$126&amp;";")),"balanced",LEFT($E$126,FIND(";",$E$126&amp;";")-1))))</f>
        <v/>
      </c>
      <c r="O126" t="inlineStr">
        <is>
          <t>attrition</t>
        </is>
      </c>
      <c r="P126">
        <f>IF(OR($E$126="",$G$126),"KHONG_CHIEN_THUAT",IF(NOT($J$126),IF($H$126="balanced","GIU","CHE_DO_BO_QUA"),IF($N$126=$H$126,"GIU","HO_SO_GHI_DE")))</f>
        <v/>
      </c>
      <c r="Q126" t="inlineStr">
        <is>
          <t>Sim/AI/ConquestAi.P28.cs TickLayered + Sim/AI/Commander.cs AllowedTactic (goal.Protect, kessler)</t>
        </is>
      </c>
      <c r="R126" t="inlineStr"/>
    </row>
    <row r="127">
      <c r="A127" t="inlineStr">
        <is>
          <t>goal.Protect/orlov</t>
        </is>
      </c>
      <c r="B127" t="inlineStr">
        <is>
          <t>goal.Protect</t>
        </is>
      </c>
      <c r="C127" t="inlineStr">
        <is>
          <t>orlov</t>
        </is>
      </c>
      <c r="D127">
        <f>AI_ho_so_anh_xa!$D$12</f>
        <v/>
      </c>
      <c r="E127">
        <f>INDEX(AI_ho_so_che_do!$B$2:$B$21,MATCH($D$127,AI_ho_so_che_do!$A$2:$A$21,0))&amp;""</f>
        <v/>
      </c>
      <c r="F127">
        <f>INDEX(AI_ho_so_che_do!$P$2:$P$21,MATCH($D$127,AI_ho_so_che_do!$A$2:$A$21,0))=TRUE</f>
        <v/>
      </c>
      <c r="G127">
        <f>ISNUMBER(FIND(";noGeneralTactic;",";"&amp;INDEX(AI_ho_so_che_do!$O$2:$O$21,MATCH($D$127,AI_ho_so_che_do!$A$2:$A$21,0))&amp;";"))</f>
        <v/>
      </c>
      <c r="H127">
        <f>IF(AI_tuong!$B$7&amp;""&lt;&gt;"",AI_tuong!$B$7,IF(AI_tuong!$B$4&amp;""&lt;&gt;"",AI_tuong!$B$4,"balanced"))</f>
        <v/>
      </c>
      <c r="I127" t="inlineStr">
        <is>
          <t>firepower</t>
        </is>
      </c>
      <c r="J127">
        <f>OR($F$127,AND(AI_ho_so_anh_xa!$B$12="mode",OR(AI_ho_so_anh_xa!$C$12="Weekly",AI_ho_so_anh_xa!$C$12="Operation")))</f>
        <v/>
      </c>
      <c r="K127" t="b">
        <v>1</v>
      </c>
      <c r="L127">
        <f>IF($J$127,$H$127,"balanced")</f>
        <v/>
      </c>
      <c r="M127" t="inlineStr">
        <is>
          <t>firepower</t>
        </is>
      </c>
      <c r="N127">
        <f>IF(OR($E$127="",$G$127),"balanced",IF(OR($E$127="*",ISNUMBER(FIND(";"&amp;$L$127&amp;";",";"&amp;$E$127&amp;";"))),$L$127,IF(ISNUMBER(FIND(";"&amp;"balanced"&amp;";",";"&amp;$E$127&amp;";")),"balanced",LEFT($E$127,FIND(";",$E$127&amp;";")-1))))</f>
        <v/>
      </c>
      <c r="O127" t="inlineStr">
        <is>
          <t>firepower</t>
        </is>
      </c>
      <c r="P127">
        <f>IF(OR($E$127="",$G$127),"KHONG_CHIEN_THUAT",IF(NOT($J$127),IF($H$127="balanced","GIU","CHE_DO_BO_QUA"),IF($N$127=$H$127,"GIU","HO_SO_GHI_DE")))</f>
        <v/>
      </c>
      <c r="Q127" t="inlineStr">
        <is>
          <t>Sim/AI/ConquestAi.P28.cs TickLayered + Sim/AI/Commander.cs AllowedTactic (goal.Protect, orlov)</t>
        </is>
      </c>
      <c r="R127" t="inlineStr"/>
    </row>
    <row r="128">
      <c r="A128" t="inlineStr">
        <is>
          <t>goal.Protect/quaden</t>
        </is>
      </c>
      <c r="B128" t="inlineStr">
        <is>
          <t>goal.Protect</t>
        </is>
      </c>
      <c r="C128" t="inlineStr">
        <is>
          <t>quaden</t>
        </is>
      </c>
      <c r="D128">
        <f>AI_ho_so_anh_xa!$D$12</f>
        <v/>
      </c>
      <c r="E128">
        <f>INDEX(AI_ho_so_che_do!$B$2:$B$21,MATCH($D$128,AI_ho_so_che_do!$A$2:$A$21,0))&amp;""</f>
        <v/>
      </c>
      <c r="F128">
        <f>INDEX(AI_ho_so_che_do!$P$2:$P$21,MATCH($D$128,AI_ho_so_che_do!$A$2:$A$21,0))=TRUE</f>
        <v/>
      </c>
      <c r="G128">
        <f>ISNUMBER(FIND(";noGeneralTactic;",";"&amp;INDEX(AI_ho_so_che_do!$O$2:$O$21,MATCH($D$128,AI_ho_so_che_do!$A$2:$A$21,0))&amp;";"))</f>
        <v/>
      </c>
      <c r="H128">
        <f>IF(AI_tuong!$B$8&amp;""&lt;&gt;"",AI_tuong!$B$8,IF(AI_tuong!$B$4&amp;""&lt;&gt;"",AI_tuong!$B$4,"balanced"))</f>
        <v/>
      </c>
      <c r="I128" t="inlineStr">
        <is>
          <t>balanced</t>
        </is>
      </c>
      <c r="J128">
        <f>OR($F$128,AND(AI_ho_so_anh_xa!$B$12="mode",OR(AI_ho_so_anh_xa!$C$12="Weekly",AI_ho_so_anh_xa!$C$12="Operation")))</f>
        <v/>
      </c>
      <c r="K128" t="b">
        <v>1</v>
      </c>
      <c r="L128">
        <f>IF($J$128,$H$128,"balanced")</f>
        <v/>
      </c>
      <c r="M128" t="inlineStr">
        <is>
          <t>balanced</t>
        </is>
      </c>
      <c r="N128">
        <f>IF(OR($E$128="",$G$128),"balanced",IF(OR($E$128="*",ISNUMBER(FIND(";"&amp;$L$128&amp;";",";"&amp;$E$128&amp;";"))),$L$128,IF(ISNUMBER(FIND(";"&amp;"balanced"&amp;";",";"&amp;$E$128&amp;";")),"balanced",LEFT($E$128,FIND(";",$E$128&amp;";")-1))))</f>
        <v/>
      </c>
      <c r="O128" t="inlineStr">
        <is>
          <t>balanced</t>
        </is>
      </c>
      <c r="P128">
        <f>IF(OR($E$128="",$G$128),"KHONG_CHIEN_THUAT",IF(NOT($J$128),IF($H$128="balanced","GIU","CHE_DO_BO_QUA"),IF($N$128=$H$128,"GIU","HO_SO_GHI_DE")))</f>
        <v/>
      </c>
      <c r="Q128" t="inlineStr">
        <is>
          <t>Sim/AI/ConquestAi.P28.cs TickLayered + Sim/AI/Commander.cs AllowedTactic (goal.Protect, quaden)</t>
        </is>
      </c>
      <c r="R128" t="inlineStr"/>
    </row>
    <row r="129">
      <c r="A129" t="inlineStr">
        <is>
          <t>goal.Protect/sen</t>
        </is>
      </c>
      <c r="B129" t="inlineStr">
        <is>
          <t>goal.Protect</t>
        </is>
      </c>
      <c r="C129" t="inlineStr">
        <is>
          <t>sen</t>
        </is>
      </c>
      <c r="D129">
        <f>AI_ho_so_anh_xa!$D$12</f>
        <v/>
      </c>
      <c r="E129">
        <f>INDEX(AI_ho_so_che_do!$B$2:$B$21,MATCH($D$129,AI_ho_so_che_do!$A$2:$A$21,0))&amp;""</f>
        <v/>
      </c>
      <c r="F129">
        <f>INDEX(AI_ho_so_che_do!$P$2:$P$21,MATCH($D$129,AI_ho_so_che_do!$A$2:$A$21,0))=TRUE</f>
        <v/>
      </c>
      <c r="G129">
        <f>ISNUMBER(FIND(";noGeneralTactic;",";"&amp;INDEX(AI_ho_so_che_do!$O$2:$O$21,MATCH($D$129,AI_ho_so_che_do!$A$2:$A$21,0))&amp;";"))</f>
        <v/>
      </c>
      <c r="H129">
        <f>IF(AI_tuong!$B$9&amp;""&lt;&gt;"",AI_tuong!$B$9,IF(AI_tuong!$B$4&amp;""&lt;&gt;"",AI_tuong!$B$4,"balanced"))</f>
        <v/>
      </c>
      <c r="I129" t="inlineStr">
        <is>
          <t>balanced</t>
        </is>
      </c>
      <c r="J129">
        <f>OR($F$129,AND(AI_ho_so_anh_xa!$B$12="mode",OR(AI_ho_so_anh_xa!$C$12="Weekly",AI_ho_so_anh_xa!$C$12="Operation")))</f>
        <v/>
      </c>
      <c r="K129" t="b">
        <v>1</v>
      </c>
      <c r="L129">
        <f>IF($J$129,$H$129,"balanced")</f>
        <v/>
      </c>
      <c r="M129" t="inlineStr">
        <is>
          <t>balanced</t>
        </is>
      </c>
      <c r="N129">
        <f>IF(OR($E$129="",$G$129),"balanced",IF(OR($E$129="*",ISNUMBER(FIND(";"&amp;$L$129&amp;";",";"&amp;$E$129&amp;";"))),$L$129,IF(ISNUMBER(FIND(";"&amp;"balanced"&amp;";",";"&amp;$E$129&amp;";")),"balanced",LEFT($E$129,FIND(";",$E$129&amp;";")-1))))</f>
        <v/>
      </c>
      <c r="O129" t="inlineStr">
        <is>
          <t>balanced</t>
        </is>
      </c>
      <c r="P129">
        <f>IF(OR($E$129="",$G$129),"KHONG_CHIEN_THUAT",IF(NOT($J$129),IF($H$129="balanced","GIU","CHE_DO_BO_QUA"),IF($N$129=$H$129,"GIU","HO_SO_GHI_DE")))</f>
        <v/>
      </c>
      <c r="Q129" t="inlineStr">
        <is>
          <t>Sim/AI/ConquestAi.P28.cs TickLayered + Sim/AI/Commander.cs AllowedTactic (goal.Protect, sen)</t>
        </is>
      </c>
      <c r="R129" t="inlineStr"/>
    </row>
    <row r="130">
      <c r="A130" t="inlineStr">
        <is>
          <t>goal.Protect/thorne</t>
        </is>
      </c>
      <c r="B130" t="inlineStr">
        <is>
          <t>goal.Protect</t>
        </is>
      </c>
      <c r="C130" t="inlineStr">
        <is>
          <t>thorne</t>
        </is>
      </c>
      <c r="D130">
        <f>AI_ho_so_anh_xa!$D$12</f>
        <v/>
      </c>
      <c r="E130">
        <f>INDEX(AI_ho_so_che_do!$B$2:$B$21,MATCH($D$130,AI_ho_so_che_do!$A$2:$A$21,0))&amp;""</f>
        <v/>
      </c>
      <c r="F130">
        <f>INDEX(AI_ho_so_che_do!$P$2:$P$21,MATCH($D$130,AI_ho_so_che_do!$A$2:$A$21,0))=TRUE</f>
        <v/>
      </c>
      <c r="G130">
        <f>ISNUMBER(FIND(";noGeneralTactic;",";"&amp;INDEX(AI_ho_so_che_do!$O$2:$O$21,MATCH($D$130,AI_ho_so_che_do!$A$2:$A$21,0))&amp;";"))</f>
        <v/>
      </c>
      <c r="H130">
        <f>IF(AI_tuong!$B$10&amp;""&lt;&gt;"",AI_tuong!$B$10,IF(AI_tuong!$B$4&amp;""&lt;&gt;"",AI_tuong!$B$4,"balanced"))</f>
        <v/>
      </c>
      <c r="I130" t="inlineStr">
        <is>
          <t>balanced</t>
        </is>
      </c>
      <c r="J130">
        <f>OR($F$130,AND(AI_ho_so_anh_xa!$B$12="mode",OR(AI_ho_so_anh_xa!$C$12="Weekly",AI_ho_so_anh_xa!$C$12="Operation")))</f>
        <v/>
      </c>
      <c r="K130" t="b">
        <v>1</v>
      </c>
      <c r="L130">
        <f>IF($J$130,$H$130,"balanced")</f>
        <v/>
      </c>
      <c r="M130" t="inlineStr">
        <is>
          <t>balanced</t>
        </is>
      </c>
      <c r="N130">
        <f>IF(OR($E$130="",$G$130),"balanced",IF(OR($E$130="*",ISNUMBER(FIND(";"&amp;$L$130&amp;";",";"&amp;$E$130&amp;";"))),$L$130,IF(ISNUMBER(FIND(";"&amp;"balanced"&amp;";",";"&amp;$E$130&amp;";")),"balanced",LEFT($E$130,FIND(";",$E$130&amp;";")-1))))</f>
        <v/>
      </c>
      <c r="O130" t="inlineStr">
        <is>
          <t>balanced</t>
        </is>
      </c>
      <c r="P130">
        <f>IF(OR($E$130="",$G$130),"KHONG_CHIEN_THUAT",IF(NOT($J$130),IF($H$130="balanced","GIU","CHE_DO_BO_QUA"),IF($N$130=$H$130,"GIU","HO_SO_GHI_DE")))</f>
        <v/>
      </c>
      <c r="Q130" t="inlineStr">
        <is>
          <t>Sim/AI/ConquestAi.P28.cs TickLayered + Sim/AI/Commander.cs AllowedTactic (goal.Protect, thorne)</t>
        </is>
      </c>
      <c r="R130" t="inlineStr"/>
    </row>
    <row r="131">
      <c r="A131" t="inlineStr">
        <is>
          <t>goal.Protect/varga</t>
        </is>
      </c>
      <c r="B131" t="inlineStr">
        <is>
          <t>goal.Protect</t>
        </is>
      </c>
      <c r="C131" t="inlineStr">
        <is>
          <t>varga</t>
        </is>
      </c>
      <c r="D131">
        <f>AI_ho_so_anh_xa!$D$12</f>
        <v/>
      </c>
      <c r="E131">
        <f>INDEX(AI_ho_so_che_do!$B$2:$B$21,MATCH($D$131,AI_ho_so_che_do!$A$2:$A$21,0))&amp;""</f>
        <v/>
      </c>
      <c r="F131">
        <f>INDEX(AI_ho_so_che_do!$P$2:$P$21,MATCH($D$131,AI_ho_so_che_do!$A$2:$A$21,0))=TRUE</f>
        <v/>
      </c>
      <c r="G131">
        <f>ISNUMBER(FIND(";noGeneralTactic;",";"&amp;INDEX(AI_ho_so_che_do!$O$2:$O$21,MATCH($D$131,AI_ho_so_che_do!$A$2:$A$21,0))&amp;";"))</f>
        <v/>
      </c>
      <c r="H131">
        <f>IF(AI_tuong!$B$11&amp;""&lt;&gt;"",AI_tuong!$B$11,IF(AI_tuong!$B$4&amp;""&lt;&gt;"",AI_tuong!$B$4,"balanced"))</f>
        <v/>
      </c>
      <c r="I131" t="inlineStr">
        <is>
          <t>breakthrough</t>
        </is>
      </c>
      <c r="J131">
        <f>OR($F$131,AND(AI_ho_so_anh_xa!$B$12="mode",OR(AI_ho_so_anh_xa!$C$12="Weekly",AI_ho_so_anh_xa!$C$12="Operation")))</f>
        <v/>
      </c>
      <c r="K131" t="b">
        <v>1</v>
      </c>
      <c r="L131">
        <f>IF($J$131,$H$131,"balanced")</f>
        <v/>
      </c>
      <c r="M131" t="inlineStr">
        <is>
          <t>breakthrough</t>
        </is>
      </c>
      <c r="N131">
        <f>IF(OR($E$131="",$G$131),"balanced",IF(OR($E$131="*",ISNUMBER(FIND(";"&amp;$L$131&amp;";",";"&amp;$E$131&amp;";"))),$L$131,IF(ISNUMBER(FIND(";"&amp;"balanced"&amp;";",";"&amp;$E$131&amp;";")),"balanced",LEFT($E$131,FIND(";",$E$131&amp;";")-1))))</f>
        <v/>
      </c>
      <c r="O131" t="inlineStr">
        <is>
          <t>breakthrough</t>
        </is>
      </c>
      <c r="P131">
        <f>IF(OR($E$131="",$G$131),"KHONG_CHIEN_THUAT",IF(NOT($J$131),IF($H$131="balanced","GIU","CHE_DO_BO_QUA"),IF($N$131=$H$131,"GIU","HO_SO_GHI_DE")))</f>
        <v/>
      </c>
      <c r="Q131" t="inlineStr">
        <is>
          <t>Sim/AI/ConquestAi.P28.cs TickLayered + Sim/AI/Commander.cs AllowedTactic (goal.Protect, varga)</t>
        </is>
      </c>
      <c r="R131" t="inlineStr"/>
    </row>
    <row r="132">
      <c r="A132" t="inlineStr">
        <is>
          <t>goal.Protect/venn</t>
        </is>
      </c>
      <c r="B132" t="inlineStr">
        <is>
          <t>goal.Protect</t>
        </is>
      </c>
      <c r="C132" t="inlineStr">
        <is>
          <t>venn</t>
        </is>
      </c>
      <c r="D132">
        <f>AI_ho_so_anh_xa!$D$12</f>
        <v/>
      </c>
      <c r="E132">
        <f>INDEX(AI_ho_so_che_do!$B$2:$B$21,MATCH($D$132,AI_ho_so_che_do!$A$2:$A$21,0))&amp;""</f>
        <v/>
      </c>
      <c r="F132">
        <f>INDEX(AI_ho_so_che_do!$P$2:$P$21,MATCH($D$132,AI_ho_so_che_do!$A$2:$A$21,0))=TRUE</f>
        <v/>
      </c>
      <c r="G132">
        <f>ISNUMBER(FIND(";noGeneralTactic;",";"&amp;INDEX(AI_ho_so_che_do!$O$2:$O$21,MATCH($D$132,AI_ho_so_che_do!$A$2:$A$21,0))&amp;";"))</f>
        <v/>
      </c>
      <c r="H132">
        <f>IF(AI_tuong!$B$12&amp;""&lt;&gt;"",AI_tuong!$B$12,IF(AI_tuong!$B$4&amp;""&lt;&gt;"",AI_tuong!$B$4,"balanced"))</f>
        <v/>
      </c>
      <c r="I132" t="inlineStr">
        <is>
          <t>dispersal</t>
        </is>
      </c>
      <c r="J132">
        <f>OR($F$132,AND(AI_ho_so_anh_xa!$B$12="mode",OR(AI_ho_so_anh_xa!$C$12="Weekly",AI_ho_so_anh_xa!$C$12="Operation")))</f>
        <v/>
      </c>
      <c r="K132" t="b">
        <v>1</v>
      </c>
      <c r="L132">
        <f>IF($J$132,$H$132,"balanced")</f>
        <v/>
      </c>
      <c r="M132" t="inlineStr">
        <is>
          <t>dispersal</t>
        </is>
      </c>
      <c r="N132">
        <f>IF(OR($E$132="",$G$132),"balanced",IF(OR($E$132="*",ISNUMBER(FIND(";"&amp;$L$132&amp;";",";"&amp;$E$132&amp;";"))),$L$132,IF(ISNUMBER(FIND(";"&amp;"balanced"&amp;";",";"&amp;$E$132&amp;";")),"balanced",LEFT($E$132,FIND(";",$E$132&amp;";")-1))))</f>
        <v/>
      </c>
      <c r="O132" t="inlineStr">
        <is>
          <t>dispersal</t>
        </is>
      </c>
      <c r="P132">
        <f>IF(OR($E$132="",$G$132),"KHONG_CHIEN_THUAT",IF(NOT($J$132),IF($H$132="balanced","GIU","CHE_DO_BO_QUA"),IF($N$132=$H$132,"GIU","HO_SO_GHI_DE")))</f>
        <v/>
      </c>
      <c r="Q132" t="inlineStr">
        <is>
          <t>Sim/AI/ConquestAi.P28.cs TickLayered + Sim/AI/Commander.cs AllowedTactic (goal.Protect, venn)</t>
        </is>
      </c>
      <c r="R132" t="inlineStr"/>
    </row>
    <row r="133">
      <c r="A133" t="inlineStr">
        <is>
          <t>goal.Protect/wolff</t>
        </is>
      </c>
      <c r="B133" t="inlineStr">
        <is>
          <t>goal.Protect</t>
        </is>
      </c>
      <c r="C133" t="inlineStr">
        <is>
          <t>wolff</t>
        </is>
      </c>
      <c r="D133">
        <f>AI_ho_so_anh_xa!$D$12</f>
        <v/>
      </c>
      <c r="E133">
        <f>INDEX(AI_ho_so_che_do!$B$2:$B$21,MATCH($D$133,AI_ho_so_che_do!$A$2:$A$21,0))&amp;""</f>
        <v/>
      </c>
      <c r="F133">
        <f>INDEX(AI_ho_so_che_do!$P$2:$P$21,MATCH($D$133,AI_ho_so_che_do!$A$2:$A$21,0))=TRUE</f>
        <v/>
      </c>
      <c r="G133">
        <f>ISNUMBER(FIND(";noGeneralTactic;",";"&amp;INDEX(AI_ho_so_che_do!$O$2:$O$21,MATCH($D$133,AI_ho_so_che_do!$A$2:$A$21,0))&amp;";"))</f>
        <v/>
      </c>
      <c r="H133">
        <f>IF(AI_tuong!$B$13&amp;""&lt;&gt;"",AI_tuong!$B$13,IF(AI_tuong!$B$4&amp;""&lt;&gt;"",AI_tuong!$B$4,"balanced"))</f>
        <v/>
      </c>
      <c r="I133" t="inlineStr">
        <is>
          <t>air_superiority</t>
        </is>
      </c>
      <c r="J133">
        <f>OR($F$133,AND(AI_ho_so_anh_xa!$B$12="mode",OR(AI_ho_so_anh_xa!$C$12="Weekly",AI_ho_so_anh_xa!$C$12="Operation")))</f>
        <v/>
      </c>
      <c r="K133" t="b">
        <v>1</v>
      </c>
      <c r="L133">
        <f>IF($J$133,$H$133,"balanced")</f>
        <v/>
      </c>
      <c r="M133" t="inlineStr">
        <is>
          <t>air_superiority</t>
        </is>
      </c>
      <c r="N133">
        <f>IF(OR($E$133="",$G$133),"balanced",IF(OR($E$133="*",ISNUMBER(FIND(";"&amp;$L$133&amp;";",";"&amp;$E$133&amp;";"))),$L$133,IF(ISNUMBER(FIND(";"&amp;"balanced"&amp;";",";"&amp;$E$133&amp;";")),"balanced",LEFT($E$133,FIND(";",$E$133&amp;";")-1))))</f>
        <v/>
      </c>
      <c r="O133" t="inlineStr">
        <is>
          <t>air_superiority</t>
        </is>
      </c>
      <c r="P133">
        <f>IF(OR($E$133="",$G$133),"KHONG_CHIEN_THUAT",IF(NOT($J$133),IF($H$133="balanced","GIU","CHE_DO_BO_QUA"),IF($N$133=$H$133,"GIU","HO_SO_GHI_DE")))</f>
        <v/>
      </c>
      <c r="Q133" t="inlineStr">
        <is>
          <t>Sim/AI/ConquestAi.P28.cs TickLayered + Sim/AI/Commander.cs AllowedTactic (goal.Protect, wolff)</t>
        </is>
      </c>
      <c r="R133" t="inlineStr"/>
    </row>
    <row r="134">
      <c r="A134" t="inlineStr">
        <is>
          <t>goal.Recon/aurel</t>
        </is>
      </c>
      <c r="B134" t="inlineStr">
        <is>
          <t>goal.Recon</t>
        </is>
      </c>
      <c r="C134" t="inlineStr">
        <is>
          <t>aurel</t>
        </is>
      </c>
      <c r="D134">
        <f>AI_ho_so_anh_xa!$D$13</f>
        <v/>
      </c>
      <c r="E134">
        <f>INDEX(AI_ho_so_che_do!$B$2:$B$21,MATCH($D$134,AI_ho_so_che_do!$A$2:$A$21,0))&amp;""</f>
        <v/>
      </c>
      <c r="F134">
        <f>INDEX(AI_ho_so_che_do!$P$2:$P$21,MATCH($D$134,AI_ho_so_che_do!$A$2:$A$21,0))=TRUE</f>
        <v/>
      </c>
      <c r="G134">
        <f>ISNUMBER(FIND(";noGeneralTactic;",";"&amp;INDEX(AI_ho_so_che_do!$O$2:$O$21,MATCH($D$134,AI_ho_so_che_do!$A$2:$A$21,0))&amp;";"))</f>
        <v/>
      </c>
      <c r="H134">
        <f>IF(AI_tuong!$B$2&amp;""&lt;&gt;"",AI_tuong!$B$2,IF(AI_tuong!$B$4&amp;""&lt;&gt;"",AI_tuong!$B$4,"balanced"))</f>
        <v/>
      </c>
      <c r="I134" t="inlineStr">
        <is>
          <t>all_out</t>
        </is>
      </c>
      <c r="J134">
        <f>OR($F$134,AND(AI_ho_so_anh_xa!$B$13="mode",OR(AI_ho_so_anh_xa!$C$13="Weekly",AI_ho_so_anh_xa!$C$13="Operation")))</f>
        <v/>
      </c>
      <c r="K134" t="b">
        <v>0</v>
      </c>
      <c r="L134">
        <f>IF($J$134,$H$134,"balanced")</f>
        <v/>
      </c>
      <c r="M134" t="inlineStr">
        <is>
          <t>balanced</t>
        </is>
      </c>
      <c r="N134">
        <f>IF(OR($E$134="",$G$134),"balanced",IF(OR($E$134="*",ISNUMBER(FIND(";"&amp;$L$134&amp;";",";"&amp;$E$134&amp;";"))),$L$134,IF(ISNUMBER(FIND(";"&amp;"balanced"&amp;";",";"&amp;$E$134&amp;";")),"balanced",LEFT($E$134,FIND(";",$E$134&amp;";")-1))))</f>
        <v/>
      </c>
      <c r="O134" t="inlineStr">
        <is>
          <t>ambush</t>
        </is>
      </c>
      <c r="P134">
        <f>IF(OR($E$134="",$G$134),"KHONG_CHIEN_THUAT",IF(NOT($J$134),IF($H$134="balanced","GIU","CHE_DO_BO_QUA"),IF($N$134=$H$134,"GIU","HO_SO_GHI_DE")))</f>
        <v/>
      </c>
      <c r="Q134" t="inlineStr">
        <is>
          <t>Sim/AI/ConquestAi.P28.cs TickLayered + Sim/AI/Commander.cs AllowedTactic (goal.Recon, aurel)</t>
        </is>
      </c>
      <c r="R134" t="inlineStr"/>
    </row>
    <row r="135">
      <c r="A135" t="inlineStr">
        <is>
          <t>goal.Recon/brandt</t>
        </is>
      </c>
      <c r="B135" t="inlineStr">
        <is>
          <t>goal.Recon</t>
        </is>
      </c>
      <c r="C135" t="inlineStr">
        <is>
          <t>brandt</t>
        </is>
      </c>
      <c r="D135">
        <f>AI_ho_so_anh_xa!$D$13</f>
        <v/>
      </c>
      <c r="E135">
        <f>INDEX(AI_ho_so_che_do!$B$2:$B$21,MATCH($D$135,AI_ho_so_che_do!$A$2:$A$21,0))&amp;""</f>
        <v/>
      </c>
      <c r="F135">
        <f>INDEX(AI_ho_so_che_do!$P$2:$P$21,MATCH($D$135,AI_ho_so_che_do!$A$2:$A$21,0))=TRUE</f>
        <v/>
      </c>
      <c r="G135">
        <f>ISNUMBER(FIND(";noGeneralTactic;",";"&amp;INDEX(AI_ho_so_che_do!$O$2:$O$21,MATCH($D$135,AI_ho_so_che_do!$A$2:$A$21,0))&amp;";"))</f>
        <v/>
      </c>
      <c r="H135">
        <f>IF(AI_tuong!$B$3&amp;""&lt;&gt;"",AI_tuong!$B$3,IF(AI_tuong!$B$4&amp;""&lt;&gt;"",AI_tuong!$B$4,"balanced"))</f>
        <v/>
      </c>
      <c r="I135" t="inlineStr">
        <is>
          <t>depth</t>
        </is>
      </c>
      <c r="J135">
        <f>OR($F$135,AND(AI_ho_so_anh_xa!$B$13="mode",OR(AI_ho_so_anh_xa!$C$13="Weekly",AI_ho_so_anh_xa!$C$13="Operation")))</f>
        <v/>
      </c>
      <c r="K135" t="b">
        <v>0</v>
      </c>
      <c r="L135">
        <f>IF($J$135,$H$135,"balanced")</f>
        <v/>
      </c>
      <c r="M135" t="inlineStr">
        <is>
          <t>balanced</t>
        </is>
      </c>
      <c r="N135">
        <f>IF(OR($E$135="",$G$135),"balanced",IF(OR($E$135="*",ISNUMBER(FIND(";"&amp;$L$135&amp;";",";"&amp;$E$135&amp;";"))),$L$135,IF(ISNUMBER(FIND(";"&amp;"balanced"&amp;";",";"&amp;$E$135&amp;";")),"balanced",LEFT($E$135,FIND(";",$E$135&amp;";")-1))))</f>
        <v/>
      </c>
      <c r="O135" t="inlineStr">
        <is>
          <t>ambush</t>
        </is>
      </c>
      <c r="P135">
        <f>IF(OR($E$135="",$G$135),"KHONG_CHIEN_THUAT",IF(NOT($J$135),IF($H$135="balanced","GIU","CHE_DO_BO_QUA"),IF($N$135=$H$135,"GIU","HO_SO_GHI_DE")))</f>
        <v/>
      </c>
      <c r="Q135" t="inlineStr">
        <is>
          <t>Sim/AI/ConquestAi.P28.cs TickLayered + Sim/AI/Commander.cs AllowedTactic (goal.Recon, brandt)</t>
        </is>
      </c>
      <c r="R135" t="inlineStr"/>
    </row>
    <row r="136">
      <c r="A136" t="inlineStr">
        <is>
          <t>goal.Recon/default</t>
        </is>
      </c>
      <c r="B136" t="inlineStr">
        <is>
          <t>goal.Recon</t>
        </is>
      </c>
      <c r="C136" t="inlineStr">
        <is>
          <t>default</t>
        </is>
      </c>
      <c r="D136">
        <f>AI_ho_so_anh_xa!$D$13</f>
        <v/>
      </c>
      <c r="E136">
        <f>INDEX(AI_ho_so_che_do!$B$2:$B$21,MATCH($D$136,AI_ho_so_che_do!$A$2:$A$21,0))&amp;""</f>
        <v/>
      </c>
      <c r="F136">
        <f>INDEX(AI_ho_so_che_do!$P$2:$P$21,MATCH($D$136,AI_ho_so_che_do!$A$2:$A$21,0))=TRUE</f>
        <v/>
      </c>
      <c r="G136">
        <f>ISNUMBER(FIND(";noGeneralTactic;",";"&amp;INDEX(AI_ho_so_che_do!$O$2:$O$21,MATCH($D$136,AI_ho_so_che_do!$A$2:$A$21,0))&amp;";"))</f>
        <v/>
      </c>
      <c r="H136">
        <f>IF(AI_tuong!$B$4&amp;""&lt;&gt;"",AI_tuong!$B$4,IF(AI_tuong!$B$4&amp;""&lt;&gt;"",AI_tuong!$B$4,"balanced"))</f>
        <v/>
      </c>
      <c r="I136" t="inlineStr">
        <is>
          <t>balanced</t>
        </is>
      </c>
      <c r="J136">
        <f>OR($F$136,AND(AI_ho_so_anh_xa!$B$13="mode",OR(AI_ho_so_anh_xa!$C$13="Weekly",AI_ho_so_anh_xa!$C$13="Operation")))</f>
        <v/>
      </c>
      <c r="K136" t="b">
        <v>0</v>
      </c>
      <c r="L136">
        <f>IF($J$136,$H$136,"balanced")</f>
        <v/>
      </c>
      <c r="M136" t="inlineStr">
        <is>
          <t>balanced</t>
        </is>
      </c>
      <c r="N136">
        <f>IF(OR($E$136="",$G$136),"balanced",IF(OR($E$136="*",ISNUMBER(FIND(";"&amp;$L$136&amp;";",";"&amp;$E$136&amp;";"))),$L$136,IF(ISNUMBER(FIND(";"&amp;"balanced"&amp;";",";"&amp;$E$136&amp;";")),"balanced",LEFT($E$136,FIND(";",$E$136&amp;";")-1))))</f>
        <v/>
      </c>
      <c r="O136" t="inlineStr">
        <is>
          <t>ambush</t>
        </is>
      </c>
      <c r="P136">
        <f>IF(OR($E$136="",$G$136),"KHONG_CHIEN_THUAT",IF(NOT($J$136),IF($H$136="balanced","GIU","CHE_DO_BO_QUA"),IF($N$136=$H$136,"GIU","HO_SO_GHI_DE")))</f>
        <v/>
      </c>
      <c r="Q136" t="inlineStr">
        <is>
          <t>Sim/AI/ConquestAi.P28.cs TickLayered + Sim/AI/Commander.cs AllowedTactic (goal.Recon, default)</t>
        </is>
      </c>
      <c r="R136" t="inlineStr"/>
    </row>
    <row r="137">
      <c r="A137" t="inlineStr">
        <is>
          <t>goal.Recon/hung</t>
        </is>
      </c>
      <c r="B137" t="inlineStr">
        <is>
          <t>goal.Recon</t>
        </is>
      </c>
      <c r="C137" t="inlineStr">
        <is>
          <t>hung</t>
        </is>
      </c>
      <c r="D137">
        <f>AI_ho_so_anh_xa!$D$13</f>
        <v/>
      </c>
      <c r="E137">
        <f>INDEX(AI_ho_so_che_do!$B$2:$B$21,MATCH($D$137,AI_ho_so_che_do!$A$2:$A$21,0))&amp;""</f>
        <v/>
      </c>
      <c r="F137">
        <f>INDEX(AI_ho_so_che_do!$P$2:$P$21,MATCH($D$137,AI_ho_so_che_do!$A$2:$A$21,0))=TRUE</f>
        <v/>
      </c>
      <c r="G137">
        <f>ISNUMBER(FIND(";noGeneralTactic;",";"&amp;INDEX(AI_ho_so_che_do!$O$2:$O$21,MATCH($D$137,AI_ho_so_che_do!$A$2:$A$21,0))&amp;";"))</f>
        <v/>
      </c>
      <c r="H137">
        <f>IF(AI_tuong!$B$5&amp;""&lt;&gt;"",AI_tuong!$B$5,IF(AI_tuong!$B$4&amp;""&lt;&gt;"",AI_tuong!$B$4,"balanced"))</f>
        <v/>
      </c>
      <c r="I137" t="inlineStr">
        <is>
          <t>balanced</t>
        </is>
      </c>
      <c r="J137">
        <f>OR($F$137,AND(AI_ho_so_anh_xa!$B$13="mode",OR(AI_ho_so_anh_xa!$C$13="Weekly",AI_ho_so_anh_xa!$C$13="Operation")))</f>
        <v/>
      </c>
      <c r="K137" t="b">
        <v>0</v>
      </c>
      <c r="L137">
        <f>IF($J$137,$H$137,"balanced")</f>
        <v/>
      </c>
      <c r="M137" t="inlineStr">
        <is>
          <t>balanced</t>
        </is>
      </c>
      <c r="N137">
        <f>IF(OR($E$137="",$G$137),"balanced",IF(OR($E$137="*",ISNUMBER(FIND(";"&amp;$L$137&amp;";",";"&amp;$E$137&amp;";"))),$L$137,IF(ISNUMBER(FIND(";"&amp;"balanced"&amp;";",";"&amp;$E$137&amp;";")),"balanced",LEFT($E$137,FIND(";",$E$137&amp;";")-1))))</f>
        <v/>
      </c>
      <c r="O137" t="inlineStr">
        <is>
          <t>ambush</t>
        </is>
      </c>
      <c r="P137">
        <f>IF(OR($E$137="",$G$137),"KHONG_CHIEN_THUAT",IF(NOT($J$137),IF($H$137="balanced","GIU","CHE_DO_BO_QUA"),IF($N$137=$H$137,"GIU","HO_SO_GHI_DE")))</f>
        <v/>
      </c>
      <c r="Q137" t="inlineStr">
        <is>
          <t>Sim/AI/ConquestAi.P28.cs TickLayered + Sim/AI/Commander.cs AllowedTactic (goal.Recon, hung)</t>
        </is>
      </c>
      <c r="R137" t="inlineStr"/>
    </row>
    <row r="138">
      <c r="A138" t="inlineStr">
        <is>
          <t>goal.Recon/kessler</t>
        </is>
      </c>
      <c r="B138" t="inlineStr">
        <is>
          <t>goal.Recon</t>
        </is>
      </c>
      <c r="C138" t="inlineStr">
        <is>
          <t>kessler</t>
        </is>
      </c>
      <c r="D138">
        <f>AI_ho_so_anh_xa!$D$13</f>
        <v/>
      </c>
      <c r="E138">
        <f>INDEX(AI_ho_so_che_do!$B$2:$B$21,MATCH($D$138,AI_ho_so_che_do!$A$2:$A$21,0))&amp;""</f>
        <v/>
      </c>
      <c r="F138">
        <f>INDEX(AI_ho_so_che_do!$P$2:$P$21,MATCH($D$138,AI_ho_so_che_do!$A$2:$A$21,0))=TRUE</f>
        <v/>
      </c>
      <c r="G138">
        <f>ISNUMBER(FIND(";noGeneralTactic;",";"&amp;INDEX(AI_ho_so_che_do!$O$2:$O$21,MATCH($D$138,AI_ho_so_che_do!$A$2:$A$21,0))&amp;";"))</f>
        <v/>
      </c>
      <c r="H138">
        <f>IF(AI_tuong!$B$6&amp;""&lt;&gt;"",AI_tuong!$B$6,IF(AI_tuong!$B$4&amp;""&lt;&gt;"",AI_tuong!$B$4,"balanced"))</f>
        <v/>
      </c>
      <c r="I138" t="inlineStr">
        <is>
          <t>attrition</t>
        </is>
      </c>
      <c r="J138">
        <f>OR($F$138,AND(AI_ho_so_anh_xa!$B$13="mode",OR(AI_ho_so_anh_xa!$C$13="Weekly",AI_ho_so_anh_xa!$C$13="Operation")))</f>
        <v/>
      </c>
      <c r="K138" t="b">
        <v>0</v>
      </c>
      <c r="L138">
        <f>IF($J$138,$H$138,"balanced")</f>
        <v/>
      </c>
      <c r="M138" t="inlineStr">
        <is>
          <t>balanced</t>
        </is>
      </c>
      <c r="N138">
        <f>IF(OR($E$138="",$G$138),"balanced",IF(OR($E$138="*",ISNUMBER(FIND(";"&amp;$L$138&amp;";",";"&amp;$E$138&amp;";"))),$L$138,IF(ISNUMBER(FIND(";"&amp;"balanced"&amp;";",";"&amp;$E$138&amp;";")),"balanced",LEFT($E$138,FIND(";",$E$138&amp;";")-1))))</f>
        <v/>
      </c>
      <c r="O138" t="inlineStr">
        <is>
          <t>ambush</t>
        </is>
      </c>
      <c r="P138">
        <f>IF(OR($E$138="",$G$138),"KHONG_CHIEN_THUAT",IF(NOT($J$138),IF($H$138="balanced","GIU","CHE_DO_BO_QUA"),IF($N$138=$H$138,"GIU","HO_SO_GHI_DE")))</f>
        <v/>
      </c>
      <c r="Q138" t="inlineStr">
        <is>
          <t>Sim/AI/ConquestAi.P28.cs TickLayered + Sim/AI/Commander.cs AllowedTactic (goal.Recon, kessler)</t>
        </is>
      </c>
      <c r="R138" t="inlineStr"/>
    </row>
    <row r="139">
      <c r="A139" t="inlineStr">
        <is>
          <t>goal.Recon/orlov</t>
        </is>
      </c>
      <c r="B139" t="inlineStr">
        <is>
          <t>goal.Recon</t>
        </is>
      </c>
      <c r="C139" t="inlineStr">
        <is>
          <t>orlov</t>
        </is>
      </c>
      <c r="D139">
        <f>AI_ho_so_anh_xa!$D$13</f>
        <v/>
      </c>
      <c r="E139">
        <f>INDEX(AI_ho_so_che_do!$B$2:$B$21,MATCH($D$139,AI_ho_so_che_do!$A$2:$A$21,0))&amp;""</f>
        <v/>
      </c>
      <c r="F139">
        <f>INDEX(AI_ho_so_che_do!$P$2:$P$21,MATCH($D$139,AI_ho_so_che_do!$A$2:$A$21,0))=TRUE</f>
        <v/>
      </c>
      <c r="G139">
        <f>ISNUMBER(FIND(";noGeneralTactic;",";"&amp;INDEX(AI_ho_so_che_do!$O$2:$O$21,MATCH($D$139,AI_ho_so_che_do!$A$2:$A$21,0))&amp;";"))</f>
        <v/>
      </c>
      <c r="H139">
        <f>IF(AI_tuong!$B$7&amp;""&lt;&gt;"",AI_tuong!$B$7,IF(AI_tuong!$B$4&amp;""&lt;&gt;"",AI_tuong!$B$4,"balanced"))</f>
        <v/>
      </c>
      <c r="I139" t="inlineStr">
        <is>
          <t>firepower</t>
        </is>
      </c>
      <c r="J139">
        <f>OR($F$139,AND(AI_ho_so_anh_xa!$B$13="mode",OR(AI_ho_so_anh_xa!$C$13="Weekly",AI_ho_so_anh_xa!$C$13="Operation")))</f>
        <v/>
      </c>
      <c r="K139" t="b">
        <v>0</v>
      </c>
      <c r="L139">
        <f>IF($J$139,$H$139,"balanced")</f>
        <v/>
      </c>
      <c r="M139" t="inlineStr">
        <is>
          <t>balanced</t>
        </is>
      </c>
      <c r="N139">
        <f>IF(OR($E$139="",$G$139),"balanced",IF(OR($E$139="*",ISNUMBER(FIND(";"&amp;$L$139&amp;";",";"&amp;$E$139&amp;";"))),$L$139,IF(ISNUMBER(FIND(";"&amp;"balanced"&amp;";",";"&amp;$E$139&amp;";")),"balanced",LEFT($E$139,FIND(";",$E$139&amp;";")-1))))</f>
        <v/>
      </c>
      <c r="O139" t="inlineStr">
        <is>
          <t>ambush</t>
        </is>
      </c>
      <c r="P139">
        <f>IF(OR($E$139="",$G$139),"KHONG_CHIEN_THUAT",IF(NOT($J$139),IF($H$139="balanced","GIU","CHE_DO_BO_QUA"),IF($N$139=$H$139,"GIU","HO_SO_GHI_DE")))</f>
        <v/>
      </c>
      <c r="Q139" t="inlineStr">
        <is>
          <t>Sim/AI/ConquestAi.P28.cs TickLayered + Sim/AI/Commander.cs AllowedTactic (goal.Recon, orlov)</t>
        </is>
      </c>
      <c r="R139" t="inlineStr"/>
    </row>
    <row r="140">
      <c r="A140" t="inlineStr">
        <is>
          <t>goal.Recon/quaden</t>
        </is>
      </c>
      <c r="B140" t="inlineStr">
        <is>
          <t>goal.Recon</t>
        </is>
      </c>
      <c r="C140" t="inlineStr">
        <is>
          <t>quaden</t>
        </is>
      </c>
      <c r="D140">
        <f>AI_ho_so_anh_xa!$D$13</f>
        <v/>
      </c>
      <c r="E140">
        <f>INDEX(AI_ho_so_che_do!$B$2:$B$21,MATCH($D$140,AI_ho_so_che_do!$A$2:$A$21,0))&amp;""</f>
        <v/>
      </c>
      <c r="F140">
        <f>INDEX(AI_ho_so_che_do!$P$2:$P$21,MATCH($D$140,AI_ho_so_che_do!$A$2:$A$21,0))=TRUE</f>
        <v/>
      </c>
      <c r="G140">
        <f>ISNUMBER(FIND(";noGeneralTactic;",";"&amp;INDEX(AI_ho_so_che_do!$O$2:$O$21,MATCH($D$140,AI_ho_so_che_do!$A$2:$A$21,0))&amp;";"))</f>
        <v/>
      </c>
      <c r="H140">
        <f>IF(AI_tuong!$B$8&amp;""&lt;&gt;"",AI_tuong!$B$8,IF(AI_tuong!$B$4&amp;""&lt;&gt;"",AI_tuong!$B$4,"balanced"))</f>
        <v/>
      </c>
      <c r="I140" t="inlineStr">
        <is>
          <t>balanced</t>
        </is>
      </c>
      <c r="J140">
        <f>OR($F$140,AND(AI_ho_so_anh_xa!$B$13="mode",OR(AI_ho_so_anh_xa!$C$13="Weekly",AI_ho_so_anh_xa!$C$13="Operation")))</f>
        <v/>
      </c>
      <c r="K140" t="b">
        <v>0</v>
      </c>
      <c r="L140">
        <f>IF($J$140,$H$140,"balanced")</f>
        <v/>
      </c>
      <c r="M140" t="inlineStr">
        <is>
          <t>balanced</t>
        </is>
      </c>
      <c r="N140">
        <f>IF(OR($E$140="",$G$140),"balanced",IF(OR($E$140="*",ISNUMBER(FIND(";"&amp;$L$140&amp;";",";"&amp;$E$140&amp;";"))),$L$140,IF(ISNUMBER(FIND(";"&amp;"balanced"&amp;";",";"&amp;$E$140&amp;";")),"balanced",LEFT($E$140,FIND(";",$E$140&amp;";")-1))))</f>
        <v/>
      </c>
      <c r="O140" t="inlineStr">
        <is>
          <t>ambush</t>
        </is>
      </c>
      <c r="P140">
        <f>IF(OR($E$140="",$G$140),"KHONG_CHIEN_THUAT",IF(NOT($J$140),IF($H$140="balanced","GIU","CHE_DO_BO_QUA"),IF($N$140=$H$140,"GIU","HO_SO_GHI_DE")))</f>
        <v/>
      </c>
      <c r="Q140" t="inlineStr">
        <is>
          <t>Sim/AI/ConquestAi.P28.cs TickLayered + Sim/AI/Commander.cs AllowedTactic (goal.Recon, quaden)</t>
        </is>
      </c>
      <c r="R140" t="inlineStr"/>
    </row>
    <row r="141">
      <c r="A141" t="inlineStr">
        <is>
          <t>goal.Recon/sen</t>
        </is>
      </c>
      <c r="B141" t="inlineStr">
        <is>
          <t>goal.Recon</t>
        </is>
      </c>
      <c r="C141" t="inlineStr">
        <is>
          <t>sen</t>
        </is>
      </c>
      <c r="D141">
        <f>AI_ho_so_anh_xa!$D$13</f>
        <v/>
      </c>
      <c r="E141">
        <f>INDEX(AI_ho_so_che_do!$B$2:$B$21,MATCH($D$141,AI_ho_so_che_do!$A$2:$A$21,0))&amp;""</f>
        <v/>
      </c>
      <c r="F141">
        <f>INDEX(AI_ho_so_che_do!$P$2:$P$21,MATCH($D$141,AI_ho_so_che_do!$A$2:$A$21,0))=TRUE</f>
        <v/>
      </c>
      <c r="G141">
        <f>ISNUMBER(FIND(";noGeneralTactic;",";"&amp;INDEX(AI_ho_so_che_do!$O$2:$O$21,MATCH($D$141,AI_ho_so_che_do!$A$2:$A$21,0))&amp;";"))</f>
        <v/>
      </c>
      <c r="H141">
        <f>IF(AI_tuong!$B$9&amp;""&lt;&gt;"",AI_tuong!$B$9,IF(AI_tuong!$B$4&amp;""&lt;&gt;"",AI_tuong!$B$4,"balanced"))</f>
        <v/>
      </c>
      <c r="I141" t="inlineStr">
        <is>
          <t>balanced</t>
        </is>
      </c>
      <c r="J141">
        <f>OR($F$141,AND(AI_ho_so_anh_xa!$B$13="mode",OR(AI_ho_so_anh_xa!$C$13="Weekly",AI_ho_so_anh_xa!$C$13="Operation")))</f>
        <v/>
      </c>
      <c r="K141" t="b">
        <v>0</v>
      </c>
      <c r="L141">
        <f>IF($J$141,$H$141,"balanced")</f>
        <v/>
      </c>
      <c r="M141" t="inlineStr">
        <is>
          <t>balanced</t>
        </is>
      </c>
      <c r="N141">
        <f>IF(OR($E$141="",$G$141),"balanced",IF(OR($E$141="*",ISNUMBER(FIND(";"&amp;$L$141&amp;";",";"&amp;$E$141&amp;";"))),$L$141,IF(ISNUMBER(FIND(";"&amp;"balanced"&amp;";",";"&amp;$E$141&amp;";")),"balanced",LEFT($E$141,FIND(";",$E$141&amp;";")-1))))</f>
        <v/>
      </c>
      <c r="O141" t="inlineStr">
        <is>
          <t>ambush</t>
        </is>
      </c>
      <c r="P141">
        <f>IF(OR($E$141="",$G$141),"KHONG_CHIEN_THUAT",IF(NOT($J$141),IF($H$141="balanced","GIU","CHE_DO_BO_QUA"),IF($N$141=$H$141,"GIU","HO_SO_GHI_DE")))</f>
        <v/>
      </c>
      <c r="Q141" t="inlineStr">
        <is>
          <t>Sim/AI/ConquestAi.P28.cs TickLayered + Sim/AI/Commander.cs AllowedTactic (goal.Recon, sen)</t>
        </is>
      </c>
      <c r="R141" t="inlineStr"/>
    </row>
    <row r="142">
      <c r="A142" t="inlineStr">
        <is>
          <t>goal.Recon/thorne</t>
        </is>
      </c>
      <c r="B142" t="inlineStr">
        <is>
          <t>goal.Recon</t>
        </is>
      </c>
      <c r="C142" t="inlineStr">
        <is>
          <t>thorne</t>
        </is>
      </c>
      <c r="D142">
        <f>AI_ho_so_anh_xa!$D$13</f>
        <v/>
      </c>
      <c r="E142">
        <f>INDEX(AI_ho_so_che_do!$B$2:$B$21,MATCH($D$142,AI_ho_so_che_do!$A$2:$A$21,0))&amp;""</f>
        <v/>
      </c>
      <c r="F142">
        <f>INDEX(AI_ho_so_che_do!$P$2:$P$21,MATCH($D$142,AI_ho_so_che_do!$A$2:$A$21,0))=TRUE</f>
        <v/>
      </c>
      <c r="G142">
        <f>ISNUMBER(FIND(";noGeneralTactic;",";"&amp;INDEX(AI_ho_so_che_do!$O$2:$O$21,MATCH($D$142,AI_ho_so_che_do!$A$2:$A$21,0))&amp;";"))</f>
        <v/>
      </c>
      <c r="H142">
        <f>IF(AI_tuong!$B$10&amp;""&lt;&gt;"",AI_tuong!$B$10,IF(AI_tuong!$B$4&amp;""&lt;&gt;"",AI_tuong!$B$4,"balanced"))</f>
        <v/>
      </c>
      <c r="I142" t="inlineStr">
        <is>
          <t>balanced</t>
        </is>
      </c>
      <c r="J142">
        <f>OR($F$142,AND(AI_ho_so_anh_xa!$B$13="mode",OR(AI_ho_so_anh_xa!$C$13="Weekly",AI_ho_so_anh_xa!$C$13="Operation")))</f>
        <v/>
      </c>
      <c r="K142" t="b">
        <v>0</v>
      </c>
      <c r="L142">
        <f>IF($J$142,$H$142,"balanced")</f>
        <v/>
      </c>
      <c r="M142" t="inlineStr">
        <is>
          <t>balanced</t>
        </is>
      </c>
      <c r="N142">
        <f>IF(OR($E$142="",$G$142),"balanced",IF(OR($E$142="*",ISNUMBER(FIND(";"&amp;$L$142&amp;";",";"&amp;$E$142&amp;";"))),$L$142,IF(ISNUMBER(FIND(";"&amp;"balanced"&amp;";",";"&amp;$E$142&amp;";")),"balanced",LEFT($E$142,FIND(";",$E$142&amp;";")-1))))</f>
        <v/>
      </c>
      <c r="O142" t="inlineStr">
        <is>
          <t>ambush</t>
        </is>
      </c>
      <c r="P142">
        <f>IF(OR($E$142="",$G$142),"KHONG_CHIEN_THUAT",IF(NOT($J$142),IF($H$142="balanced","GIU","CHE_DO_BO_QUA"),IF($N$142=$H$142,"GIU","HO_SO_GHI_DE")))</f>
        <v/>
      </c>
      <c r="Q142" t="inlineStr">
        <is>
          <t>Sim/AI/ConquestAi.P28.cs TickLayered + Sim/AI/Commander.cs AllowedTactic (goal.Recon, thorne)</t>
        </is>
      </c>
      <c r="R142" t="inlineStr"/>
    </row>
    <row r="143">
      <c r="A143" t="inlineStr">
        <is>
          <t>goal.Recon/varga</t>
        </is>
      </c>
      <c r="B143" t="inlineStr">
        <is>
          <t>goal.Recon</t>
        </is>
      </c>
      <c r="C143" t="inlineStr">
        <is>
          <t>varga</t>
        </is>
      </c>
      <c r="D143">
        <f>AI_ho_so_anh_xa!$D$13</f>
        <v/>
      </c>
      <c r="E143">
        <f>INDEX(AI_ho_so_che_do!$B$2:$B$21,MATCH($D$143,AI_ho_so_che_do!$A$2:$A$21,0))&amp;""</f>
        <v/>
      </c>
      <c r="F143">
        <f>INDEX(AI_ho_so_che_do!$P$2:$P$21,MATCH($D$143,AI_ho_so_che_do!$A$2:$A$21,0))=TRUE</f>
        <v/>
      </c>
      <c r="G143">
        <f>ISNUMBER(FIND(";noGeneralTactic;",";"&amp;INDEX(AI_ho_so_che_do!$O$2:$O$21,MATCH($D$143,AI_ho_so_che_do!$A$2:$A$21,0))&amp;";"))</f>
        <v/>
      </c>
      <c r="H143">
        <f>IF(AI_tuong!$B$11&amp;""&lt;&gt;"",AI_tuong!$B$11,IF(AI_tuong!$B$4&amp;""&lt;&gt;"",AI_tuong!$B$4,"balanced"))</f>
        <v/>
      </c>
      <c r="I143" t="inlineStr">
        <is>
          <t>breakthrough</t>
        </is>
      </c>
      <c r="J143">
        <f>OR($F$143,AND(AI_ho_so_anh_xa!$B$13="mode",OR(AI_ho_so_anh_xa!$C$13="Weekly",AI_ho_so_anh_xa!$C$13="Operation")))</f>
        <v/>
      </c>
      <c r="K143" t="b">
        <v>0</v>
      </c>
      <c r="L143">
        <f>IF($J$143,$H$143,"balanced")</f>
        <v/>
      </c>
      <c r="M143" t="inlineStr">
        <is>
          <t>balanced</t>
        </is>
      </c>
      <c r="N143">
        <f>IF(OR($E$143="",$G$143),"balanced",IF(OR($E$143="*",ISNUMBER(FIND(";"&amp;$L$143&amp;";",";"&amp;$E$143&amp;";"))),$L$143,IF(ISNUMBER(FIND(";"&amp;"balanced"&amp;";",";"&amp;$E$143&amp;";")),"balanced",LEFT($E$143,FIND(";",$E$143&amp;";")-1))))</f>
        <v/>
      </c>
      <c r="O143" t="inlineStr">
        <is>
          <t>ambush</t>
        </is>
      </c>
      <c r="P143">
        <f>IF(OR($E$143="",$G$143),"KHONG_CHIEN_THUAT",IF(NOT($J$143),IF($H$143="balanced","GIU","CHE_DO_BO_QUA"),IF($N$143=$H$143,"GIU","HO_SO_GHI_DE")))</f>
        <v/>
      </c>
      <c r="Q143" t="inlineStr">
        <is>
          <t>Sim/AI/ConquestAi.P28.cs TickLayered + Sim/AI/Commander.cs AllowedTactic (goal.Recon, varga)</t>
        </is>
      </c>
      <c r="R143" t="inlineStr"/>
    </row>
    <row r="144">
      <c r="A144" t="inlineStr">
        <is>
          <t>goal.Recon/venn</t>
        </is>
      </c>
      <c r="B144" t="inlineStr">
        <is>
          <t>goal.Recon</t>
        </is>
      </c>
      <c r="C144" t="inlineStr">
        <is>
          <t>venn</t>
        </is>
      </c>
      <c r="D144">
        <f>AI_ho_so_anh_xa!$D$13</f>
        <v/>
      </c>
      <c r="E144">
        <f>INDEX(AI_ho_so_che_do!$B$2:$B$21,MATCH($D$144,AI_ho_so_che_do!$A$2:$A$21,0))&amp;""</f>
        <v/>
      </c>
      <c r="F144">
        <f>INDEX(AI_ho_so_che_do!$P$2:$P$21,MATCH($D$144,AI_ho_so_che_do!$A$2:$A$21,0))=TRUE</f>
        <v/>
      </c>
      <c r="G144">
        <f>ISNUMBER(FIND(";noGeneralTactic;",";"&amp;INDEX(AI_ho_so_che_do!$O$2:$O$21,MATCH($D$144,AI_ho_so_che_do!$A$2:$A$21,0))&amp;";"))</f>
        <v/>
      </c>
      <c r="H144">
        <f>IF(AI_tuong!$B$12&amp;""&lt;&gt;"",AI_tuong!$B$12,IF(AI_tuong!$B$4&amp;""&lt;&gt;"",AI_tuong!$B$4,"balanced"))</f>
        <v/>
      </c>
      <c r="I144" t="inlineStr">
        <is>
          <t>dispersal</t>
        </is>
      </c>
      <c r="J144">
        <f>OR($F$144,AND(AI_ho_so_anh_xa!$B$13="mode",OR(AI_ho_so_anh_xa!$C$13="Weekly",AI_ho_so_anh_xa!$C$13="Operation")))</f>
        <v/>
      </c>
      <c r="K144" t="b">
        <v>0</v>
      </c>
      <c r="L144">
        <f>IF($J$144,$H$144,"balanced")</f>
        <v/>
      </c>
      <c r="M144" t="inlineStr">
        <is>
          <t>balanced</t>
        </is>
      </c>
      <c r="N144">
        <f>IF(OR($E$144="",$G$144),"balanced",IF(OR($E$144="*",ISNUMBER(FIND(";"&amp;$L$144&amp;";",";"&amp;$E$144&amp;";"))),$L$144,IF(ISNUMBER(FIND(";"&amp;"balanced"&amp;";",";"&amp;$E$144&amp;";")),"balanced",LEFT($E$144,FIND(";",$E$144&amp;";")-1))))</f>
        <v/>
      </c>
      <c r="O144" t="inlineStr">
        <is>
          <t>ambush</t>
        </is>
      </c>
      <c r="P144">
        <f>IF(OR($E$144="",$G$144),"KHONG_CHIEN_THUAT",IF(NOT($J$144),IF($H$144="balanced","GIU","CHE_DO_BO_QUA"),IF($N$144=$H$144,"GIU","HO_SO_GHI_DE")))</f>
        <v/>
      </c>
      <c r="Q144" t="inlineStr">
        <is>
          <t>Sim/AI/ConquestAi.P28.cs TickLayered + Sim/AI/Commander.cs AllowedTactic (goal.Recon, venn)</t>
        </is>
      </c>
      <c r="R144" t="inlineStr"/>
    </row>
    <row r="145">
      <c r="A145" t="inlineStr">
        <is>
          <t>goal.Recon/wolff</t>
        </is>
      </c>
      <c r="B145" t="inlineStr">
        <is>
          <t>goal.Recon</t>
        </is>
      </c>
      <c r="C145" t="inlineStr">
        <is>
          <t>wolff</t>
        </is>
      </c>
      <c r="D145">
        <f>AI_ho_so_anh_xa!$D$13</f>
        <v/>
      </c>
      <c r="E145">
        <f>INDEX(AI_ho_so_che_do!$B$2:$B$21,MATCH($D$145,AI_ho_so_che_do!$A$2:$A$21,0))&amp;""</f>
        <v/>
      </c>
      <c r="F145">
        <f>INDEX(AI_ho_so_che_do!$P$2:$P$21,MATCH($D$145,AI_ho_so_che_do!$A$2:$A$21,0))=TRUE</f>
        <v/>
      </c>
      <c r="G145">
        <f>ISNUMBER(FIND(";noGeneralTactic;",";"&amp;INDEX(AI_ho_so_che_do!$O$2:$O$21,MATCH($D$145,AI_ho_so_che_do!$A$2:$A$21,0))&amp;";"))</f>
        <v/>
      </c>
      <c r="H145">
        <f>IF(AI_tuong!$B$13&amp;""&lt;&gt;"",AI_tuong!$B$13,IF(AI_tuong!$B$4&amp;""&lt;&gt;"",AI_tuong!$B$4,"balanced"))</f>
        <v/>
      </c>
      <c r="I145" t="inlineStr">
        <is>
          <t>air_superiority</t>
        </is>
      </c>
      <c r="J145">
        <f>OR($F$145,AND(AI_ho_so_anh_xa!$B$13="mode",OR(AI_ho_so_anh_xa!$C$13="Weekly",AI_ho_so_anh_xa!$C$13="Operation")))</f>
        <v/>
      </c>
      <c r="K145" t="b">
        <v>0</v>
      </c>
      <c r="L145">
        <f>IF($J$145,$H$145,"balanced")</f>
        <v/>
      </c>
      <c r="M145" t="inlineStr">
        <is>
          <t>balanced</t>
        </is>
      </c>
      <c r="N145">
        <f>IF(OR($E$145="",$G$145),"balanced",IF(OR($E$145="*",ISNUMBER(FIND(";"&amp;$L$145&amp;";",";"&amp;$E$145&amp;";"))),$L$145,IF(ISNUMBER(FIND(";"&amp;"balanced"&amp;";",";"&amp;$E$145&amp;";")),"balanced",LEFT($E$145,FIND(";",$E$145&amp;";")-1))))</f>
        <v/>
      </c>
      <c r="O145" t="inlineStr">
        <is>
          <t>ambush</t>
        </is>
      </c>
      <c r="P145">
        <f>IF(OR($E$145="",$G$145),"KHONG_CHIEN_THUAT",IF(NOT($J$145),IF($H$145="balanced","GIU","CHE_DO_BO_QUA"),IF($N$145=$H$145,"GIU","HO_SO_GHI_DE")))</f>
        <v/>
      </c>
      <c r="Q145" t="inlineStr">
        <is>
          <t>Sim/AI/ConquestAi.P28.cs TickLayered + Sim/AI/Commander.cs AllowedTactic (goal.Recon, wolff)</t>
        </is>
      </c>
      <c r="R145" t="inlineStr"/>
    </row>
    <row r="146">
      <c r="A146" t="inlineStr">
        <is>
          <t>goal.Relieve/aurel</t>
        </is>
      </c>
      <c r="B146" t="inlineStr">
        <is>
          <t>goal.Relieve</t>
        </is>
      </c>
      <c r="C146" t="inlineStr">
        <is>
          <t>aurel</t>
        </is>
      </c>
      <c r="D146">
        <f>AI_ho_so_anh_xa!$D$14</f>
        <v/>
      </c>
      <c r="E146">
        <f>INDEX(AI_ho_so_che_do!$B$2:$B$21,MATCH($D$146,AI_ho_so_che_do!$A$2:$A$21,0))&amp;""</f>
        <v/>
      </c>
      <c r="F146">
        <f>INDEX(AI_ho_so_che_do!$P$2:$P$21,MATCH($D$146,AI_ho_so_che_do!$A$2:$A$21,0))=TRUE</f>
        <v/>
      </c>
      <c r="G146">
        <f>ISNUMBER(FIND(";noGeneralTactic;",";"&amp;INDEX(AI_ho_so_che_do!$O$2:$O$21,MATCH($D$146,AI_ho_so_che_do!$A$2:$A$21,0))&amp;";"))</f>
        <v/>
      </c>
      <c r="H146">
        <f>IF(AI_tuong!$B$2&amp;""&lt;&gt;"",AI_tuong!$B$2,IF(AI_tuong!$B$4&amp;""&lt;&gt;"",AI_tuong!$B$4,"balanced"))</f>
        <v/>
      </c>
      <c r="I146" t="inlineStr">
        <is>
          <t>all_out</t>
        </is>
      </c>
      <c r="J146">
        <f>OR($F$146,AND(AI_ho_so_anh_xa!$B$14="mode",OR(AI_ho_so_anh_xa!$C$14="Weekly",AI_ho_so_anh_xa!$C$14="Operation")))</f>
        <v/>
      </c>
      <c r="K146" t="b">
        <v>1</v>
      </c>
      <c r="L146">
        <f>IF($J$146,$H$146,"balanced")</f>
        <v/>
      </c>
      <c r="M146" t="inlineStr">
        <is>
          <t>all_out</t>
        </is>
      </c>
      <c r="N146">
        <f>IF(OR($E$146="",$G$146),"balanced",IF(OR($E$146="*",ISNUMBER(FIND(";"&amp;$L$146&amp;";",";"&amp;$E$146&amp;";"))),$L$146,IF(ISNUMBER(FIND(";"&amp;"balanced"&amp;";",";"&amp;$E$146&amp;";")),"balanced",LEFT($E$146,FIND(";",$E$146&amp;";")-1))))</f>
        <v/>
      </c>
      <c r="O146" t="inlineStr">
        <is>
          <t>all_out</t>
        </is>
      </c>
      <c r="P146">
        <f>IF(OR($E$146="",$G$146),"KHONG_CHIEN_THUAT",IF(NOT($J$146),IF($H$146="balanced","GIU","CHE_DO_BO_QUA"),IF($N$146=$H$146,"GIU","HO_SO_GHI_DE")))</f>
        <v/>
      </c>
      <c r="Q146" t="inlineStr">
        <is>
          <t>Sim/AI/ConquestAi.P28.cs TickLayered + Sim/AI/Commander.cs AllowedTactic (goal.Relieve, aurel)</t>
        </is>
      </c>
      <c r="R146" t="inlineStr"/>
    </row>
    <row r="147">
      <c r="A147" t="inlineStr">
        <is>
          <t>goal.Relieve/brandt</t>
        </is>
      </c>
      <c r="B147" t="inlineStr">
        <is>
          <t>goal.Relieve</t>
        </is>
      </c>
      <c r="C147" t="inlineStr">
        <is>
          <t>brandt</t>
        </is>
      </c>
      <c r="D147">
        <f>AI_ho_so_anh_xa!$D$14</f>
        <v/>
      </c>
      <c r="E147">
        <f>INDEX(AI_ho_so_che_do!$B$2:$B$21,MATCH($D$147,AI_ho_so_che_do!$A$2:$A$21,0))&amp;""</f>
        <v/>
      </c>
      <c r="F147">
        <f>INDEX(AI_ho_so_che_do!$P$2:$P$21,MATCH($D$147,AI_ho_so_che_do!$A$2:$A$21,0))=TRUE</f>
        <v/>
      </c>
      <c r="G147">
        <f>ISNUMBER(FIND(";noGeneralTactic;",";"&amp;INDEX(AI_ho_so_che_do!$O$2:$O$21,MATCH($D$147,AI_ho_so_che_do!$A$2:$A$21,0))&amp;";"))</f>
        <v/>
      </c>
      <c r="H147">
        <f>IF(AI_tuong!$B$3&amp;""&lt;&gt;"",AI_tuong!$B$3,IF(AI_tuong!$B$4&amp;""&lt;&gt;"",AI_tuong!$B$4,"balanced"))</f>
        <v/>
      </c>
      <c r="I147" t="inlineStr">
        <is>
          <t>depth</t>
        </is>
      </c>
      <c r="J147">
        <f>OR($F$147,AND(AI_ho_so_anh_xa!$B$14="mode",OR(AI_ho_so_anh_xa!$C$14="Weekly",AI_ho_so_anh_xa!$C$14="Operation")))</f>
        <v/>
      </c>
      <c r="K147" t="b">
        <v>1</v>
      </c>
      <c r="L147">
        <f>IF($J$147,$H$147,"balanced")</f>
        <v/>
      </c>
      <c r="M147" t="inlineStr">
        <is>
          <t>depth</t>
        </is>
      </c>
      <c r="N147">
        <f>IF(OR($E$147="",$G$147),"balanced",IF(OR($E$147="*",ISNUMBER(FIND(";"&amp;$L$147&amp;";",";"&amp;$E$147&amp;";"))),$L$147,IF(ISNUMBER(FIND(";"&amp;"balanced"&amp;";",";"&amp;$E$147&amp;";")),"balanced",LEFT($E$147,FIND(";",$E$147&amp;";")-1))))</f>
        <v/>
      </c>
      <c r="O147" t="inlineStr">
        <is>
          <t>depth</t>
        </is>
      </c>
      <c r="P147">
        <f>IF(OR($E$147="",$G$147),"KHONG_CHIEN_THUAT",IF(NOT($J$147),IF($H$147="balanced","GIU","CHE_DO_BO_QUA"),IF($N$147=$H$147,"GIU","HO_SO_GHI_DE")))</f>
        <v/>
      </c>
      <c r="Q147" t="inlineStr">
        <is>
          <t>Sim/AI/ConquestAi.P28.cs TickLayered + Sim/AI/Commander.cs AllowedTactic (goal.Relieve, brandt)</t>
        </is>
      </c>
      <c r="R147" t="inlineStr"/>
    </row>
    <row r="148">
      <c r="A148" t="inlineStr">
        <is>
          <t>goal.Relieve/default</t>
        </is>
      </c>
      <c r="B148" t="inlineStr">
        <is>
          <t>goal.Relieve</t>
        </is>
      </c>
      <c r="C148" t="inlineStr">
        <is>
          <t>default</t>
        </is>
      </c>
      <c r="D148">
        <f>AI_ho_so_anh_xa!$D$14</f>
        <v/>
      </c>
      <c r="E148">
        <f>INDEX(AI_ho_so_che_do!$B$2:$B$21,MATCH($D$148,AI_ho_so_che_do!$A$2:$A$21,0))&amp;""</f>
        <v/>
      </c>
      <c r="F148">
        <f>INDEX(AI_ho_so_che_do!$P$2:$P$21,MATCH($D$148,AI_ho_so_che_do!$A$2:$A$21,0))=TRUE</f>
        <v/>
      </c>
      <c r="G148">
        <f>ISNUMBER(FIND(";noGeneralTactic;",";"&amp;INDEX(AI_ho_so_che_do!$O$2:$O$21,MATCH($D$148,AI_ho_so_che_do!$A$2:$A$21,0))&amp;";"))</f>
        <v/>
      </c>
      <c r="H148">
        <f>IF(AI_tuong!$B$4&amp;""&lt;&gt;"",AI_tuong!$B$4,IF(AI_tuong!$B$4&amp;""&lt;&gt;"",AI_tuong!$B$4,"balanced"))</f>
        <v/>
      </c>
      <c r="I148" t="inlineStr">
        <is>
          <t>balanced</t>
        </is>
      </c>
      <c r="J148">
        <f>OR($F$148,AND(AI_ho_so_anh_xa!$B$14="mode",OR(AI_ho_so_anh_xa!$C$14="Weekly",AI_ho_so_anh_xa!$C$14="Operation")))</f>
        <v/>
      </c>
      <c r="K148" t="b">
        <v>1</v>
      </c>
      <c r="L148">
        <f>IF($J$148,$H$148,"balanced")</f>
        <v/>
      </c>
      <c r="M148" t="inlineStr">
        <is>
          <t>balanced</t>
        </is>
      </c>
      <c r="N148">
        <f>IF(OR($E$148="",$G$148),"balanced",IF(OR($E$148="*",ISNUMBER(FIND(";"&amp;$L$148&amp;";",";"&amp;$E$148&amp;";"))),$L$148,IF(ISNUMBER(FIND(";"&amp;"balanced"&amp;";",";"&amp;$E$148&amp;";")),"balanced",LEFT($E$148,FIND(";",$E$148&amp;";")-1))))</f>
        <v/>
      </c>
      <c r="O148" t="inlineStr">
        <is>
          <t>balanced</t>
        </is>
      </c>
      <c r="P148">
        <f>IF(OR($E$148="",$G$148),"KHONG_CHIEN_THUAT",IF(NOT($J$148),IF($H$148="balanced","GIU","CHE_DO_BO_QUA"),IF($N$148=$H$148,"GIU","HO_SO_GHI_DE")))</f>
        <v/>
      </c>
      <c r="Q148" t="inlineStr">
        <is>
          <t>Sim/AI/ConquestAi.P28.cs TickLayered + Sim/AI/Commander.cs AllowedTactic (goal.Relieve, default)</t>
        </is>
      </c>
      <c r="R148" t="inlineStr"/>
    </row>
    <row r="149">
      <c r="A149" t="inlineStr">
        <is>
          <t>goal.Relieve/hung</t>
        </is>
      </c>
      <c r="B149" t="inlineStr">
        <is>
          <t>goal.Relieve</t>
        </is>
      </c>
      <c r="C149" t="inlineStr">
        <is>
          <t>hung</t>
        </is>
      </c>
      <c r="D149">
        <f>AI_ho_so_anh_xa!$D$14</f>
        <v/>
      </c>
      <c r="E149">
        <f>INDEX(AI_ho_so_che_do!$B$2:$B$21,MATCH($D$149,AI_ho_so_che_do!$A$2:$A$21,0))&amp;""</f>
        <v/>
      </c>
      <c r="F149">
        <f>INDEX(AI_ho_so_che_do!$P$2:$P$21,MATCH($D$149,AI_ho_so_che_do!$A$2:$A$21,0))=TRUE</f>
        <v/>
      </c>
      <c r="G149">
        <f>ISNUMBER(FIND(";noGeneralTactic;",";"&amp;INDEX(AI_ho_so_che_do!$O$2:$O$21,MATCH($D$149,AI_ho_so_che_do!$A$2:$A$21,0))&amp;";"))</f>
        <v/>
      </c>
      <c r="H149">
        <f>IF(AI_tuong!$B$5&amp;""&lt;&gt;"",AI_tuong!$B$5,IF(AI_tuong!$B$4&amp;""&lt;&gt;"",AI_tuong!$B$4,"balanced"))</f>
        <v/>
      </c>
      <c r="I149" t="inlineStr">
        <is>
          <t>balanced</t>
        </is>
      </c>
      <c r="J149">
        <f>OR($F$149,AND(AI_ho_so_anh_xa!$B$14="mode",OR(AI_ho_so_anh_xa!$C$14="Weekly",AI_ho_so_anh_xa!$C$14="Operation")))</f>
        <v/>
      </c>
      <c r="K149" t="b">
        <v>1</v>
      </c>
      <c r="L149">
        <f>IF($J$149,$H$149,"balanced")</f>
        <v/>
      </c>
      <c r="M149" t="inlineStr">
        <is>
          <t>balanced</t>
        </is>
      </c>
      <c r="N149">
        <f>IF(OR($E$149="",$G$149),"balanced",IF(OR($E$149="*",ISNUMBER(FIND(";"&amp;$L$149&amp;";",";"&amp;$E$149&amp;";"))),$L$149,IF(ISNUMBER(FIND(";"&amp;"balanced"&amp;";",";"&amp;$E$149&amp;";")),"balanced",LEFT($E$149,FIND(";",$E$149&amp;";")-1))))</f>
        <v/>
      </c>
      <c r="O149" t="inlineStr">
        <is>
          <t>balanced</t>
        </is>
      </c>
      <c r="P149">
        <f>IF(OR($E$149="",$G$149),"KHONG_CHIEN_THUAT",IF(NOT($J$149),IF($H$149="balanced","GIU","CHE_DO_BO_QUA"),IF($N$149=$H$149,"GIU","HO_SO_GHI_DE")))</f>
        <v/>
      </c>
      <c r="Q149" t="inlineStr">
        <is>
          <t>Sim/AI/ConquestAi.P28.cs TickLayered + Sim/AI/Commander.cs AllowedTactic (goal.Relieve, hung)</t>
        </is>
      </c>
      <c r="R149" t="inlineStr"/>
    </row>
    <row r="150">
      <c r="A150" t="inlineStr">
        <is>
          <t>goal.Relieve/kessler</t>
        </is>
      </c>
      <c r="B150" t="inlineStr">
        <is>
          <t>goal.Relieve</t>
        </is>
      </c>
      <c r="C150" t="inlineStr">
        <is>
          <t>kessler</t>
        </is>
      </c>
      <c r="D150">
        <f>AI_ho_so_anh_xa!$D$14</f>
        <v/>
      </c>
      <c r="E150">
        <f>INDEX(AI_ho_so_che_do!$B$2:$B$21,MATCH($D$150,AI_ho_so_che_do!$A$2:$A$21,0))&amp;""</f>
        <v/>
      </c>
      <c r="F150">
        <f>INDEX(AI_ho_so_che_do!$P$2:$P$21,MATCH($D$150,AI_ho_so_che_do!$A$2:$A$21,0))=TRUE</f>
        <v/>
      </c>
      <c r="G150">
        <f>ISNUMBER(FIND(";noGeneralTactic;",";"&amp;INDEX(AI_ho_so_che_do!$O$2:$O$21,MATCH($D$150,AI_ho_so_che_do!$A$2:$A$21,0))&amp;";"))</f>
        <v/>
      </c>
      <c r="H150">
        <f>IF(AI_tuong!$B$6&amp;""&lt;&gt;"",AI_tuong!$B$6,IF(AI_tuong!$B$4&amp;""&lt;&gt;"",AI_tuong!$B$4,"balanced"))</f>
        <v/>
      </c>
      <c r="I150" t="inlineStr">
        <is>
          <t>attrition</t>
        </is>
      </c>
      <c r="J150">
        <f>OR($F$150,AND(AI_ho_so_anh_xa!$B$14="mode",OR(AI_ho_so_anh_xa!$C$14="Weekly",AI_ho_so_anh_xa!$C$14="Operation")))</f>
        <v/>
      </c>
      <c r="K150" t="b">
        <v>1</v>
      </c>
      <c r="L150">
        <f>IF($J$150,$H$150,"balanced")</f>
        <v/>
      </c>
      <c r="M150" t="inlineStr">
        <is>
          <t>attrition</t>
        </is>
      </c>
      <c r="N150">
        <f>IF(OR($E$150="",$G$150),"balanced",IF(OR($E$150="*",ISNUMBER(FIND(";"&amp;$L$150&amp;";",";"&amp;$E$150&amp;";"))),$L$150,IF(ISNUMBER(FIND(";"&amp;"balanced"&amp;";",";"&amp;$E$150&amp;";")),"balanced",LEFT($E$150,FIND(";",$E$150&amp;";")-1))))</f>
        <v/>
      </c>
      <c r="O150" t="inlineStr">
        <is>
          <t>attrition</t>
        </is>
      </c>
      <c r="P150">
        <f>IF(OR($E$150="",$G$150),"KHONG_CHIEN_THUAT",IF(NOT($J$150),IF($H$150="balanced","GIU","CHE_DO_BO_QUA"),IF($N$150=$H$150,"GIU","HO_SO_GHI_DE")))</f>
        <v/>
      </c>
      <c r="Q150" t="inlineStr">
        <is>
          <t>Sim/AI/ConquestAi.P28.cs TickLayered + Sim/AI/Commander.cs AllowedTactic (goal.Relieve, kessler)</t>
        </is>
      </c>
      <c r="R150" t="inlineStr"/>
    </row>
    <row r="151">
      <c r="A151" t="inlineStr">
        <is>
          <t>goal.Relieve/orlov</t>
        </is>
      </c>
      <c r="B151" t="inlineStr">
        <is>
          <t>goal.Relieve</t>
        </is>
      </c>
      <c r="C151" t="inlineStr">
        <is>
          <t>orlov</t>
        </is>
      </c>
      <c r="D151">
        <f>AI_ho_so_anh_xa!$D$14</f>
        <v/>
      </c>
      <c r="E151">
        <f>INDEX(AI_ho_so_che_do!$B$2:$B$21,MATCH($D$151,AI_ho_so_che_do!$A$2:$A$21,0))&amp;""</f>
        <v/>
      </c>
      <c r="F151">
        <f>INDEX(AI_ho_so_che_do!$P$2:$P$21,MATCH($D$151,AI_ho_so_che_do!$A$2:$A$21,0))=TRUE</f>
        <v/>
      </c>
      <c r="G151">
        <f>ISNUMBER(FIND(";noGeneralTactic;",";"&amp;INDEX(AI_ho_so_che_do!$O$2:$O$21,MATCH($D$151,AI_ho_so_che_do!$A$2:$A$21,0))&amp;";"))</f>
        <v/>
      </c>
      <c r="H151">
        <f>IF(AI_tuong!$B$7&amp;""&lt;&gt;"",AI_tuong!$B$7,IF(AI_tuong!$B$4&amp;""&lt;&gt;"",AI_tuong!$B$4,"balanced"))</f>
        <v/>
      </c>
      <c r="I151" t="inlineStr">
        <is>
          <t>firepower</t>
        </is>
      </c>
      <c r="J151">
        <f>OR($F$151,AND(AI_ho_so_anh_xa!$B$14="mode",OR(AI_ho_so_anh_xa!$C$14="Weekly",AI_ho_so_anh_xa!$C$14="Operation")))</f>
        <v/>
      </c>
      <c r="K151" t="b">
        <v>1</v>
      </c>
      <c r="L151">
        <f>IF($J$151,$H$151,"balanced")</f>
        <v/>
      </c>
      <c r="M151" t="inlineStr">
        <is>
          <t>firepower</t>
        </is>
      </c>
      <c r="N151">
        <f>IF(OR($E$151="",$G$151),"balanced",IF(OR($E$151="*",ISNUMBER(FIND(";"&amp;$L$151&amp;";",";"&amp;$E$151&amp;";"))),$L$151,IF(ISNUMBER(FIND(";"&amp;"balanced"&amp;";",";"&amp;$E$151&amp;";")),"balanced",LEFT($E$151,FIND(";",$E$151&amp;";")-1))))</f>
        <v/>
      </c>
      <c r="O151" t="inlineStr">
        <is>
          <t>firepower</t>
        </is>
      </c>
      <c r="P151">
        <f>IF(OR($E$151="",$G$151),"KHONG_CHIEN_THUAT",IF(NOT($J$151),IF($H$151="balanced","GIU","CHE_DO_BO_QUA"),IF($N$151=$H$151,"GIU","HO_SO_GHI_DE")))</f>
        <v/>
      </c>
      <c r="Q151" t="inlineStr">
        <is>
          <t>Sim/AI/ConquestAi.P28.cs TickLayered + Sim/AI/Commander.cs AllowedTactic (goal.Relieve, orlov)</t>
        </is>
      </c>
      <c r="R151" t="inlineStr"/>
    </row>
    <row r="152">
      <c r="A152" t="inlineStr">
        <is>
          <t>goal.Relieve/quaden</t>
        </is>
      </c>
      <c r="B152" t="inlineStr">
        <is>
          <t>goal.Relieve</t>
        </is>
      </c>
      <c r="C152" t="inlineStr">
        <is>
          <t>quaden</t>
        </is>
      </c>
      <c r="D152">
        <f>AI_ho_so_anh_xa!$D$14</f>
        <v/>
      </c>
      <c r="E152">
        <f>INDEX(AI_ho_so_che_do!$B$2:$B$21,MATCH($D$152,AI_ho_so_che_do!$A$2:$A$21,0))&amp;""</f>
        <v/>
      </c>
      <c r="F152">
        <f>INDEX(AI_ho_so_che_do!$P$2:$P$21,MATCH($D$152,AI_ho_so_che_do!$A$2:$A$21,0))=TRUE</f>
        <v/>
      </c>
      <c r="G152">
        <f>ISNUMBER(FIND(";noGeneralTactic;",";"&amp;INDEX(AI_ho_so_che_do!$O$2:$O$21,MATCH($D$152,AI_ho_so_che_do!$A$2:$A$21,0))&amp;";"))</f>
        <v/>
      </c>
      <c r="H152">
        <f>IF(AI_tuong!$B$8&amp;""&lt;&gt;"",AI_tuong!$B$8,IF(AI_tuong!$B$4&amp;""&lt;&gt;"",AI_tuong!$B$4,"balanced"))</f>
        <v/>
      </c>
      <c r="I152" t="inlineStr">
        <is>
          <t>balanced</t>
        </is>
      </c>
      <c r="J152">
        <f>OR($F$152,AND(AI_ho_so_anh_xa!$B$14="mode",OR(AI_ho_so_anh_xa!$C$14="Weekly",AI_ho_so_anh_xa!$C$14="Operation")))</f>
        <v/>
      </c>
      <c r="K152" t="b">
        <v>1</v>
      </c>
      <c r="L152">
        <f>IF($J$152,$H$152,"balanced")</f>
        <v/>
      </c>
      <c r="M152" t="inlineStr">
        <is>
          <t>balanced</t>
        </is>
      </c>
      <c r="N152">
        <f>IF(OR($E$152="",$G$152),"balanced",IF(OR($E$152="*",ISNUMBER(FIND(";"&amp;$L$152&amp;";",";"&amp;$E$152&amp;";"))),$L$152,IF(ISNUMBER(FIND(";"&amp;"balanced"&amp;";",";"&amp;$E$152&amp;";")),"balanced",LEFT($E$152,FIND(";",$E$152&amp;";")-1))))</f>
        <v/>
      </c>
      <c r="O152" t="inlineStr">
        <is>
          <t>balanced</t>
        </is>
      </c>
      <c r="P152">
        <f>IF(OR($E$152="",$G$152),"KHONG_CHIEN_THUAT",IF(NOT($J$152),IF($H$152="balanced","GIU","CHE_DO_BO_QUA"),IF($N$152=$H$152,"GIU","HO_SO_GHI_DE")))</f>
        <v/>
      </c>
      <c r="Q152" t="inlineStr">
        <is>
          <t>Sim/AI/ConquestAi.P28.cs TickLayered + Sim/AI/Commander.cs AllowedTactic (goal.Relieve, quaden)</t>
        </is>
      </c>
      <c r="R152" t="inlineStr"/>
    </row>
    <row r="153">
      <c r="A153" t="inlineStr">
        <is>
          <t>goal.Relieve/sen</t>
        </is>
      </c>
      <c r="B153" t="inlineStr">
        <is>
          <t>goal.Relieve</t>
        </is>
      </c>
      <c r="C153" t="inlineStr">
        <is>
          <t>sen</t>
        </is>
      </c>
      <c r="D153">
        <f>AI_ho_so_anh_xa!$D$14</f>
        <v/>
      </c>
      <c r="E153">
        <f>INDEX(AI_ho_so_che_do!$B$2:$B$21,MATCH($D$153,AI_ho_so_che_do!$A$2:$A$21,0))&amp;""</f>
        <v/>
      </c>
      <c r="F153">
        <f>INDEX(AI_ho_so_che_do!$P$2:$P$21,MATCH($D$153,AI_ho_so_che_do!$A$2:$A$21,0))=TRUE</f>
        <v/>
      </c>
      <c r="G153">
        <f>ISNUMBER(FIND(";noGeneralTactic;",";"&amp;INDEX(AI_ho_so_che_do!$O$2:$O$21,MATCH($D$153,AI_ho_so_che_do!$A$2:$A$21,0))&amp;";"))</f>
        <v/>
      </c>
      <c r="H153">
        <f>IF(AI_tuong!$B$9&amp;""&lt;&gt;"",AI_tuong!$B$9,IF(AI_tuong!$B$4&amp;""&lt;&gt;"",AI_tuong!$B$4,"balanced"))</f>
        <v/>
      </c>
      <c r="I153" t="inlineStr">
        <is>
          <t>balanced</t>
        </is>
      </c>
      <c r="J153">
        <f>OR($F$153,AND(AI_ho_so_anh_xa!$B$14="mode",OR(AI_ho_so_anh_xa!$C$14="Weekly",AI_ho_so_anh_xa!$C$14="Operation")))</f>
        <v/>
      </c>
      <c r="K153" t="b">
        <v>1</v>
      </c>
      <c r="L153">
        <f>IF($J$153,$H$153,"balanced")</f>
        <v/>
      </c>
      <c r="M153" t="inlineStr">
        <is>
          <t>balanced</t>
        </is>
      </c>
      <c r="N153">
        <f>IF(OR($E$153="",$G$153),"balanced",IF(OR($E$153="*",ISNUMBER(FIND(";"&amp;$L$153&amp;";",";"&amp;$E$153&amp;";"))),$L$153,IF(ISNUMBER(FIND(";"&amp;"balanced"&amp;";",";"&amp;$E$153&amp;";")),"balanced",LEFT($E$153,FIND(";",$E$153&amp;";")-1))))</f>
        <v/>
      </c>
      <c r="O153" t="inlineStr">
        <is>
          <t>balanced</t>
        </is>
      </c>
      <c r="P153">
        <f>IF(OR($E$153="",$G$153),"KHONG_CHIEN_THUAT",IF(NOT($J$153),IF($H$153="balanced","GIU","CHE_DO_BO_QUA"),IF($N$153=$H$153,"GIU","HO_SO_GHI_DE")))</f>
        <v/>
      </c>
      <c r="Q153" t="inlineStr">
        <is>
          <t>Sim/AI/ConquestAi.P28.cs TickLayered + Sim/AI/Commander.cs AllowedTactic (goal.Relieve, sen)</t>
        </is>
      </c>
      <c r="R153" t="inlineStr"/>
    </row>
    <row r="154">
      <c r="A154" t="inlineStr">
        <is>
          <t>goal.Relieve/thorne</t>
        </is>
      </c>
      <c r="B154" t="inlineStr">
        <is>
          <t>goal.Relieve</t>
        </is>
      </c>
      <c r="C154" t="inlineStr">
        <is>
          <t>thorne</t>
        </is>
      </c>
      <c r="D154">
        <f>AI_ho_so_anh_xa!$D$14</f>
        <v/>
      </c>
      <c r="E154">
        <f>INDEX(AI_ho_so_che_do!$B$2:$B$21,MATCH($D$154,AI_ho_so_che_do!$A$2:$A$21,0))&amp;""</f>
        <v/>
      </c>
      <c r="F154">
        <f>INDEX(AI_ho_so_che_do!$P$2:$P$21,MATCH($D$154,AI_ho_so_che_do!$A$2:$A$21,0))=TRUE</f>
        <v/>
      </c>
      <c r="G154">
        <f>ISNUMBER(FIND(";noGeneralTactic;",";"&amp;INDEX(AI_ho_so_che_do!$O$2:$O$21,MATCH($D$154,AI_ho_so_che_do!$A$2:$A$21,0))&amp;";"))</f>
        <v/>
      </c>
      <c r="H154">
        <f>IF(AI_tuong!$B$10&amp;""&lt;&gt;"",AI_tuong!$B$10,IF(AI_tuong!$B$4&amp;""&lt;&gt;"",AI_tuong!$B$4,"balanced"))</f>
        <v/>
      </c>
      <c r="I154" t="inlineStr">
        <is>
          <t>balanced</t>
        </is>
      </c>
      <c r="J154">
        <f>OR($F$154,AND(AI_ho_so_anh_xa!$B$14="mode",OR(AI_ho_so_anh_xa!$C$14="Weekly",AI_ho_so_anh_xa!$C$14="Operation")))</f>
        <v/>
      </c>
      <c r="K154" t="b">
        <v>1</v>
      </c>
      <c r="L154">
        <f>IF($J$154,$H$154,"balanced")</f>
        <v/>
      </c>
      <c r="M154" t="inlineStr">
        <is>
          <t>balanced</t>
        </is>
      </c>
      <c r="N154">
        <f>IF(OR($E$154="",$G$154),"balanced",IF(OR($E$154="*",ISNUMBER(FIND(";"&amp;$L$154&amp;";",";"&amp;$E$154&amp;";"))),$L$154,IF(ISNUMBER(FIND(";"&amp;"balanced"&amp;";",";"&amp;$E$154&amp;";")),"balanced",LEFT($E$154,FIND(";",$E$154&amp;";")-1))))</f>
        <v/>
      </c>
      <c r="O154" t="inlineStr">
        <is>
          <t>balanced</t>
        </is>
      </c>
      <c r="P154">
        <f>IF(OR($E$154="",$G$154),"KHONG_CHIEN_THUAT",IF(NOT($J$154),IF($H$154="balanced","GIU","CHE_DO_BO_QUA"),IF($N$154=$H$154,"GIU","HO_SO_GHI_DE")))</f>
        <v/>
      </c>
      <c r="Q154" t="inlineStr">
        <is>
          <t>Sim/AI/ConquestAi.P28.cs TickLayered + Sim/AI/Commander.cs AllowedTactic (goal.Relieve, thorne)</t>
        </is>
      </c>
      <c r="R154" t="inlineStr"/>
    </row>
    <row r="155">
      <c r="A155" t="inlineStr">
        <is>
          <t>goal.Relieve/varga</t>
        </is>
      </c>
      <c r="B155" t="inlineStr">
        <is>
          <t>goal.Relieve</t>
        </is>
      </c>
      <c r="C155" t="inlineStr">
        <is>
          <t>varga</t>
        </is>
      </c>
      <c r="D155">
        <f>AI_ho_so_anh_xa!$D$14</f>
        <v/>
      </c>
      <c r="E155">
        <f>INDEX(AI_ho_so_che_do!$B$2:$B$21,MATCH($D$155,AI_ho_so_che_do!$A$2:$A$21,0))&amp;""</f>
        <v/>
      </c>
      <c r="F155">
        <f>INDEX(AI_ho_so_che_do!$P$2:$P$21,MATCH($D$155,AI_ho_so_che_do!$A$2:$A$21,0))=TRUE</f>
        <v/>
      </c>
      <c r="G155">
        <f>ISNUMBER(FIND(";noGeneralTactic;",";"&amp;INDEX(AI_ho_so_che_do!$O$2:$O$21,MATCH($D$155,AI_ho_so_che_do!$A$2:$A$21,0))&amp;";"))</f>
        <v/>
      </c>
      <c r="H155">
        <f>IF(AI_tuong!$B$11&amp;""&lt;&gt;"",AI_tuong!$B$11,IF(AI_tuong!$B$4&amp;""&lt;&gt;"",AI_tuong!$B$4,"balanced"))</f>
        <v/>
      </c>
      <c r="I155" t="inlineStr">
        <is>
          <t>breakthrough</t>
        </is>
      </c>
      <c r="J155">
        <f>OR($F$155,AND(AI_ho_so_anh_xa!$B$14="mode",OR(AI_ho_so_anh_xa!$C$14="Weekly",AI_ho_so_anh_xa!$C$14="Operation")))</f>
        <v/>
      </c>
      <c r="K155" t="b">
        <v>1</v>
      </c>
      <c r="L155">
        <f>IF($J$155,$H$155,"balanced")</f>
        <v/>
      </c>
      <c r="M155" t="inlineStr">
        <is>
          <t>breakthrough</t>
        </is>
      </c>
      <c r="N155">
        <f>IF(OR($E$155="",$G$155),"balanced",IF(OR($E$155="*",ISNUMBER(FIND(";"&amp;$L$155&amp;";",";"&amp;$E$155&amp;";"))),$L$155,IF(ISNUMBER(FIND(";"&amp;"balanced"&amp;";",";"&amp;$E$155&amp;";")),"balanced",LEFT($E$155,FIND(";",$E$155&amp;";")-1))))</f>
        <v/>
      </c>
      <c r="O155" t="inlineStr">
        <is>
          <t>breakthrough</t>
        </is>
      </c>
      <c r="P155">
        <f>IF(OR($E$155="",$G$155),"KHONG_CHIEN_THUAT",IF(NOT($J$155),IF($H$155="balanced","GIU","CHE_DO_BO_QUA"),IF($N$155=$H$155,"GIU","HO_SO_GHI_DE")))</f>
        <v/>
      </c>
      <c r="Q155" t="inlineStr">
        <is>
          <t>Sim/AI/ConquestAi.P28.cs TickLayered + Sim/AI/Commander.cs AllowedTactic (goal.Relieve, varga)</t>
        </is>
      </c>
      <c r="R155" t="inlineStr"/>
    </row>
    <row r="156">
      <c r="A156" t="inlineStr">
        <is>
          <t>goal.Relieve/venn</t>
        </is>
      </c>
      <c r="B156" t="inlineStr">
        <is>
          <t>goal.Relieve</t>
        </is>
      </c>
      <c r="C156" t="inlineStr">
        <is>
          <t>venn</t>
        </is>
      </c>
      <c r="D156">
        <f>AI_ho_so_anh_xa!$D$14</f>
        <v/>
      </c>
      <c r="E156">
        <f>INDEX(AI_ho_so_che_do!$B$2:$B$21,MATCH($D$156,AI_ho_so_che_do!$A$2:$A$21,0))&amp;""</f>
        <v/>
      </c>
      <c r="F156">
        <f>INDEX(AI_ho_so_che_do!$P$2:$P$21,MATCH($D$156,AI_ho_so_che_do!$A$2:$A$21,0))=TRUE</f>
        <v/>
      </c>
      <c r="G156">
        <f>ISNUMBER(FIND(";noGeneralTactic;",";"&amp;INDEX(AI_ho_so_che_do!$O$2:$O$21,MATCH($D$156,AI_ho_so_che_do!$A$2:$A$21,0))&amp;";"))</f>
        <v/>
      </c>
      <c r="H156">
        <f>IF(AI_tuong!$B$12&amp;""&lt;&gt;"",AI_tuong!$B$12,IF(AI_tuong!$B$4&amp;""&lt;&gt;"",AI_tuong!$B$4,"balanced"))</f>
        <v/>
      </c>
      <c r="I156" t="inlineStr">
        <is>
          <t>dispersal</t>
        </is>
      </c>
      <c r="J156">
        <f>OR($F$156,AND(AI_ho_so_anh_xa!$B$14="mode",OR(AI_ho_so_anh_xa!$C$14="Weekly",AI_ho_so_anh_xa!$C$14="Operation")))</f>
        <v/>
      </c>
      <c r="K156" t="b">
        <v>1</v>
      </c>
      <c r="L156">
        <f>IF($J$156,$H$156,"balanced")</f>
        <v/>
      </c>
      <c r="M156" t="inlineStr">
        <is>
          <t>dispersal</t>
        </is>
      </c>
      <c r="N156">
        <f>IF(OR($E$156="",$G$156),"balanced",IF(OR($E$156="*",ISNUMBER(FIND(";"&amp;$L$156&amp;";",";"&amp;$E$156&amp;";"))),$L$156,IF(ISNUMBER(FIND(";"&amp;"balanced"&amp;";",";"&amp;$E$156&amp;";")),"balanced",LEFT($E$156,FIND(";",$E$156&amp;";")-1))))</f>
        <v/>
      </c>
      <c r="O156" t="inlineStr">
        <is>
          <t>dispersal</t>
        </is>
      </c>
      <c r="P156">
        <f>IF(OR($E$156="",$G$156),"KHONG_CHIEN_THUAT",IF(NOT($J$156),IF($H$156="balanced","GIU","CHE_DO_BO_QUA"),IF($N$156=$H$156,"GIU","HO_SO_GHI_DE")))</f>
        <v/>
      </c>
      <c r="Q156" t="inlineStr">
        <is>
          <t>Sim/AI/ConquestAi.P28.cs TickLayered + Sim/AI/Commander.cs AllowedTactic (goal.Relieve, venn)</t>
        </is>
      </c>
      <c r="R156" t="inlineStr"/>
    </row>
    <row r="157">
      <c r="A157" t="inlineStr">
        <is>
          <t>goal.Relieve/wolff</t>
        </is>
      </c>
      <c r="B157" t="inlineStr">
        <is>
          <t>goal.Relieve</t>
        </is>
      </c>
      <c r="C157" t="inlineStr">
        <is>
          <t>wolff</t>
        </is>
      </c>
      <c r="D157">
        <f>AI_ho_so_anh_xa!$D$14</f>
        <v/>
      </c>
      <c r="E157">
        <f>INDEX(AI_ho_so_che_do!$B$2:$B$21,MATCH($D$157,AI_ho_so_che_do!$A$2:$A$21,0))&amp;""</f>
        <v/>
      </c>
      <c r="F157">
        <f>INDEX(AI_ho_so_che_do!$P$2:$P$21,MATCH($D$157,AI_ho_so_che_do!$A$2:$A$21,0))=TRUE</f>
        <v/>
      </c>
      <c r="G157">
        <f>ISNUMBER(FIND(";noGeneralTactic;",";"&amp;INDEX(AI_ho_so_che_do!$O$2:$O$21,MATCH($D$157,AI_ho_so_che_do!$A$2:$A$21,0))&amp;";"))</f>
        <v/>
      </c>
      <c r="H157">
        <f>IF(AI_tuong!$B$13&amp;""&lt;&gt;"",AI_tuong!$B$13,IF(AI_tuong!$B$4&amp;""&lt;&gt;"",AI_tuong!$B$4,"balanced"))</f>
        <v/>
      </c>
      <c r="I157" t="inlineStr">
        <is>
          <t>air_superiority</t>
        </is>
      </c>
      <c r="J157">
        <f>OR($F$157,AND(AI_ho_so_anh_xa!$B$14="mode",OR(AI_ho_so_anh_xa!$C$14="Weekly",AI_ho_so_anh_xa!$C$14="Operation")))</f>
        <v/>
      </c>
      <c r="K157" t="b">
        <v>1</v>
      </c>
      <c r="L157">
        <f>IF($J$157,$H$157,"balanced")</f>
        <v/>
      </c>
      <c r="M157" t="inlineStr">
        <is>
          <t>air_superiority</t>
        </is>
      </c>
      <c r="N157">
        <f>IF(OR($E$157="",$G$157),"balanced",IF(OR($E$157="*",ISNUMBER(FIND(";"&amp;$L$157&amp;";",";"&amp;$E$157&amp;";"))),$L$157,IF(ISNUMBER(FIND(";"&amp;"balanced"&amp;";",";"&amp;$E$157&amp;";")),"balanced",LEFT($E$157,FIND(";",$E$157&amp;";")-1))))</f>
        <v/>
      </c>
      <c r="O157" t="inlineStr">
        <is>
          <t>air_superiority</t>
        </is>
      </c>
      <c r="P157">
        <f>IF(OR($E$157="",$G$157),"KHONG_CHIEN_THUAT",IF(NOT($J$157),IF($H$157="balanced","GIU","CHE_DO_BO_QUA"),IF($N$157=$H$157,"GIU","HO_SO_GHI_DE")))</f>
        <v/>
      </c>
      <c r="Q157" t="inlineStr">
        <is>
          <t>Sim/AI/ConquestAi.P28.cs TickLayered + Sim/AI/Commander.cs AllowedTactic (goal.Relieve, wolff)</t>
        </is>
      </c>
      <c r="R157" t="inlineStr"/>
    </row>
    <row r="158">
      <c r="A158" t="inlineStr">
        <is>
          <t>goal.ShootDown/aurel</t>
        </is>
      </c>
      <c r="B158" t="inlineStr">
        <is>
          <t>goal.ShootDown</t>
        </is>
      </c>
      <c r="C158" t="inlineStr">
        <is>
          <t>aurel</t>
        </is>
      </c>
      <c r="D158">
        <f>AI_ho_so_anh_xa!$D$15</f>
        <v/>
      </c>
      <c r="E158">
        <f>INDEX(AI_ho_so_che_do!$B$2:$B$21,MATCH($D$158,AI_ho_so_che_do!$A$2:$A$21,0))&amp;""</f>
        <v/>
      </c>
      <c r="F158">
        <f>INDEX(AI_ho_so_che_do!$P$2:$P$21,MATCH($D$158,AI_ho_so_che_do!$A$2:$A$21,0))=TRUE</f>
        <v/>
      </c>
      <c r="G158">
        <f>ISNUMBER(FIND(";noGeneralTactic;",";"&amp;INDEX(AI_ho_so_che_do!$O$2:$O$21,MATCH($D$158,AI_ho_so_che_do!$A$2:$A$21,0))&amp;";"))</f>
        <v/>
      </c>
      <c r="H158">
        <f>IF(AI_tuong!$B$2&amp;""&lt;&gt;"",AI_tuong!$B$2,IF(AI_tuong!$B$4&amp;""&lt;&gt;"",AI_tuong!$B$4,"balanced"))</f>
        <v/>
      </c>
      <c r="I158" t="inlineStr">
        <is>
          <t>all_out</t>
        </is>
      </c>
      <c r="J158">
        <f>OR($F$158,AND(AI_ho_so_anh_xa!$B$15="mode",OR(AI_ho_so_anh_xa!$C$15="Weekly",AI_ho_so_anh_xa!$C$15="Operation")))</f>
        <v/>
      </c>
      <c r="K158" t="b">
        <v>1</v>
      </c>
      <c r="L158">
        <f>IF($J$158,$H$158,"balanced")</f>
        <v/>
      </c>
      <c r="M158" t="inlineStr">
        <is>
          <t>all_out</t>
        </is>
      </c>
      <c r="N158">
        <f>IF(OR($E$158="",$G$158),"balanced",IF(OR($E$158="*",ISNUMBER(FIND(";"&amp;$L$158&amp;";",";"&amp;$E$158&amp;";"))),$L$158,IF(ISNUMBER(FIND(";"&amp;"balanced"&amp;";",";"&amp;$E$158&amp;";")),"balanced",LEFT($E$158,FIND(";",$E$158&amp;";")-1))))</f>
        <v/>
      </c>
      <c r="O158" t="inlineStr">
        <is>
          <t>all_out</t>
        </is>
      </c>
      <c r="P158">
        <f>IF(OR($E$158="",$G$158),"KHONG_CHIEN_THUAT",IF(NOT($J$158),IF($H$158="balanced","GIU","CHE_DO_BO_QUA"),IF($N$158=$H$158,"GIU","HO_SO_GHI_DE")))</f>
        <v/>
      </c>
      <c r="Q158" t="inlineStr">
        <is>
          <t>Sim/AI/ConquestAi.P28.cs TickLayered + Sim/AI/Commander.cs AllowedTactic (goal.ShootDown, aurel)</t>
        </is>
      </c>
      <c r="R158" t="inlineStr"/>
    </row>
    <row r="159">
      <c r="A159" t="inlineStr">
        <is>
          <t>goal.ShootDown/brandt</t>
        </is>
      </c>
      <c r="B159" t="inlineStr">
        <is>
          <t>goal.ShootDown</t>
        </is>
      </c>
      <c r="C159" t="inlineStr">
        <is>
          <t>brandt</t>
        </is>
      </c>
      <c r="D159">
        <f>AI_ho_so_anh_xa!$D$15</f>
        <v/>
      </c>
      <c r="E159">
        <f>INDEX(AI_ho_so_che_do!$B$2:$B$21,MATCH($D$159,AI_ho_so_che_do!$A$2:$A$21,0))&amp;""</f>
        <v/>
      </c>
      <c r="F159">
        <f>INDEX(AI_ho_so_che_do!$P$2:$P$21,MATCH($D$159,AI_ho_so_che_do!$A$2:$A$21,0))=TRUE</f>
        <v/>
      </c>
      <c r="G159">
        <f>ISNUMBER(FIND(";noGeneralTactic;",";"&amp;INDEX(AI_ho_so_che_do!$O$2:$O$21,MATCH($D$159,AI_ho_so_che_do!$A$2:$A$21,0))&amp;";"))</f>
        <v/>
      </c>
      <c r="H159">
        <f>IF(AI_tuong!$B$3&amp;""&lt;&gt;"",AI_tuong!$B$3,IF(AI_tuong!$B$4&amp;""&lt;&gt;"",AI_tuong!$B$4,"balanced"))</f>
        <v/>
      </c>
      <c r="I159" t="inlineStr">
        <is>
          <t>depth</t>
        </is>
      </c>
      <c r="J159">
        <f>OR($F$159,AND(AI_ho_so_anh_xa!$B$15="mode",OR(AI_ho_so_anh_xa!$C$15="Weekly",AI_ho_so_anh_xa!$C$15="Operation")))</f>
        <v/>
      </c>
      <c r="K159" t="b">
        <v>1</v>
      </c>
      <c r="L159">
        <f>IF($J$159,$H$159,"balanced")</f>
        <v/>
      </c>
      <c r="M159" t="inlineStr">
        <is>
          <t>depth</t>
        </is>
      </c>
      <c r="N159">
        <f>IF(OR($E$159="",$G$159),"balanced",IF(OR($E$159="*",ISNUMBER(FIND(";"&amp;$L$159&amp;";",";"&amp;$E$159&amp;";"))),$L$159,IF(ISNUMBER(FIND(";"&amp;"balanced"&amp;";",";"&amp;$E$159&amp;";")),"balanced",LEFT($E$159,FIND(";",$E$159&amp;";")-1))))</f>
        <v/>
      </c>
      <c r="O159" t="inlineStr">
        <is>
          <t>depth</t>
        </is>
      </c>
      <c r="P159">
        <f>IF(OR($E$159="",$G$159),"KHONG_CHIEN_THUAT",IF(NOT($J$159),IF($H$159="balanced","GIU","CHE_DO_BO_QUA"),IF($N$159=$H$159,"GIU","HO_SO_GHI_DE")))</f>
        <v/>
      </c>
      <c r="Q159" t="inlineStr">
        <is>
          <t>Sim/AI/ConquestAi.P28.cs TickLayered + Sim/AI/Commander.cs AllowedTactic (goal.ShootDown, brandt)</t>
        </is>
      </c>
      <c r="R159" t="inlineStr"/>
    </row>
    <row r="160">
      <c r="A160" t="inlineStr">
        <is>
          <t>goal.ShootDown/default</t>
        </is>
      </c>
      <c r="B160" t="inlineStr">
        <is>
          <t>goal.ShootDown</t>
        </is>
      </c>
      <c r="C160" t="inlineStr">
        <is>
          <t>default</t>
        </is>
      </c>
      <c r="D160">
        <f>AI_ho_so_anh_xa!$D$15</f>
        <v/>
      </c>
      <c r="E160">
        <f>INDEX(AI_ho_so_che_do!$B$2:$B$21,MATCH($D$160,AI_ho_so_che_do!$A$2:$A$21,0))&amp;""</f>
        <v/>
      </c>
      <c r="F160">
        <f>INDEX(AI_ho_so_che_do!$P$2:$P$21,MATCH($D$160,AI_ho_so_che_do!$A$2:$A$21,0))=TRUE</f>
        <v/>
      </c>
      <c r="G160">
        <f>ISNUMBER(FIND(";noGeneralTactic;",";"&amp;INDEX(AI_ho_so_che_do!$O$2:$O$21,MATCH($D$160,AI_ho_so_che_do!$A$2:$A$21,0))&amp;";"))</f>
        <v/>
      </c>
      <c r="H160">
        <f>IF(AI_tuong!$B$4&amp;""&lt;&gt;"",AI_tuong!$B$4,IF(AI_tuong!$B$4&amp;""&lt;&gt;"",AI_tuong!$B$4,"balanced"))</f>
        <v/>
      </c>
      <c r="I160" t="inlineStr">
        <is>
          <t>balanced</t>
        </is>
      </c>
      <c r="J160">
        <f>OR($F$160,AND(AI_ho_so_anh_xa!$B$15="mode",OR(AI_ho_so_anh_xa!$C$15="Weekly",AI_ho_so_anh_xa!$C$15="Operation")))</f>
        <v/>
      </c>
      <c r="K160" t="b">
        <v>1</v>
      </c>
      <c r="L160">
        <f>IF($J$160,$H$160,"balanced")</f>
        <v/>
      </c>
      <c r="M160" t="inlineStr">
        <is>
          <t>balanced</t>
        </is>
      </c>
      <c r="N160">
        <f>IF(OR($E$160="",$G$160),"balanced",IF(OR($E$160="*",ISNUMBER(FIND(";"&amp;$L$160&amp;";",";"&amp;$E$160&amp;";"))),$L$160,IF(ISNUMBER(FIND(";"&amp;"balanced"&amp;";",";"&amp;$E$160&amp;";")),"balanced",LEFT($E$160,FIND(";",$E$160&amp;";")-1))))</f>
        <v/>
      </c>
      <c r="O160" t="inlineStr">
        <is>
          <t>balanced</t>
        </is>
      </c>
      <c r="P160">
        <f>IF(OR($E$160="",$G$160),"KHONG_CHIEN_THUAT",IF(NOT($J$160),IF($H$160="balanced","GIU","CHE_DO_BO_QUA"),IF($N$160=$H$160,"GIU","HO_SO_GHI_DE")))</f>
        <v/>
      </c>
      <c r="Q160" t="inlineStr">
        <is>
          <t>Sim/AI/ConquestAi.P28.cs TickLayered + Sim/AI/Commander.cs AllowedTactic (goal.ShootDown, default)</t>
        </is>
      </c>
      <c r="R160" t="inlineStr"/>
    </row>
    <row r="161">
      <c r="A161" t="inlineStr">
        <is>
          <t>goal.ShootDown/hung</t>
        </is>
      </c>
      <c r="B161" t="inlineStr">
        <is>
          <t>goal.ShootDown</t>
        </is>
      </c>
      <c r="C161" t="inlineStr">
        <is>
          <t>hung</t>
        </is>
      </c>
      <c r="D161">
        <f>AI_ho_so_anh_xa!$D$15</f>
        <v/>
      </c>
      <c r="E161">
        <f>INDEX(AI_ho_so_che_do!$B$2:$B$21,MATCH($D$161,AI_ho_so_che_do!$A$2:$A$21,0))&amp;""</f>
        <v/>
      </c>
      <c r="F161">
        <f>INDEX(AI_ho_so_che_do!$P$2:$P$21,MATCH($D$161,AI_ho_so_che_do!$A$2:$A$21,0))=TRUE</f>
        <v/>
      </c>
      <c r="G161">
        <f>ISNUMBER(FIND(";noGeneralTactic;",";"&amp;INDEX(AI_ho_so_che_do!$O$2:$O$21,MATCH($D$161,AI_ho_so_che_do!$A$2:$A$21,0))&amp;";"))</f>
        <v/>
      </c>
      <c r="H161">
        <f>IF(AI_tuong!$B$5&amp;""&lt;&gt;"",AI_tuong!$B$5,IF(AI_tuong!$B$4&amp;""&lt;&gt;"",AI_tuong!$B$4,"balanced"))</f>
        <v/>
      </c>
      <c r="I161" t="inlineStr">
        <is>
          <t>balanced</t>
        </is>
      </c>
      <c r="J161">
        <f>OR($F$161,AND(AI_ho_so_anh_xa!$B$15="mode",OR(AI_ho_so_anh_xa!$C$15="Weekly",AI_ho_so_anh_xa!$C$15="Operation")))</f>
        <v/>
      </c>
      <c r="K161" t="b">
        <v>1</v>
      </c>
      <c r="L161">
        <f>IF($J$161,$H$161,"balanced")</f>
        <v/>
      </c>
      <c r="M161" t="inlineStr">
        <is>
          <t>balanced</t>
        </is>
      </c>
      <c r="N161">
        <f>IF(OR($E$161="",$G$161),"balanced",IF(OR($E$161="*",ISNUMBER(FIND(";"&amp;$L$161&amp;";",";"&amp;$E$161&amp;";"))),$L$161,IF(ISNUMBER(FIND(";"&amp;"balanced"&amp;";",";"&amp;$E$161&amp;";")),"balanced",LEFT($E$161,FIND(";",$E$161&amp;";")-1))))</f>
        <v/>
      </c>
      <c r="O161" t="inlineStr">
        <is>
          <t>balanced</t>
        </is>
      </c>
      <c r="P161">
        <f>IF(OR($E$161="",$G$161),"KHONG_CHIEN_THUAT",IF(NOT($J$161),IF($H$161="balanced","GIU","CHE_DO_BO_QUA"),IF($N$161=$H$161,"GIU","HO_SO_GHI_DE")))</f>
        <v/>
      </c>
      <c r="Q161" t="inlineStr">
        <is>
          <t>Sim/AI/ConquestAi.P28.cs TickLayered + Sim/AI/Commander.cs AllowedTactic (goal.ShootDown, hung)</t>
        </is>
      </c>
      <c r="R161" t="inlineStr"/>
    </row>
    <row r="162">
      <c r="A162" t="inlineStr">
        <is>
          <t>goal.ShootDown/kessler</t>
        </is>
      </c>
      <c r="B162" t="inlineStr">
        <is>
          <t>goal.ShootDown</t>
        </is>
      </c>
      <c r="C162" t="inlineStr">
        <is>
          <t>kessler</t>
        </is>
      </c>
      <c r="D162">
        <f>AI_ho_so_anh_xa!$D$15</f>
        <v/>
      </c>
      <c r="E162">
        <f>INDEX(AI_ho_so_che_do!$B$2:$B$21,MATCH($D$162,AI_ho_so_che_do!$A$2:$A$21,0))&amp;""</f>
        <v/>
      </c>
      <c r="F162">
        <f>INDEX(AI_ho_so_che_do!$P$2:$P$21,MATCH($D$162,AI_ho_so_che_do!$A$2:$A$21,0))=TRUE</f>
        <v/>
      </c>
      <c r="G162">
        <f>ISNUMBER(FIND(";noGeneralTactic;",";"&amp;INDEX(AI_ho_so_che_do!$O$2:$O$21,MATCH($D$162,AI_ho_so_che_do!$A$2:$A$21,0))&amp;";"))</f>
        <v/>
      </c>
      <c r="H162">
        <f>IF(AI_tuong!$B$6&amp;""&lt;&gt;"",AI_tuong!$B$6,IF(AI_tuong!$B$4&amp;""&lt;&gt;"",AI_tuong!$B$4,"balanced"))</f>
        <v/>
      </c>
      <c r="I162" t="inlineStr">
        <is>
          <t>attrition</t>
        </is>
      </c>
      <c r="J162">
        <f>OR($F$162,AND(AI_ho_so_anh_xa!$B$15="mode",OR(AI_ho_so_anh_xa!$C$15="Weekly",AI_ho_so_anh_xa!$C$15="Operation")))</f>
        <v/>
      </c>
      <c r="K162" t="b">
        <v>1</v>
      </c>
      <c r="L162">
        <f>IF($J$162,$H$162,"balanced")</f>
        <v/>
      </c>
      <c r="M162" t="inlineStr">
        <is>
          <t>attrition</t>
        </is>
      </c>
      <c r="N162">
        <f>IF(OR($E$162="",$G$162),"balanced",IF(OR($E$162="*",ISNUMBER(FIND(";"&amp;$L$162&amp;";",";"&amp;$E$162&amp;";"))),$L$162,IF(ISNUMBER(FIND(";"&amp;"balanced"&amp;";",";"&amp;$E$162&amp;";")),"balanced",LEFT($E$162,FIND(";",$E$162&amp;";")-1))))</f>
        <v/>
      </c>
      <c r="O162" t="inlineStr">
        <is>
          <t>attrition</t>
        </is>
      </c>
      <c r="P162">
        <f>IF(OR($E$162="",$G$162),"KHONG_CHIEN_THUAT",IF(NOT($J$162),IF($H$162="balanced","GIU","CHE_DO_BO_QUA"),IF($N$162=$H$162,"GIU","HO_SO_GHI_DE")))</f>
        <v/>
      </c>
      <c r="Q162" t="inlineStr">
        <is>
          <t>Sim/AI/ConquestAi.P28.cs TickLayered + Sim/AI/Commander.cs AllowedTactic (goal.ShootDown, kessler)</t>
        </is>
      </c>
      <c r="R162" t="inlineStr"/>
    </row>
    <row r="163">
      <c r="A163" t="inlineStr">
        <is>
          <t>goal.ShootDown/orlov</t>
        </is>
      </c>
      <c r="B163" t="inlineStr">
        <is>
          <t>goal.ShootDown</t>
        </is>
      </c>
      <c r="C163" t="inlineStr">
        <is>
          <t>orlov</t>
        </is>
      </c>
      <c r="D163">
        <f>AI_ho_so_anh_xa!$D$15</f>
        <v/>
      </c>
      <c r="E163">
        <f>INDEX(AI_ho_so_che_do!$B$2:$B$21,MATCH($D$163,AI_ho_so_che_do!$A$2:$A$21,0))&amp;""</f>
        <v/>
      </c>
      <c r="F163">
        <f>INDEX(AI_ho_so_che_do!$P$2:$P$21,MATCH($D$163,AI_ho_so_che_do!$A$2:$A$21,0))=TRUE</f>
        <v/>
      </c>
      <c r="G163">
        <f>ISNUMBER(FIND(";noGeneralTactic;",";"&amp;INDEX(AI_ho_so_che_do!$O$2:$O$21,MATCH($D$163,AI_ho_so_che_do!$A$2:$A$21,0))&amp;";"))</f>
        <v/>
      </c>
      <c r="H163">
        <f>IF(AI_tuong!$B$7&amp;""&lt;&gt;"",AI_tuong!$B$7,IF(AI_tuong!$B$4&amp;""&lt;&gt;"",AI_tuong!$B$4,"balanced"))</f>
        <v/>
      </c>
      <c r="I163" t="inlineStr">
        <is>
          <t>firepower</t>
        </is>
      </c>
      <c r="J163">
        <f>OR($F$163,AND(AI_ho_so_anh_xa!$B$15="mode",OR(AI_ho_so_anh_xa!$C$15="Weekly",AI_ho_so_anh_xa!$C$15="Operation")))</f>
        <v/>
      </c>
      <c r="K163" t="b">
        <v>1</v>
      </c>
      <c r="L163">
        <f>IF($J$163,$H$163,"balanced")</f>
        <v/>
      </c>
      <c r="M163" t="inlineStr">
        <is>
          <t>firepower</t>
        </is>
      </c>
      <c r="N163">
        <f>IF(OR($E$163="",$G$163),"balanced",IF(OR($E$163="*",ISNUMBER(FIND(";"&amp;$L$163&amp;";",";"&amp;$E$163&amp;";"))),$L$163,IF(ISNUMBER(FIND(";"&amp;"balanced"&amp;";",";"&amp;$E$163&amp;";")),"balanced",LEFT($E$163,FIND(";",$E$163&amp;";")-1))))</f>
        <v/>
      </c>
      <c r="O163" t="inlineStr">
        <is>
          <t>firepower</t>
        </is>
      </c>
      <c r="P163">
        <f>IF(OR($E$163="",$G$163),"KHONG_CHIEN_THUAT",IF(NOT($J$163),IF($H$163="balanced","GIU","CHE_DO_BO_QUA"),IF($N$163=$H$163,"GIU","HO_SO_GHI_DE")))</f>
        <v/>
      </c>
      <c r="Q163" t="inlineStr">
        <is>
          <t>Sim/AI/ConquestAi.P28.cs TickLayered + Sim/AI/Commander.cs AllowedTactic (goal.ShootDown, orlov)</t>
        </is>
      </c>
      <c r="R163" t="inlineStr"/>
    </row>
    <row r="164">
      <c r="A164" t="inlineStr">
        <is>
          <t>goal.ShootDown/quaden</t>
        </is>
      </c>
      <c r="B164" t="inlineStr">
        <is>
          <t>goal.ShootDown</t>
        </is>
      </c>
      <c r="C164" t="inlineStr">
        <is>
          <t>quaden</t>
        </is>
      </c>
      <c r="D164">
        <f>AI_ho_so_anh_xa!$D$15</f>
        <v/>
      </c>
      <c r="E164">
        <f>INDEX(AI_ho_so_che_do!$B$2:$B$21,MATCH($D$164,AI_ho_so_che_do!$A$2:$A$21,0))&amp;""</f>
        <v/>
      </c>
      <c r="F164">
        <f>INDEX(AI_ho_so_che_do!$P$2:$P$21,MATCH($D$164,AI_ho_so_che_do!$A$2:$A$21,0))=TRUE</f>
        <v/>
      </c>
      <c r="G164">
        <f>ISNUMBER(FIND(";noGeneralTactic;",";"&amp;INDEX(AI_ho_so_che_do!$O$2:$O$21,MATCH($D$164,AI_ho_so_che_do!$A$2:$A$21,0))&amp;";"))</f>
        <v/>
      </c>
      <c r="H164">
        <f>IF(AI_tuong!$B$8&amp;""&lt;&gt;"",AI_tuong!$B$8,IF(AI_tuong!$B$4&amp;""&lt;&gt;"",AI_tuong!$B$4,"balanced"))</f>
        <v/>
      </c>
      <c r="I164" t="inlineStr">
        <is>
          <t>balanced</t>
        </is>
      </c>
      <c r="J164">
        <f>OR($F$164,AND(AI_ho_so_anh_xa!$B$15="mode",OR(AI_ho_so_anh_xa!$C$15="Weekly",AI_ho_so_anh_xa!$C$15="Operation")))</f>
        <v/>
      </c>
      <c r="K164" t="b">
        <v>1</v>
      </c>
      <c r="L164">
        <f>IF($J$164,$H$164,"balanced")</f>
        <v/>
      </c>
      <c r="M164" t="inlineStr">
        <is>
          <t>balanced</t>
        </is>
      </c>
      <c r="N164">
        <f>IF(OR($E$164="",$G$164),"balanced",IF(OR($E$164="*",ISNUMBER(FIND(";"&amp;$L$164&amp;";",";"&amp;$E$164&amp;";"))),$L$164,IF(ISNUMBER(FIND(";"&amp;"balanced"&amp;";",";"&amp;$E$164&amp;";")),"balanced",LEFT($E$164,FIND(";",$E$164&amp;";")-1))))</f>
        <v/>
      </c>
      <c r="O164" t="inlineStr">
        <is>
          <t>balanced</t>
        </is>
      </c>
      <c r="P164">
        <f>IF(OR($E$164="",$G$164),"KHONG_CHIEN_THUAT",IF(NOT($J$164),IF($H$164="balanced","GIU","CHE_DO_BO_QUA"),IF($N$164=$H$164,"GIU","HO_SO_GHI_DE")))</f>
        <v/>
      </c>
      <c r="Q164" t="inlineStr">
        <is>
          <t>Sim/AI/ConquestAi.P28.cs TickLayered + Sim/AI/Commander.cs AllowedTactic (goal.ShootDown, quaden)</t>
        </is>
      </c>
      <c r="R164" t="inlineStr"/>
    </row>
    <row r="165">
      <c r="A165" t="inlineStr">
        <is>
          <t>goal.ShootDown/sen</t>
        </is>
      </c>
      <c r="B165" t="inlineStr">
        <is>
          <t>goal.ShootDown</t>
        </is>
      </c>
      <c r="C165" t="inlineStr">
        <is>
          <t>sen</t>
        </is>
      </c>
      <c r="D165">
        <f>AI_ho_so_anh_xa!$D$15</f>
        <v/>
      </c>
      <c r="E165">
        <f>INDEX(AI_ho_so_che_do!$B$2:$B$21,MATCH($D$165,AI_ho_so_che_do!$A$2:$A$21,0))&amp;""</f>
        <v/>
      </c>
      <c r="F165">
        <f>INDEX(AI_ho_so_che_do!$P$2:$P$21,MATCH($D$165,AI_ho_so_che_do!$A$2:$A$21,0))=TRUE</f>
        <v/>
      </c>
      <c r="G165">
        <f>ISNUMBER(FIND(";noGeneralTactic;",";"&amp;INDEX(AI_ho_so_che_do!$O$2:$O$21,MATCH($D$165,AI_ho_so_che_do!$A$2:$A$21,0))&amp;";"))</f>
        <v/>
      </c>
      <c r="H165">
        <f>IF(AI_tuong!$B$9&amp;""&lt;&gt;"",AI_tuong!$B$9,IF(AI_tuong!$B$4&amp;""&lt;&gt;"",AI_tuong!$B$4,"balanced"))</f>
        <v/>
      </c>
      <c r="I165" t="inlineStr">
        <is>
          <t>balanced</t>
        </is>
      </c>
      <c r="J165">
        <f>OR($F$165,AND(AI_ho_so_anh_xa!$B$15="mode",OR(AI_ho_so_anh_xa!$C$15="Weekly",AI_ho_so_anh_xa!$C$15="Operation")))</f>
        <v/>
      </c>
      <c r="K165" t="b">
        <v>1</v>
      </c>
      <c r="L165">
        <f>IF($J$165,$H$165,"balanced")</f>
        <v/>
      </c>
      <c r="M165" t="inlineStr">
        <is>
          <t>balanced</t>
        </is>
      </c>
      <c r="N165">
        <f>IF(OR($E$165="",$G$165),"balanced",IF(OR($E$165="*",ISNUMBER(FIND(";"&amp;$L$165&amp;";",";"&amp;$E$165&amp;";"))),$L$165,IF(ISNUMBER(FIND(";"&amp;"balanced"&amp;";",";"&amp;$E$165&amp;";")),"balanced",LEFT($E$165,FIND(";",$E$165&amp;";")-1))))</f>
        <v/>
      </c>
      <c r="O165" t="inlineStr">
        <is>
          <t>balanced</t>
        </is>
      </c>
      <c r="P165">
        <f>IF(OR($E$165="",$G$165),"KHONG_CHIEN_THUAT",IF(NOT($J$165),IF($H$165="balanced","GIU","CHE_DO_BO_QUA"),IF($N$165=$H$165,"GIU","HO_SO_GHI_DE")))</f>
        <v/>
      </c>
      <c r="Q165" t="inlineStr">
        <is>
          <t>Sim/AI/ConquestAi.P28.cs TickLayered + Sim/AI/Commander.cs AllowedTactic (goal.ShootDown, sen)</t>
        </is>
      </c>
      <c r="R165" t="inlineStr"/>
    </row>
    <row r="166">
      <c r="A166" t="inlineStr">
        <is>
          <t>goal.ShootDown/thorne</t>
        </is>
      </c>
      <c r="B166" t="inlineStr">
        <is>
          <t>goal.ShootDown</t>
        </is>
      </c>
      <c r="C166" t="inlineStr">
        <is>
          <t>thorne</t>
        </is>
      </c>
      <c r="D166">
        <f>AI_ho_so_anh_xa!$D$15</f>
        <v/>
      </c>
      <c r="E166">
        <f>INDEX(AI_ho_so_che_do!$B$2:$B$21,MATCH($D$166,AI_ho_so_che_do!$A$2:$A$21,0))&amp;""</f>
        <v/>
      </c>
      <c r="F166">
        <f>INDEX(AI_ho_so_che_do!$P$2:$P$21,MATCH($D$166,AI_ho_so_che_do!$A$2:$A$21,0))=TRUE</f>
        <v/>
      </c>
      <c r="G166">
        <f>ISNUMBER(FIND(";noGeneralTactic;",";"&amp;INDEX(AI_ho_so_che_do!$O$2:$O$21,MATCH($D$166,AI_ho_so_che_do!$A$2:$A$21,0))&amp;";"))</f>
        <v/>
      </c>
      <c r="H166">
        <f>IF(AI_tuong!$B$10&amp;""&lt;&gt;"",AI_tuong!$B$10,IF(AI_tuong!$B$4&amp;""&lt;&gt;"",AI_tuong!$B$4,"balanced"))</f>
        <v/>
      </c>
      <c r="I166" t="inlineStr">
        <is>
          <t>balanced</t>
        </is>
      </c>
      <c r="J166">
        <f>OR($F$166,AND(AI_ho_so_anh_xa!$B$15="mode",OR(AI_ho_so_anh_xa!$C$15="Weekly",AI_ho_so_anh_xa!$C$15="Operation")))</f>
        <v/>
      </c>
      <c r="K166" t="b">
        <v>1</v>
      </c>
      <c r="L166">
        <f>IF($J$166,$H$166,"balanced")</f>
        <v/>
      </c>
      <c r="M166" t="inlineStr">
        <is>
          <t>balanced</t>
        </is>
      </c>
      <c r="N166">
        <f>IF(OR($E$166="",$G$166),"balanced",IF(OR($E$166="*",ISNUMBER(FIND(";"&amp;$L$166&amp;";",";"&amp;$E$166&amp;";"))),$L$166,IF(ISNUMBER(FIND(";"&amp;"balanced"&amp;";",";"&amp;$E$166&amp;";")),"balanced",LEFT($E$166,FIND(";",$E$166&amp;";")-1))))</f>
        <v/>
      </c>
      <c r="O166" t="inlineStr">
        <is>
          <t>balanced</t>
        </is>
      </c>
      <c r="P166">
        <f>IF(OR($E$166="",$G$166),"KHONG_CHIEN_THUAT",IF(NOT($J$166),IF($H$166="balanced","GIU","CHE_DO_BO_QUA"),IF($N$166=$H$166,"GIU","HO_SO_GHI_DE")))</f>
        <v/>
      </c>
      <c r="Q166" t="inlineStr">
        <is>
          <t>Sim/AI/ConquestAi.P28.cs TickLayered + Sim/AI/Commander.cs AllowedTactic (goal.ShootDown, thorne)</t>
        </is>
      </c>
      <c r="R166" t="inlineStr"/>
    </row>
    <row r="167">
      <c r="A167" t="inlineStr">
        <is>
          <t>goal.ShootDown/varga</t>
        </is>
      </c>
      <c r="B167" t="inlineStr">
        <is>
          <t>goal.ShootDown</t>
        </is>
      </c>
      <c r="C167" t="inlineStr">
        <is>
          <t>varga</t>
        </is>
      </c>
      <c r="D167">
        <f>AI_ho_so_anh_xa!$D$15</f>
        <v/>
      </c>
      <c r="E167">
        <f>INDEX(AI_ho_so_che_do!$B$2:$B$21,MATCH($D$167,AI_ho_so_che_do!$A$2:$A$21,0))&amp;""</f>
        <v/>
      </c>
      <c r="F167">
        <f>INDEX(AI_ho_so_che_do!$P$2:$P$21,MATCH($D$167,AI_ho_so_che_do!$A$2:$A$21,0))=TRUE</f>
        <v/>
      </c>
      <c r="G167">
        <f>ISNUMBER(FIND(";noGeneralTactic;",";"&amp;INDEX(AI_ho_so_che_do!$O$2:$O$21,MATCH($D$167,AI_ho_so_che_do!$A$2:$A$21,0))&amp;";"))</f>
        <v/>
      </c>
      <c r="H167">
        <f>IF(AI_tuong!$B$11&amp;""&lt;&gt;"",AI_tuong!$B$11,IF(AI_tuong!$B$4&amp;""&lt;&gt;"",AI_tuong!$B$4,"balanced"))</f>
        <v/>
      </c>
      <c r="I167" t="inlineStr">
        <is>
          <t>breakthrough</t>
        </is>
      </c>
      <c r="J167">
        <f>OR($F$167,AND(AI_ho_so_anh_xa!$B$15="mode",OR(AI_ho_so_anh_xa!$C$15="Weekly",AI_ho_so_anh_xa!$C$15="Operation")))</f>
        <v/>
      </c>
      <c r="K167" t="b">
        <v>1</v>
      </c>
      <c r="L167">
        <f>IF($J$167,$H$167,"balanced")</f>
        <v/>
      </c>
      <c r="M167" t="inlineStr">
        <is>
          <t>breakthrough</t>
        </is>
      </c>
      <c r="N167">
        <f>IF(OR($E$167="",$G$167),"balanced",IF(OR($E$167="*",ISNUMBER(FIND(";"&amp;$L$167&amp;";",";"&amp;$E$167&amp;";"))),$L$167,IF(ISNUMBER(FIND(";"&amp;"balanced"&amp;";",";"&amp;$E$167&amp;";")),"balanced",LEFT($E$167,FIND(";",$E$167&amp;";")-1))))</f>
        <v/>
      </c>
      <c r="O167" t="inlineStr">
        <is>
          <t>breakthrough</t>
        </is>
      </c>
      <c r="P167">
        <f>IF(OR($E$167="",$G$167),"KHONG_CHIEN_THUAT",IF(NOT($J$167),IF($H$167="balanced","GIU","CHE_DO_BO_QUA"),IF($N$167=$H$167,"GIU","HO_SO_GHI_DE")))</f>
        <v/>
      </c>
      <c r="Q167" t="inlineStr">
        <is>
          <t>Sim/AI/ConquestAi.P28.cs TickLayered + Sim/AI/Commander.cs AllowedTactic (goal.ShootDown, varga)</t>
        </is>
      </c>
      <c r="R167" t="inlineStr"/>
    </row>
    <row r="168">
      <c r="A168" t="inlineStr">
        <is>
          <t>goal.ShootDown/venn</t>
        </is>
      </c>
      <c r="B168" t="inlineStr">
        <is>
          <t>goal.ShootDown</t>
        </is>
      </c>
      <c r="C168" t="inlineStr">
        <is>
          <t>venn</t>
        </is>
      </c>
      <c r="D168">
        <f>AI_ho_so_anh_xa!$D$15</f>
        <v/>
      </c>
      <c r="E168">
        <f>INDEX(AI_ho_so_che_do!$B$2:$B$21,MATCH($D$168,AI_ho_so_che_do!$A$2:$A$21,0))&amp;""</f>
        <v/>
      </c>
      <c r="F168">
        <f>INDEX(AI_ho_so_che_do!$P$2:$P$21,MATCH($D$168,AI_ho_so_che_do!$A$2:$A$21,0))=TRUE</f>
        <v/>
      </c>
      <c r="G168">
        <f>ISNUMBER(FIND(";noGeneralTactic;",";"&amp;INDEX(AI_ho_so_che_do!$O$2:$O$21,MATCH($D$168,AI_ho_so_che_do!$A$2:$A$21,0))&amp;";"))</f>
        <v/>
      </c>
      <c r="H168">
        <f>IF(AI_tuong!$B$12&amp;""&lt;&gt;"",AI_tuong!$B$12,IF(AI_tuong!$B$4&amp;""&lt;&gt;"",AI_tuong!$B$4,"balanced"))</f>
        <v/>
      </c>
      <c r="I168" t="inlineStr">
        <is>
          <t>dispersal</t>
        </is>
      </c>
      <c r="J168">
        <f>OR($F$168,AND(AI_ho_so_anh_xa!$B$15="mode",OR(AI_ho_so_anh_xa!$C$15="Weekly",AI_ho_so_anh_xa!$C$15="Operation")))</f>
        <v/>
      </c>
      <c r="K168" t="b">
        <v>1</v>
      </c>
      <c r="L168">
        <f>IF($J$168,$H$168,"balanced")</f>
        <v/>
      </c>
      <c r="M168" t="inlineStr">
        <is>
          <t>dispersal</t>
        </is>
      </c>
      <c r="N168">
        <f>IF(OR($E$168="",$G$168),"balanced",IF(OR($E$168="*",ISNUMBER(FIND(";"&amp;$L$168&amp;";",";"&amp;$E$168&amp;";"))),$L$168,IF(ISNUMBER(FIND(";"&amp;"balanced"&amp;";",";"&amp;$E$168&amp;";")),"balanced",LEFT($E$168,FIND(";",$E$168&amp;";")-1))))</f>
        <v/>
      </c>
      <c r="O168" t="inlineStr">
        <is>
          <t>dispersal</t>
        </is>
      </c>
      <c r="P168">
        <f>IF(OR($E$168="",$G$168),"KHONG_CHIEN_THUAT",IF(NOT($J$168),IF($H$168="balanced","GIU","CHE_DO_BO_QUA"),IF($N$168=$H$168,"GIU","HO_SO_GHI_DE")))</f>
        <v/>
      </c>
      <c r="Q168" t="inlineStr">
        <is>
          <t>Sim/AI/ConquestAi.P28.cs TickLayered + Sim/AI/Commander.cs AllowedTactic (goal.ShootDown, venn)</t>
        </is>
      </c>
      <c r="R168" t="inlineStr"/>
    </row>
    <row r="169">
      <c r="A169" t="inlineStr">
        <is>
          <t>goal.ShootDown/wolff</t>
        </is>
      </c>
      <c r="B169" t="inlineStr">
        <is>
          <t>goal.ShootDown</t>
        </is>
      </c>
      <c r="C169" t="inlineStr">
        <is>
          <t>wolff</t>
        </is>
      </c>
      <c r="D169">
        <f>AI_ho_so_anh_xa!$D$15</f>
        <v/>
      </c>
      <c r="E169">
        <f>INDEX(AI_ho_so_che_do!$B$2:$B$21,MATCH($D$169,AI_ho_so_che_do!$A$2:$A$21,0))&amp;""</f>
        <v/>
      </c>
      <c r="F169">
        <f>INDEX(AI_ho_so_che_do!$P$2:$P$21,MATCH($D$169,AI_ho_so_che_do!$A$2:$A$21,0))=TRUE</f>
        <v/>
      </c>
      <c r="G169">
        <f>ISNUMBER(FIND(";noGeneralTactic;",";"&amp;INDEX(AI_ho_so_che_do!$O$2:$O$21,MATCH($D$169,AI_ho_so_che_do!$A$2:$A$21,0))&amp;";"))</f>
        <v/>
      </c>
      <c r="H169">
        <f>IF(AI_tuong!$B$13&amp;""&lt;&gt;"",AI_tuong!$B$13,IF(AI_tuong!$B$4&amp;""&lt;&gt;"",AI_tuong!$B$4,"balanced"))</f>
        <v/>
      </c>
      <c r="I169" t="inlineStr">
        <is>
          <t>air_superiority</t>
        </is>
      </c>
      <c r="J169">
        <f>OR($F$169,AND(AI_ho_so_anh_xa!$B$15="mode",OR(AI_ho_so_anh_xa!$C$15="Weekly",AI_ho_so_anh_xa!$C$15="Operation")))</f>
        <v/>
      </c>
      <c r="K169" t="b">
        <v>1</v>
      </c>
      <c r="L169">
        <f>IF($J$169,$H$169,"balanced")</f>
        <v/>
      </c>
      <c r="M169" t="inlineStr">
        <is>
          <t>air_superiority</t>
        </is>
      </c>
      <c r="N169">
        <f>IF(OR($E$169="",$G$169),"balanced",IF(OR($E$169="*",ISNUMBER(FIND(";"&amp;$L$169&amp;";",";"&amp;$E$169&amp;";"))),$L$169,IF(ISNUMBER(FIND(";"&amp;"balanced"&amp;";",";"&amp;$E$169&amp;";")),"balanced",LEFT($E$169,FIND(";",$E$169&amp;";")-1))))</f>
        <v/>
      </c>
      <c r="O169" t="inlineStr">
        <is>
          <t>air_superiority</t>
        </is>
      </c>
      <c r="P169">
        <f>IF(OR($E$169="",$G$169),"KHONG_CHIEN_THUAT",IF(NOT($J$169),IF($H$169="balanced","GIU","CHE_DO_BO_QUA"),IF($N$169=$H$169,"GIU","HO_SO_GHI_DE")))</f>
        <v/>
      </c>
      <c r="Q169" t="inlineStr">
        <is>
          <t>Sim/AI/ConquestAi.P28.cs TickLayered + Sim/AI/Commander.cs AllowedTactic (goal.ShootDown, wolff)</t>
        </is>
      </c>
      <c r="R169" t="inlineStr"/>
    </row>
    <row r="170">
      <c r="A170" t="inlineStr">
        <is>
          <t>goal.Survive/aurel</t>
        </is>
      </c>
      <c r="B170" t="inlineStr">
        <is>
          <t>goal.Survive</t>
        </is>
      </c>
      <c r="C170" t="inlineStr">
        <is>
          <t>aurel</t>
        </is>
      </c>
      <c r="D170">
        <f>AI_ho_so_anh_xa!$D$16</f>
        <v/>
      </c>
      <c r="E170">
        <f>INDEX(AI_ho_so_che_do!$B$2:$B$21,MATCH($D$170,AI_ho_so_che_do!$A$2:$A$21,0))&amp;""</f>
        <v/>
      </c>
      <c r="F170">
        <f>INDEX(AI_ho_so_che_do!$P$2:$P$21,MATCH($D$170,AI_ho_so_che_do!$A$2:$A$21,0))=TRUE</f>
        <v/>
      </c>
      <c r="G170">
        <f>ISNUMBER(FIND(";noGeneralTactic;",";"&amp;INDEX(AI_ho_so_che_do!$O$2:$O$21,MATCH($D$170,AI_ho_so_che_do!$A$2:$A$21,0))&amp;";"))</f>
        <v/>
      </c>
      <c r="H170">
        <f>IF(AI_tuong!$B$2&amp;""&lt;&gt;"",AI_tuong!$B$2,IF(AI_tuong!$B$4&amp;""&lt;&gt;"",AI_tuong!$B$4,"balanced"))</f>
        <v/>
      </c>
      <c r="I170" t="inlineStr">
        <is>
          <t>all_out</t>
        </is>
      </c>
      <c r="J170">
        <f>OR($F$170,AND(AI_ho_so_anh_xa!$B$16="mode",OR(AI_ho_so_anh_xa!$C$16="Weekly",AI_ho_so_anh_xa!$C$16="Operation")))</f>
        <v/>
      </c>
      <c r="K170" t="b">
        <v>1</v>
      </c>
      <c r="L170">
        <f>IF($J$170,$H$170,"balanced")</f>
        <v/>
      </c>
      <c r="M170" t="inlineStr">
        <is>
          <t>all_out</t>
        </is>
      </c>
      <c r="N170">
        <f>IF(OR($E$170="",$G$170),"balanced",IF(OR($E$170="*",ISNUMBER(FIND(";"&amp;$L$170&amp;";",";"&amp;$E$170&amp;";"))),$L$170,IF(ISNUMBER(FIND(";"&amp;"balanced"&amp;";",";"&amp;$E$170&amp;";")),"balanced",LEFT($E$170,FIND(";",$E$170&amp;";")-1))))</f>
        <v/>
      </c>
      <c r="O170" t="inlineStr">
        <is>
          <t>all_out</t>
        </is>
      </c>
      <c r="P170">
        <f>IF(OR($E$170="",$G$170),"KHONG_CHIEN_THUAT",IF(NOT($J$170),IF($H$170="balanced","GIU","CHE_DO_BO_QUA"),IF($N$170=$H$170,"GIU","HO_SO_GHI_DE")))</f>
        <v/>
      </c>
      <c r="Q170" t="inlineStr">
        <is>
          <t>Sim/AI/ConquestAi.P28.cs TickLayered + Sim/AI/Commander.cs AllowedTactic (goal.Survive, aurel)</t>
        </is>
      </c>
      <c r="R170" t="inlineStr"/>
    </row>
    <row r="171">
      <c r="A171" t="inlineStr">
        <is>
          <t>goal.Survive/brandt</t>
        </is>
      </c>
      <c r="B171" t="inlineStr">
        <is>
          <t>goal.Survive</t>
        </is>
      </c>
      <c r="C171" t="inlineStr">
        <is>
          <t>brandt</t>
        </is>
      </c>
      <c r="D171">
        <f>AI_ho_so_anh_xa!$D$16</f>
        <v/>
      </c>
      <c r="E171">
        <f>INDEX(AI_ho_so_che_do!$B$2:$B$21,MATCH($D$171,AI_ho_so_che_do!$A$2:$A$21,0))&amp;""</f>
        <v/>
      </c>
      <c r="F171">
        <f>INDEX(AI_ho_so_che_do!$P$2:$P$21,MATCH($D$171,AI_ho_so_che_do!$A$2:$A$21,0))=TRUE</f>
        <v/>
      </c>
      <c r="G171">
        <f>ISNUMBER(FIND(";noGeneralTactic;",";"&amp;INDEX(AI_ho_so_che_do!$O$2:$O$21,MATCH($D$171,AI_ho_so_che_do!$A$2:$A$21,0))&amp;";"))</f>
        <v/>
      </c>
      <c r="H171">
        <f>IF(AI_tuong!$B$3&amp;""&lt;&gt;"",AI_tuong!$B$3,IF(AI_tuong!$B$4&amp;""&lt;&gt;"",AI_tuong!$B$4,"balanced"))</f>
        <v/>
      </c>
      <c r="I171" t="inlineStr">
        <is>
          <t>depth</t>
        </is>
      </c>
      <c r="J171">
        <f>OR($F$171,AND(AI_ho_so_anh_xa!$B$16="mode",OR(AI_ho_so_anh_xa!$C$16="Weekly",AI_ho_so_anh_xa!$C$16="Operation")))</f>
        <v/>
      </c>
      <c r="K171" t="b">
        <v>1</v>
      </c>
      <c r="L171">
        <f>IF($J$171,$H$171,"balanced")</f>
        <v/>
      </c>
      <c r="M171" t="inlineStr">
        <is>
          <t>depth</t>
        </is>
      </c>
      <c r="N171">
        <f>IF(OR($E$171="",$G$171),"balanced",IF(OR($E$171="*",ISNUMBER(FIND(";"&amp;$L$171&amp;";",";"&amp;$E$171&amp;";"))),$L$171,IF(ISNUMBER(FIND(";"&amp;"balanced"&amp;";",";"&amp;$E$171&amp;";")),"balanced",LEFT($E$171,FIND(";",$E$171&amp;";")-1))))</f>
        <v/>
      </c>
      <c r="O171" t="inlineStr">
        <is>
          <t>depth</t>
        </is>
      </c>
      <c r="P171">
        <f>IF(OR($E$171="",$G$171),"KHONG_CHIEN_THUAT",IF(NOT($J$171),IF($H$171="balanced","GIU","CHE_DO_BO_QUA"),IF($N$171=$H$171,"GIU","HO_SO_GHI_DE")))</f>
        <v/>
      </c>
      <c r="Q171" t="inlineStr">
        <is>
          <t>Sim/AI/ConquestAi.P28.cs TickLayered + Sim/AI/Commander.cs AllowedTactic (goal.Survive, brandt)</t>
        </is>
      </c>
      <c r="R171" t="inlineStr"/>
    </row>
    <row r="172">
      <c r="A172" t="inlineStr">
        <is>
          <t>goal.Survive/default</t>
        </is>
      </c>
      <c r="B172" t="inlineStr">
        <is>
          <t>goal.Survive</t>
        </is>
      </c>
      <c r="C172" t="inlineStr">
        <is>
          <t>default</t>
        </is>
      </c>
      <c r="D172">
        <f>AI_ho_so_anh_xa!$D$16</f>
        <v/>
      </c>
      <c r="E172">
        <f>INDEX(AI_ho_so_che_do!$B$2:$B$21,MATCH($D$172,AI_ho_so_che_do!$A$2:$A$21,0))&amp;""</f>
        <v/>
      </c>
      <c r="F172">
        <f>INDEX(AI_ho_so_che_do!$P$2:$P$21,MATCH($D$172,AI_ho_so_che_do!$A$2:$A$21,0))=TRUE</f>
        <v/>
      </c>
      <c r="G172">
        <f>ISNUMBER(FIND(";noGeneralTactic;",";"&amp;INDEX(AI_ho_so_che_do!$O$2:$O$21,MATCH($D$172,AI_ho_so_che_do!$A$2:$A$21,0))&amp;";"))</f>
        <v/>
      </c>
      <c r="H172">
        <f>IF(AI_tuong!$B$4&amp;""&lt;&gt;"",AI_tuong!$B$4,IF(AI_tuong!$B$4&amp;""&lt;&gt;"",AI_tuong!$B$4,"balanced"))</f>
        <v/>
      </c>
      <c r="I172" t="inlineStr">
        <is>
          <t>balanced</t>
        </is>
      </c>
      <c r="J172">
        <f>OR($F$172,AND(AI_ho_so_anh_xa!$B$16="mode",OR(AI_ho_so_anh_xa!$C$16="Weekly",AI_ho_so_anh_xa!$C$16="Operation")))</f>
        <v/>
      </c>
      <c r="K172" t="b">
        <v>1</v>
      </c>
      <c r="L172">
        <f>IF($J$172,$H$172,"balanced")</f>
        <v/>
      </c>
      <c r="M172" t="inlineStr">
        <is>
          <t>balanced</t>
        </is>
      </c>
      <c r="N172">
        <f>IF(OR($E$172="",$G$172),"balanced",IF(OR($E$172="*",ISNUMBER(FIND(";"&amp;$L$172&amp;";",";"&amp;$E$172&amp;";"))),$L$172,IF(ISNUMBER(FIND(";"&amp;"balanced"&amp;";",";"&amp;$E$172&amp;";")),"balanced",LEFT($E$172,FIND(";",$E$172&amp;";")-1))))</f>
        <v/>
      </c>
      <c r="O172" t="inlineStr">
        <is>
          <t>balanced</t>
        </is>
      </c>
      <c r="P172">
        <f>IF(OR($E$172="",$G$172),"KHONG_CHIEN_THUAT",IF(NOT($J$172),IF($H$172="balanced","GIU","CHE_DO_BO_QUA"),IF($N$172=$H$172,"GIU","HO_SO_GHI_DE")))</f>
        <v/>
      </c>
      <c r="Q172" t="inlineStr">
        <is>
          <t>Sim/AI/ConquestAi.P28.cs TickLayered + Sim/AI/Commander.cs AllowedTactic (goal.Survive, default)</t>
        </is>
      </c>
      <c r="R172" t="inlineStr"/>
    </row>
    <row r="173">
      <c r="A173" t="inlineStr">
        <is>
          <t>goal.Survive/hung</t>
        </is>
      </c>
      <c r="B173" t="inlineStr">
        <is>
          <t>goal.Survive</t>
        </is>
      </c>
      <c r="C173" t="inlineStr">
        <is>
          <t>hung</t>
        </is>
      </c>
      <c r="D173">
        <f>AI_ho_so_anh_xa!$D$16</f>
        <v/>
      </c>
      <c r="E173">
        <f>INDEX(AI_ho_so_che_do!$B$2:$B$21,MATCH($D$173,AI_ho_so_che_do!$A$2:$A$21,0))&amp;""</f>
        <v/>
      </c>
      <c r="F173">
        <f>INDEX(AI_ho_so_che_do!$P$2:$P$21,MATCH($D$173,AI_ho_so_che_do!$A$2:$A$21,0))=TRUE</f>
        <v/>
      </c>
      <c r="G173">
        <f>ISNUMBER(FIND(";noGeneralTactic;",";"&amp;INDEX(AI_ho_so_che_do!$O$2:$O$21,MATCH($D$173,AI_ho_so_che_do!$A$2:$A$21,0))&amp;";"))</f>
        <v/>
      </c>
      <c r="H173">
        <f>IF(AI_tuong!$B$5&amp;""&lt;&gt;"",AI_tuong!$B$5,IF(AI_tuong!$B$4&amp;""&lt;&gt;"",AI_tuong!$B$4,"balanced"))</f>
        <v/>
      </c>
      <c r="I173" t="inlineStr">
        <is>
          <t>balanced</t>
        </is>
      </c>
      <c r="J173">
        <f>OR($F$173,AND(AI_ho_so_anh_xa!$B$16="mode",OR(AI_ho_so_anh_xa!$C$16="Weekly",AI_ho_so_anh_xa!$C$16="Operation")))</f>
        <v/>
      </c>
      <c r="K173" t="b">
        <v>1</v>
      </c>
      <c r="L173">
        <f>IF($J$173,$H$173,"balanced")</f>
        <v/>
      </c>
      <c r="M173" t="inlineStr">
        <is>
          <t>balanced</t>
        </is>
      </c>
      <c r="N173">
        <f>IF(OR($E$173="",$G$173),"balanced",IF(OR($E$173="*",ISNUMBER(FIND(";"&amp;$L$173&amp;";",";"&amp;$E$173&amp;";"))),$L$173,IF(ISNUMBER(FIND(";"&amp;"balanced"&amp;";",";"&amp;$E$173&amp;";")),"balanced",LEFT($E$173,FIND(";",$E$173&amp;";")-1))))</f>
        <v/>
      </c>
      <c r="O173" t="inlineStr">
        <is>
          <t>balanced</t>
        </is>
      </c>
      <c r="P173">
        <f>IF(OR($E$173="",$G$173),"KHONG_CHIEN_THUAT",IF(NOT($J$173),IF($H$173="balanced","GIU","CHE_DO_BO_QUA"),IF($N$173=$H$173,"GIU","HO_SO_GHI_DE")))</f>
        <v/>
      </c>
      <c r="Q173" t="inlineStr">
        <is>
          <t>Sim/AI/ConquestAi.P28.cs TickLayered + Sim/AI/Commander.cs AllowedTactic (goal.Survive, hung)</t>
        </is>
      </c>
      <c r="R173" t="inlineStr"/>
    </row>
    <row r="174">
      <c r="A174" t="inlineStr">
        <is>
          <t>goal.Survive/kessler</t>
        </is>
      </c>
      <c r="B174" t="inlineStr">
        <is>
          <t>goal.Survive</t>
        </is>
      </c>
      <c r="C174" t="inlineStr">
        <is>
          <t>kessler</t>
        </is>
      </c>
      <c r="D174">
        <f>AI_ho_so_anh_xa!$D$16</f>
        <v/>
      </c>
      <c r="E174">
        <f>INDEX(AI_ho_so_che_do!$B$2:$B$21,MATCH($D$174,AI_ho_so_che_do!$A$2:$A$21,0))&amp;""</f>
        <v/>
      </c>
      <c r="F174">
        <f>INDEX(AI_ho_so_che_do!$P$2:$P$21,MATCH($D$174,AI_ho_so_che_do!$A$2:$A$21,0))=TRUE</f>
        <v/>
      </c>
      <c r="G174">
        <f>ISNUMBER(FIND(";noGeneralTactic;",";"&amp;INDEX(AI_ho_so_che_do!$O$2:$O$21,MATCH($D$174,AI_ho_so_che_do!$A$2:$A$21,0))&amp;";"))</f>
        <v/>
      </c>
      <c r="H174">
        <f>IF(AI_tuong!$B$6&amp;""&lt;&gt;"",AI_tuong!$B$6,IF(AI_tuong!$B$4&amp;""&lt;&gt;"",AI_tuong!$B$4,"balanced"))</f>
        <v/>
      </c>
      <c r="I174" t="inlineStr">
        <is>
          <t>attrition</t>
        </is>
      </c>
      <c r="J174">
        <f>OR($F$174,AND(AI_ho_so_anh_xa!$B$16="mode",OR(AI_ho_so_anh_xa!$C$16="Weekly",AI_ho_so_anh_xa!$C$16="Operation")))</f>
        <v/>
      </c>
      <c r="K174" t="b">
        <v>1</v>
      </c>
      <c r="L174">
        <f>IF($J$174,$H$174,"balanced")</f>
        <v/>
      </c>
      <c r="M174" t="inlineStr">
        <is>
          <t>attrition</t>
        </is>
      </c>
      <c r="N174">
        <f>IF(OR($E$174="",$G$174),"balanced",IF(OR($E$174="*",ISNUMBER(FIND(";"&amp;$L$174&amp;";",";"&amp;$E$174&amp;";"))),$L$174,IF(ISNUMBER(FIND(";"&amp;"balanced"&amp;";",";"&amp;$E$174&amp;";")),"balanced",LEFT($E$174,FIND(";",$E$174&amp;";")-1))))</f>
        <v/>
      </c>
      <c r="O174" t="inlineStr">
        <is>
          <t>attrition</t>
        </is>
      </c>
      <c r="P174">
        <f>IF(OR($E$174="",$G$174),"KHONG_CHIEN_THUAT",IF(NOT($J$174),IF($H$174="balanced","GIU","CHE_DO_BO_QUA"),IF($N$174=$H$174,"GIU","HO_SO_GHI_DE")))</f>
        <v/>
      </c>
      <c r="Q174" t="inlineStr">
        <is>
          <t>Sim/AI/ConquestAi.P28.cs TickLayered + Sim/AI/Commander.cs AllowedTactic (goal.Survive, kessler)</t>
        </is>
      </c>
      <c r="R174" t="inlineStr"/>
    </row>
    <row r="175">
      <c r="A175" t="inlineStr">
        <is>
          <t>goal.Survive/orlov</t>
        </is>
      </c>
      <c r="B175" t="inlineStr">
        <is>
          <t>goal.Survive</t>
        </is>
      </c>
      <c r="C175" t="inlineStr">
        <is>
          <t>orlov</t>
        </is>
      </c>
      <c r="D175">
        <f>AI_ho_so_anh_xa!$D$16</f>
        <v/>
      </c>
      <c r="E175">
        <f>INDEX(AI_ho_so_che_do!$B$2:$B$21,MATCH($D$175,AI_ho_so_che_do!$A$2:$A$21,0))&amp;""</f>
        <v/>
      </c>
      <c r="F175">
        <f>INDEX(AI_ho_so_che_do!$P$2:$P$21,MATCH($D$175,AI_ho_so_che_do!$A$2:$A$21,0))=TRUE</f>
        <v/>
      </c>
      <c r="G175">
        <f>ISNUMBER(FIND(";noGeneralTactic;",";"&amp;INDEX(AI_ho_so_che_do!$O$2:$O$21,MATCH($D$175,AI_ho_so_che_do!$A$2:$A$21,0))&amp;";"))</f>
        <v/>
      </c>
      <c r="H175">
        <f>IF(AI_tuong!$B$7&amp;""&lt;&gt;"",AI_tuong!$B$7,IF(AI_tuong!$B$4&amp;""&lt;&gt;"",AI_tuong!$B$4,"balanced"))</f>
        <v/>
      </c>
      <c r="I175" t="inlineStr">
        <is>
          <t>firepower</t>
        </is>
      </c>
      <c r="J175">
        <f>OR($F$175,AND(AI_ho_so_anh_xa!$B$16="mode",OR(AI_ho_so_anh_xa!$C$16="Weekly",AI_ho_so_anh_xa!$C$16="Operation")))</f>
        <v/>
      </c>
      <c r="K175" t="b">
        <v>1</v>
      </c>
      <c r="L175">
        <f>IF($J$175,$H$175,"balanced")</f>
        <v/>
      </c>
      <c r="M175" t="inlineStr">
        <is>
          <t>firepower</t>
        </is>
      </c>
      <c r="N175">
        <f>IF(OR($E$175="",$G$175),"balanced",IF(OR($E$175="*",ISNUMBER(FIND(";"&amp;$L$175&amp;";",";"&amp;$E$175&amp;";"))),$L$175,IF(ISNUMBER(FIND(";"&amp;"balanced"&amp;";",";"&amp;$E$175&amp;";")),"balanced",LEFT($E$175,FIND(";",$E$175&amp;";")-1))))</f>
        <v/>
      </c>
      <c r="O175" t="inlineStr">
        <is>
          <t>firepower</t>
        </is>
      </c>
      <c r="P175">
        <f>IF(OR($E$175="",$G$175),"KHONG_CHIEN_THUAT",IF(NOT($J$175),IF($H$175="balanced","GIU","CHE_DO_BO_QUA"),IF($N$175=$H$175,"GIU","HO_SO_GHI_DE")))</f>
        <v/>
      </c>
      <c r="Q175" t="inlineStr">
        <is>
          <t>Sim/AI/ConquestAi.P28.cs TickLayered + Sim/AI/Commander.cs AllowedTactic (goal.Survive, orlov)</t>
        </is>
      </c>
      <c r="R175" t="inlineStr"/>
    </row>
    <row r="176">
      <c r="A176" t="inlineStr">
        <is>
          <t>goal.Survive/quaden</t>
        </is>
      </c>
      <c r="B176" t="inlineStr">
        <is>
          <t>goal.Survive</t>
        </is>
      </c>
      <c r="C176" t="inlineStr">
        <is>
          <t>quaden</t>
        </is>
      </c>
      <c r="D176">
        <f>AI_ho_so_anh_xa!$D$16</f>
        <v/>
      </c>
      <c r="E176">
        <f>INDEX(AI_ho_so_che_do!$B$2:$B$21,MATCH($D$176,AI_ho_so_che_do!$A$2:$A$21,0))&amp;""</f>
        <v/>
      </c>
      <c r="F176">
        <f>INDEX(AI_ho_so_che_do!$P$2:$P$21,MATCH($D$176,AI_ho_so_che_do!$A$2:$A$21,0))=TRUE</f>
        <v/>
      </c>
      <c r="G176">
        <f>ISNUMBER(FIND(";noGeneralTactic;",";"&amp;INDEX(AI_ho_so_che_do!$O$2:$O$21,MATCH($D$176,AI_ho_so_che_do!$A$2:$A$21,0))&amp;";"))</f>
        <v/>
      </c>
      <c r="H176">
        <f>IF(AI_tuong!$B$8&amp;""&lt;&gt;"",AI_tuong!$B$8,IF(AI_tuong!$B$4&amp;""&lt;&gt;"",AI_tuong!$B$4,"balanced"))</f>
        <v/>
      </c>
      <c r="I176" t="inlineStr">
        <is>
          <t>balanced</t>
        </is>
      </c>
      <c r="J176">
        <f>OR($F$176,AND(AI_ho_so_anh_xa!$B$16="mode",OR(AI_ho_so_anh_xa!$C$16="Weekly",AI_ho_so_anh_xa!$C$16="Operation")))</f>
        <v/>
      </c>
      <c r="K176" t="b">
        <v>1</v>
      </c>
      <c r="L176">
        <f>IF($J$176,$H$176,"balanced")</f>
        <v/>
      </c>
      <c r="M176" t="inlineStr">
        <is>
          <t>balanced</t>
        </is>
      </c>
      <c r="N176">
        <f>IF(OR($E$176="",$G$176),"balanced",IF(OR($E$176="*",ISNUMBER(FIND(";"&amp;$L$176&amp;";",";"&amp;$E$176&amp;";"))),$L$176,IF(ISNUMBER(FIND(";"&amp;"balanced"&amp;";",";"&amp;$E$176&amp;";")),"balanced",LEFT($E$176,FIND(";",$E$176&amp;";")-1))))</f>
        <v/>
      </c>
      <c r="O176" t="inlineStr">
        <is>
          <t>balanced</t>
        </is>
      </c>
      <c r="P176">
        <f>IF(OR($E$176="",$G$176),"KHONG_CHIEN_THUAT",IF(NOT($J$176),IF($H$176="balanced","GIU","CHE_DO_BO_QUA"),IF($N$176=$H$176,"GIU","HO_SO_GHI_DE")))</f>
        <v/>
      </c>
      <c r="Q176" t="inlineStr">
        <is>
          <t>Sim/AI/ConquestAi.P28.cs TickLayered + Sim/AI/Commander.cs AllowedTactic (goal.Survive, quaden)</t>
        </is>
      </c>
      <c r="R176" t="inlineStr"/>
    </row>
    <row r="177">
      <c r="A177" t="inlineStr">
        <is>
          <t>goal.Survive/sen</t>
        </is>
      </c>
      <c r="B177" t="inlineStr">
        <is>
          <t>goal.Survive</t>
        </is>
      </c>
      <c r="C177" t="inlineStr">
        <is>
          <t>sen</t>
        </is>
      </c>
      <c r="D177">
        <f>AI_ho_so_anh_xa!$D$16</f>
        <v/>
      </c>
      <c r="E177">
        <f>INDEX(AI_ho_so_che_do!$B$2:$B$21,MATCH($D$177,AI_ho_so_che_do!$A$2:$A$21,0))&amp;""</f>
        <v/>
      </c>
      <c r="F177">
        <f>INDEX(AI_ho_so_che_do!$P$2:$P$21,MATCH($D$177,AI_ho_so_che_do!$A$2:$A$21,0))=TRUE</f>
        <v/>
      </c>
      <c r="G177">
        <f>ISNUMBER(FIND(";noGeneralTactic;",";"&amp;INDEX(AI_ho_so_che_do!$O$2:$O$21,MATCH($D$177,AI_ho_so_che_do!$A$2:$A$21,0))&amp;";"))</f>
        <v/>
      </c>
      <c r="H177">
        <f>IF(AI_tuong!$B$9&amp;""&lt;&gt;"",AI_tuong!$B$9,IF(AI_tuong!$B$4&amp;""&lt;&gt;"",AI_tuong!$B$4,"balanced"))</f>
        <v/>
      </c>
      <c r="I177" t="inlineStr">
        <is>
          <t>balanced</t>
        </is>
      </c>
      <c r="J177">
        <f>OR($F$177,AND(AI_ho_so_anh_xa!$B$16="mode",OR(AI_ho_so_anh_xa!$C$16="Weekly",AI_ho_so_anh_xa!$C$16="Operation")))</f>
        <v/>
      </c>
      <c r="K177" t="b">
        <v>1</v>
      </c>
      <c r="L177">
        <f>IF($J$177,$H$177,"balanced")</f>
        <v/>
      </c>
      <c r="M177" t="inlineStr">
        <is>
          <t>balanced</t>
        </is>
      </c>
      <c r="N177">
        <f>IF(OR($E$177="",$G$177),"balanced",IF(OR($E$177="*",ISNUMBER(FIND(";"&amp;$L$177&amp;";",";"&amp;$E$177&amp;";"))),$L$177,IF(ISNUMBER(FIND(";"&amp;"balanced"&amp;";",";"&amp;$E$177&amp;";")),"balanced",LEFT($E$177,FIND(";",$E$177&amp;";")-1))))</f>
        <v/>
      </c>
      <c r="O177" t="inlineStr">
        <is>
          <t>balanced</t>
        </is>
      </c>
      <c r="P177">
        <f>IF(OR($E$177="",$G$177),"KHONG_CHIEN_THUAT",IF(NOT($J$177),IF($H$177="balanced","GIU","CHE_DO_BO_QUA"),IF($N$177=$H$177,"GIU","HO_SO_GHI_DE")))</f>
        <v/>
      </c>
      <c r="Q177" t="inlineStr">
        <is>
          <t>Sim/AI/ConquestAi.P28.cs TickLayered + Sim/AI/Commander.cs AllowedTactic (goal.Survive, sen)</t>
        </is>
      </c>
      <c r="R177" t="inlineStr"/>
    </row>
    <row r="178">
      <c r="A178" t="inlineStr">
        <is>
          <t>goal.Survive/thorne</t>
        </is>
      </c>
      <c r="B178" t="inlineStr">
        <is>
          <t>goal.Survive</t>
        </is>
      </c>
      <c r="C178" t="inlineStr">
        <is>
          <t>thorne</t>
        </is>
      </c>
      <c r="D178">
        <f>AI_ho_so_anh_xa!$D$16</f>
        <v/>
      </c>
      <c r="E178">
        <f>INDEX(AI_ho_so_che_do!$B$2:$B$21,MATCH($D$178,AI_ho_so_che_do!$A$2:$A$21,0))&amp;""</f>
        <v/>
      </c>
      <c r="F178">
        <f>INDEX(AI_ho_so_che_do!$P$2:$P$21,MATCH($D$178,AI_ho_so_che_do!$A$2:$A$21,0))=TRUE</f>
        <v/>
      </c>
      <c r="G178">
        <f>ISNUMBER(FIND(";noGeneralTactic;",";"&amp;INDEX(AI_ho_so_che_do!$O$2:$O$21,MATCH($D$178,AI_ho_so_che_do!$A$2:$A$21,0))&amp;";"))</f>
        <v/>
      </c>
      <c r="H178">
        <f>IF(AI_tuong!$B$10&amp;""&lt;&gt;"",AI_tuong!$B$10,IF(AI_tuong!$B$4&amp;""&lt;&gt;"",AI_tuong!$B$4,"balanced"))</f>
        <v/>
      </c>
      <c r="I178" t="inlineStr">
        <is>
          <t>balanced</t>
        </is>
      </c>
      <c r="J178">
        <f>OR($F$178,AND(AI_ho_so_anh_xa!$B$16="mode",OR(AI_ho_so_anh_xa!$C$16="Weekly",AI_ho_so_anh_xa!$C$16="Operation")))</f>
        <v/>
      </c>
      <c r="K178" t="b">
        <v>1</v>
      </c>
      <c r="L178">
        <f>IF($J$178,$H$178,"balanced")</f>
        <v/>
      </c>
      <c r="M178" t="inlineStr">
        <is>
          <t>balanced</t>
        </is>
      </c>
      <c r="N178">
        <f>IF(OR($E$178="",$G$178),"balanced",IF(OR($E$178="*",ISNUMBER(FIND(";"&amp;$L$178&amp;";",";"&amp;$E$178&amp;";"))),$L$178,IF(ISNUMBER(FIND(";"&amp;"balanced"&amp;";",";"&amp;$E$178&amp;";")),"balanced",LEFT($E$178,FIND(";",$E$178&amp;";")-1))))</f>
        <v/>
      </c>
      <c r="O178" t="inlineStr">
        <is>
          <t>balanced</t>
        </is>
      </c>
      <c r="P178">
        <f>IF(OR($E$178="",$G$178),"KHONG_CHIEN_THUAT",IF(NOT($J$178),IF($H$178="balanced","GIU","CHE_DO_BO_QUA"),IF($N$178=$H$178,"GIU","HO_SO_GHI_DE")))</f>
        <v/>
      </c>
      <c r="Q178" t="inlineStr">
        <is>
          <t>Sim/AI/ConquestAi.P28.cs TickLayered + Sim/AI/Commander.cs AllowedTactic (goal.Survive, thorne)</t>
        </is>
      </c>
      <c r="R178" t="inlineStr"/>
    </row>
    <row r="179">
      <c r="A179" t="inlineStr">
        <is>
          <t>goal.Survive/varga</t>
        </is>
      </c>
      <c r="B179" t="inlineStr">
        <is>
          <t>goal.Survive</t>
        </is>
      </c>
      <c r="C179" t="inlineStr">
        <is>
          <t>varga</t>
        </is>
      </c>
      <c r="D179">
        <f>AI_ho_so_anh_xa!$D$16</f>
        <v/>
      </c>
      <c r="E179">
        <f>INDEX(AI_ho_so_che_do!$B$2:$B$21,MATCH($D$179,AI_ho_so_che_do!$A$2:$A$21,0))&amp;""</f>
        <v/>
      </c>
      <c r="F179">
        <f>INDEX(AI_ho_so_che_do!$P$2:$P$21,MATCH($D$179,AI_ho_so_che_do!$A$2:$A$21,0))=TRUE</f>
        <v/>
      </c>
      <c r="G179">
        <f>ISNUMBER(FIND(";noGeneralTactic;",";"&amp;INDEX(AI_ho_so_che_do!$O$2:$O$21,MATCH($D$179,AI_ho_so_che_do!$A$2:$A$21,0))&amp;";"))</f>
        <v/>
      </c>
      <c r="H179">
        <f>IF(AI_tuong!$B$11&amp;""&lt;&gt;"",AI_tuong!$B$11,IF(AI_tuong!$B$4&amp;""&lt;&gt;"",AI_tuong!$B$4,"balanced"))</f>
        <v/>
      </c>
      <c r="I179" t="inlineStr">
        <is>
          <t>breakthrough</t>
        </is>
      </c>
      <c r="J179">
        <f>OR($F$179,AND(AI_ho_so_anh_xa!$B$16="mode",OR(AI_ho_so_anh_xa!$C$16="Weekly",AI_ho_so_anh_xa!$C$16="Operation")))</f>
        <v/>
      </c>
      <c r="K179" t="b">
        <v>1</v>
      </c>
      <c r="L179">
        <f>IF($J$179,$H$179,"balanced")</f>
        <v/>
      </c>
      <c r="M179" t="inlineStr">
        <is>
          <t>breakthrough</t>
        </is>
      </c>
      <c r="N179">
        <f>IF(OR($E$179="",$G$179),"balanced",IF(OR($E$179="*",ISNUMBER(FIND(";"&amp;$L$179&amp;";",";"&amp;$E$179&amp;";"))),$L$179,IF(ISNUMBER(FIND(";"&amp;"balanced"&amp;";",";"&amp;$E$179&amp;";")),"balanced",LEFT($E$179,FIND(";",$E$179&amp;";")-1))))</f>
        <v/>
      </c>
      <c r="O179" t="inlineStr">
        <is>
          <t>breakthrough</t>
        </is>
      </c>
      <c r="P179">
        <f>IF(OR($E$179="",$G$179),"KHONG_CHIEN_THUAT",IF(NOT($J$179),IF($H$179="balanced","GIU","CHE_DO_BO_QUA"),IF($N$179=$H$179,"GIU","HO_SO_GHI_DE")))</f>
        <v/>
      </c>
      <c r="Q179" t="inlineStr">
        <is>
          <t>Sim/AI/ConquestAi.P28.cs TickLayered + Sim/AI/Commander.cs AllowedTactic (goal.Survive, varga)</t>
        </is>
      </c>
      <c r="R179" t="inlineStr"/>
    </row>
    <row r="180">
      <c r="A180" t="inlineStr">
        <is>
          <t>goal.Survive/venn</t>
        </is>
      </c>
      <c r="B180" t="inlineStr">
        <is>
          <t>goal.Survive</t>
        </is>
      </c>
      <c r="C180" t="inlineStr">
        <is>
          <t>venn</t>
        </is>
      </c>
      <c r="D180">
        <f>AI_ho_so_anh_xa!$D$16</f>
        <v/>
      </c>
      <c r="E180">
        <f>INDEX(AI_ho_so_che_do!$B$2:$B$21,MATCH($D$180,AI_ho_so_che_do!$A$2:$A$21,0))&amp;""</f>
        <v/>
      </c>
      <c r="F180">
        <f>INDEX(AI_ho_so_che_do!$P$2:$P$21,MATCH($D$180,AI_ho_so_che_do!$A$2:$A$21,0))=TRUE</f>
        <v/>
      </c>
      <c r="G180">
        <f>ISNUMBER(FIND(";noGeneralTactic;",";"&amp;INDEX(AI_ho_so_che_do!$O$2:$O$21,MATCH($D$180,AI_ho_so_che_do!$A$2:$A$21,0))&amp;";"))</f>
        <v/>
      </c>
      <c r="H180">
        <f>IF(AI_tuong!$B$12&amp;""&lt;&gt;"",AI_tuong!$B$12,IF(AI_tuong!$B$4&amp;""&lt;&gt;"",AI_tuong!$B$4,"balanced"))</f>
        <v/>
      </c>
      <c r="I180" t="inlineStr">
        <is>
          <t>dispersal</t>
        </is>
      </c>
      <c r="J180">
        <f>OR($F$180,AND(AI_ho_so_anh_xa!$B$16="mode",OR(AI_ho_so_anh_xa!$C$16="Weekly",AI_ho_so_anh_xa!$C$16="Operation")))</f>
        <v/>
      </c>
      <c r="K180" t="b">
        <v>1</v>
      </c>
      <c r="L180">
        <f>IF($J$180,$H$180,"balanced")</f>
        <v/>
      </c>
      <c r="M180" t="inlineStr">
        <is>
          <t>dispersal</t>
        </is>
      </c>
      <c r="N180">
        <f>IF(OR($E$180="",$G$180),"balanced",IF(OR($E$180="*",ISNUMBER(FIND(";"&amp;$L$180&amp;";",";"&amp;$E$180&amp;";"))),$L$180,IF(ISNUMBER(FIND(";"&amp;"balanced"&amp;";",";"&amp;$E$180&amp;";")),"balanced",LEFT($E$180,FIND(";",$E$180&amp;";")-1))))</f>
        <v/>
      </c>
      <c r="O180" t="inlineStr">
        <is>
          <t>dispersal</t>
        </is>
      </c>
      <c r="P180">
        <f>IF(OR($E$180="",$G$180),"KHONG_CHIEN_THUAT",IF(NOT($J$180),IF($H$180="balanced","GIU","CHE_DO_BO_QUA"),IF($N$180=$H$180,"GIU","HO_SO_GHI_DE")))</f>
        <v/>
      </c>
      <c r="Q180" t="inlineStr">
        <is>
          <t>Sim/AI/ConquestAi.P28.cs TickLayered + Sim/AI/Commander.cs AllowedTactic (goal.Survive, venn)</t>
        </is>
      </c>
      <c r="R180" t="inlineStr"/>
    </row>
    <row r="181">
      <c r="A181" t="inlineStr">
        <is>
          <t>goal.Survive/wolff</t>
        </is>
      </c>
      <c r="B181" t="inlineStr">
        <is>
          <t>goal.Survive</t>
        </is>
      </c>
      <c r="C181" t="inlineStr">
        <is>
          <t>wolff</t>
        </is>
      </c>
      <c r="D181">
        <f>AI_ho_so_anh_xa!$D$16</f>
        <v/>
      </c>
      <c r="E181">
        <f>INDEX(AI_ho_so_che_do!$B$2:$B$21,MATCH($D$181,AI_ho_so_che_do!$A$2:$A$21,0))&amp;""</f>
        <v/>
      </c>
      <c r="F181">
        <f>INDEX(AI_ho_so_che_do!$P$2:$P$21,MATCH($D$181,AI_ho_so_che_do!$A$2:$A$21,0))=TRUE</f>
        <v/>
      </c>
      <c r="G181">
        <f>ISNUMBER(FIND(";noGeneralTactic;",";"&amp;INDEX(AI_ho_so_che_do!$O$2:$O$21,MATCH($D$181,AI_ho_so_che_do!$A$2:$A$21,0))&amp;";"))</f>
        <v/>
      </c>
      <c r="H181">
        <f>IF(AI_tuong!$B$13&amp;""&lt;&gt;"",AI_tuong!$B$13,IF(AI_tuong!$B$4&amp;""&lt;&gt;"",AI_tuong!$B$4,"balanced"))</f>
        <v/>
      </c>
      <c r="I181" t="inlineStr">
        <is>
          <t>air_superiority</t>
        </is>
      </c>
      <c r="J181">
        <f>OR($F$181,AND(AI_ho_so_anh_xa!$B$16="mode",OR(AI_ho_so_anh_xa!$C$16="Weekly",AI_ho_so_anh_xa!$C$16="Operation")))</f>
        <v/>
      </c>
      <c r="K181" t="b">
        <v>1</v>
      </c>
      <c r="L181">
        <f>IF($J$181,$H$181,"balanced")</f>
        <v/>
      </c>
      <c r="M181" t="inlineStr">
        <is>
          <t>air_superiority</t>
        </is>
      </c>
      <c r="N181">
        <f>IF(OR($E$181="",$G$181),"balanced",IF(OR($E$181="*",ISNUMBER(FIND(";"&amp;$L$181&amp;";",";"&amp;$E$181&amp;";"))),$L$181,IF(ISNUMBER(FIND(";"&amp;"balanced"&amp;";",";"&amp;$E$181&amp;";")),"balanced",LEFT($E$181,FIND(";",$E$181&amp;";")-1))))</f>
        <v/>
      </c>
      <c r="O181" t="inlineStr">
        <is>
          <t>air_superiority</t>
        </is>
      </c>
      <c r="P181">
        <f>IF(OR($E$181="",$G$181),"KHONG_CHIEN_THUAT",IF(NOT($J$181),IF($H$181="balanced","GIU","CHE_DO_BO_QUA"),IF($N$181=$H$181,"GIU","HO_SO_GHI_DE")))</f>
        <v/>
      </c>
      <c r="Q181" t="inlineStr">
        <is>
          <t>Sim/AI/ConquestAi.P28.cs TickLayered + Sim/AI/Commander.cs AllowedTactic (goal.Survive, wolff)</t>
        </is>
      </c>
      <c r="R181" t="inlineStr"/>
    </row>
    <row r="182">
      <c r="A182" t="inlineStr">
        <is>
          <t>mode.Assault/aurel</t>
        </is>
      </c>
      <c r="B182" t="inlineStr">
        <is>
          <t>mode.Assault</t>
        </is>
      </c>
      <c r="C182" t="inlineStr">
        <is>
          <t>aurel</t>
        </is>
      </c>
      <c r="D182">
        <f>AI_ho_so_anh_xa!$D$17</f>
        <v/>
      </c>
      <c r="E182">
        <f>INDEX(AI_ho_so_che_do!$B$2:$B$21,MATCH($D$182,AI_ho_so_che_do!$A$2:$A$21,0))&amp;""</f>
        <v/>
      </c>
      <c r="F182">
        <f>INDEX(AI_ho_so_che_do!$P$2:$P$21,MATCH($D$182,AI_ho_so_che_do!$A$2:$A$21,0))=TRUE</f>
        <v/>
      </c>
      <c r="G182">
        <f>ISNUMBER(FIND(";noGeneralTactic;",";"&amp;INDEX(AI_ho_so_che_do!$O$2:$O$21,MATCH($D$182,AI_ho_so_che_do!$A$2:$A$21,0))&amp;";"))</f>
        <v/>
      </c>
      <c r="H182">
        <f>IF(AI_tuong!$B$2&amp;""&lt;&gt;"",AI_tuong!$B$2,IF(AI_tuong!$B$4&amp;""&lt;&gt;"",AI_tuong!$B$4,"balanced"))</f>
        <v/>
      </c>
      <c r="I182" t="inlineStr">
        <is>
          <t>all_out</t>
        </is>
      </c>
      <c r="J182">
        <f>OR($F$182,AND(AI_ho_so_anh_xa!$B$17="mode",OR(AI_ho_so_anh_xa!$C$17="Weekly",AI_ho_so_anh_xa!$C$17="Operation")))</f>
        <v/>
      </c>
      <c r="K182" t="b">
        <v>0</v>
      </c>
      <c r="L182">
        <f>IF($J$182,$H$182,"balanced")</f>
        <v/>
      </c>
      <c r="M182" t="inlineStr">
        <is>
          <t>balanced</t>
        </is>
      </c>
      <c r="N182">
        <f>IF(OR($E$182="",$G$182),"balanced",IF(OR($E$182="*",ISNUMBER(FIND(";"&amp;$L$182&amp;";",";"&amp;$E$182&amp;";"))),$L$182,IF(ISNUMBER(FIND(";"&amp;"balanced"&amp;";",";"&amp;$E$182&amp;";")),"balanced",LEFT($E$182,FIND(";",$E$182&amp;";")-1))))</f>
        <v/>
      </c>
      <c r="O182" t="inlineStr">
        <is>
          <t>balanced</t>
        </is>
      </c>
      <c r="P182">
        <f>IF(OR($E$182="",$G$182),"KHONG_CHIEN_THUAT",IF(NOT($J$182),IF($H$182="balanced","GIU","CHE_DO_BO_QUA"),IF($N$182=$H$182,"GIU","HO_SO_GHI_DE")))</f>
        <v/>
      </c>
      <c r="Q182" t="inlineStr">
        <is>
          <t>Sim/AI/ConquestAi.P28.cs TickLayered + Sim/AI/Commander.cs AllowedTactic (mode.Assault, aurel)</t>
        </is>
      </c>
      <c r="R182" t="inlineStr"/>
    </row>
    <row r="183">
      <c r="A183" t="inlineStr">
        <is>
          <t>mode.Assault/brandt</t>
        </is>
      </c>
      <c r="B183" t="inlineStr">
        <is>
          <t>mode.Assault</t>
        </is>
      </c>
      <c r="C183" t="inlineStr">
        <is>
          <t>brandt</t>
        </is>
      </c>
      <c r="D183">
        <f>AI_ho_so_anh_xa!$D$17</f>
        <v/>
      </c>
      <c r="E183">
        <f>INDEX(AI_ho_so_che_do!$B$2:$B$21,MATCH($D$183,AI_ho_so_che_do!$A$2:$A$21,0))&amp;""</f>
        <v/>
      </c>
      <c r="F183">
        <f>INDEX(AI_ho_so_che_do!$P$2:$P$21,MATCH($D$183,AI_ho_so_che_do!$A$2:$A$21,0))=TRUE</f>
        <v/>
      </c>
      <c r="G183">
        <f>ISNUMBER(FIND(";noGeneralTactic;",";"&amp;INDEX(AI_ho_so_che_do!$O$2:$O$21,MATCH($D$183,AI_ho_so_che_do!$A$2:$A$21,0))&amp;";"))</f>
        <v/>
      </c>
      <c r="H183">
        <f>IF(AI_tuong!$B$3&amp;""&lt;&gt;"",AI_tuong!$B$3,IF(AI_tuong!$B$4&amp;""&lt;&gt;"",AI_tuong!$B$4,"balanced"))</f>
        <v/>
      </c>
      <c r="I183" t="inlineStr">
        <is>
          <t>depth</t>
        </is>
      </c>
      <c r="J183">
        <f>OR($F$183,AND(AI_ho_so_anh_xa!$B$17="mode",OR(AI_ho_so_anh_xa!$C$17="Weekly",AI_ho_so_anh_xa!$C$17="Operation")))</f>
        <v/>
      </c>
      <c r="K183" t="b">
        <v>0</v>
      </c>
      <c r="L183">
        <f>IF($J$183,$H$183,"balanced")</f>
        <v/>
      </c>
      <c r="M183" t="inlineStr">
        <is>
          <t>balanced</t>
        </is>
      </c>
      <c r="N183">
        <f>IF(OR($E$183="",$G$183),"balanced",IF(OR($E$183="*",ISNUMBER(FIND(";"&amp;$L$183&amp;";",";"&amp;$E$183&amp;";"))),$L$183,IF(ISNUMBER(FIND(";"&amp;"balanced"&amp;";",";"&amp;$E$183&amp;";")),"balanced",LEFT($E$183,FIND(";",$E$183&amp;";")-1))))</f>
        <v/>
      </c>
      <c r="O183" t="inlineStr">
        <is>
          <t>balanced</t>
        </is>
      </c>
      <c r="P183">
        <f>IF(OR($E$183="",$G$183),"KHONG_CHIEN_THUAT",IF(NOT($J$183),IF($H$183="balanced","GIU","CHE_DO_BO_QUA"),IF($N$183=$H$183,"GIU","HO_SO_GHI_DE")))</f>
        <v/>
      </c>
      <c r="Q183" t="inlineStr">
        <is>
          <t>Sim/AI/ConquestAi.P28.cs TickLayered + Sim/AI/Commander.cs AllowedTactic (mode.Assault, brandt)</t>
        </is>
      </c>
      <c r="R183" t="inlineStr"/>
    </row>
    <row r="184">
      <c r="A184" t="inlineStr">
        <is>
          <t>mode.Assault/default</t>
        </is>
      </c>
      <c r="B184" t="inlineStr">
        <is>
          <t>mode.Assault</t>
        </is>
      </c>
      <c r="C184" t="inlineStr">
        <is>
          <t>default</t>
        </is>
      </c>
      <c r="D184">
        <f>AI_ho_so_anh_xa!$D$17</f>
        <v/>
      </c>
      <c r="E184">
        <f>INDEX(AI_ho_so_che_do!$B$2:$B$21,MATCH($D$184,AI_ho_so_che_do!$A$2:$A$21,0))&amp;""</f>
        <v/>
      </c>
      <c r="F184">
        <f>INDEX(AI_ho_so_che_do!$P$2:$P$21,MATCH($D$184,AI_ho_so_che_do!$A$2:$A$21,0))=TRUE</f>
        <v/>
      </c>
      <c r="G184">
        <f>ISNUMBER(FIND(";noGeneralTactic;",";"&amp;INDEX(AI_ho_so_che_do!$O$2:$O$21,MATCH($D$184,AI_ho_so_che_do!$A$2:$A$21,0))&amp;";"))</f>
        <v/>
      </c>
      <c r="H184">
        <f>IF(AI_tuong!$B$4&amp;""&lt;&gt;"",AI_tuong!$B$4,IF(AI_tuong!$B$4&amp;""&lt;&gt;"",AI_tuong!$B$4,"balanced"))</f>
        <v/>
      </c>
      <c r="I184" t="inlineStr">
        <is>
          <t>balanced</t>
        </is>
      </c>
      <c r="J184">
        <f>OR($F$184,AND(AI_ho_so_anh_xa!$B$17="mode",OR(AI_ho_so_anh_xa!$C$17="Weekly",AI_ho_so_anh_xa!$C$17="Operation")))</f>
        <v/>
      </c>
      <c r="K184" t="b">
        <v>0</v>
      </c>
      <c r="L184">
        <f>IF($J$184,$H$184,"balanced")</f>
        <v/>
      </c>
      <c r="M184" t="inlineStr">
        <is>
          <t>balanced</t>
        </is>
      </c>
      <c r="N184">
        <f>IF(OR($E$184="",$G$184),"balanced",IF(OR($E$184="*",ISNUMBER(FIND(";"&amp;$L$184&amp;";",";"&amp;$E$184&amp;";"))),$L$184,IF(ISNUMBER(FIND(";"&amp;"balanced"&amp;";",";"&amp;$E$184&amp;";")),"balanced",LEFT($E$184,FIND(";",$E$184&amp;";")-1))))</f>
        <v/>
      </c>
      <c r="O184" t="inlineStr">
        <is>
          <t>balanced</t>
        </is>
      </c>
      <c r="P184">
        <f>IF(OR($E$184="",$G$184),"KHONG_CHIEN_THUAT",IF(NOT($J$184),IF($H$184="balanced","GIU","CHE_DO_BO_QUA"),IF($N$184=$H$184,"GIU","HO_SO_GHI_DE")))</f>
        <v/>
      </c>
      <c r="Q184" t="inlineStr">
        <is>
          <t>Sim/AI/ConquestAi.P28.cs TickLayered + Sim/AI/Commander.cs AllowedTactic (mode.Assault, default)</t>
        </is>
      </c>
      <c r="R184" t="inlineStr"/>
    </row>
    <row r="185">
      <c r="A185" t="inlineStr">
        <is>
          <t>mode.Assault/hung</t>
        </is>
      </c>
      <c r="B185" t="inlineStr">
        <is>
          <t>mode.Assault</t>
        </is>
      </c>
      <c r="C185" t="inlineStr">
        <is>
          <t>hung</t>
        </is>
      </c>
      <c r="D185">
        <f>AI_ho_so_anh_xa!$D$17</f>
        <v/>
      </c>
      <c r="E185">
        <f>INDEX(AI_ho_so_che_do!$B$2:$B$21,MATCH($D$185,AI_ho_so_che_do!$A$2:$A$21,0))&amp;""</f>
        <v/>
      </c>
      <c r="F185">
        <f>INDEX(AI_ho_so_che_do!$P$2:$P$21,MATCH($D$185,AI_ho_so_che_do!$A$2:$A$21,0))=TRUE</f>
        <v/>
      </c>
      <c r="G185">
        <f>ISNUMBER(FIND(";noGeneralTactic;",";"&amp;INDEX(AI_ho_so_che_do!$O$2:$O$21,MATCH($D$185,AI_ho_so_che_do!$A$2:$A$21,0))&amp;";"))</f>
        <v/>
      </c>
      <c r="H185">
        <f>IF(AI_tuong!$B$5&amp;""&lt;&gt;"",AI_tuong!$B$5,IF(AI_tuong!$B$4&amp;""&lt;&gt;"",AI_tuong!$B$4,"balanced"))</f>
        <v/>
      </c>
      <c r="I185" t="inlineStr">
        <is>
          <t>balanced</t>
        </is>
      </c>
      <c r="J185">
        <f>OR($F$185,AND(AI_ho_so_anh_xa!$B$17="mode",OR(AI_ho_so_anh_xa!$C$17="Weekly",AI_ho_so_anh_xa!$C$17="Operation")))</f>
        <v/>
      </c>
      <c r="K185" t="b">
        <v>0</v>
      </c>
      <c r="L185">
        <f>IF($J$185,$H$185,"balanced")</f>
        <v/>
      </c>
      <c r="M185" t="inlineStr">
        <is>
          <t>balanced</t>
        </is>
      </c>
      <c r="N185">
        <f>IF(OR($E$185="",$G$185),"balanced",IF(OR($E$185="*",ISNUMBER(FIND(";"&amp;$L$185&amp;";",";"&amp;$E$185&amp;";"))),$L$185,IF(ISNUMBER(FIND(";"&amp;"balanced"&amp;";",";"&amp;$E$185&amp;";")),"balanced",LEFT($E$185,FIND(";",$E$185&amp;";")-1))))</f>
        <v/>
      </c>
      <c r="O185" t="inlineStr">
        <is>
          <t>balanced</t>
        </is>
      </c>
      <c r="P185">
        <f>IF(OR($E$185="",$G$185),"KHONG_CHIEN_THUAT",IF(NOT($J$185),IF($H$185="balanced","GIU","CHE_DO_BO_QUA"),IF($N$185=$H$185,"GIU","HO_SO_GHI_DE")))</f>
        <v/>
      </c>
      <c r="Q185" t="inlineStr">
        <is>
          <t>Sim/AI/ConquestAi.P28.cs TickLayered + Sim/AI/Commander.cs AllowedTactic (mode.Assault, hung)</t>
        </is>
      </c>
      <c r="R185" t="inlineStr"/>
    </row>
    <row r="186">
      <c r="A186" t="inlineStr">
        <is>
          <t>mode.Assault/kessler</t>
        </is>
      </c>
      <c r="B186" t="inlineStr">
        <is>
          <t>mode.Assault</t>
        </is>
      </c>
      <c r="C186" t="inlineStr">
        <is>
          <t>kessler</t>
        </is>
      </c>
      <c r="D186">
        <f>AI_ho_so_anh_xa!$D$17</f>
        <v/>
      </c>
      <c r="E186">
        <f>INDEX(AI_ho_so_che_do!$B$2:$B$21,MATCH($D$186,AI_ho_so_che_do!$A$2:$A$21,0))&amp;""</f>
        <v/>
      </c>
      <c r="F186">
        <f>INDEX(AI_ho_so_che_do!$P$2:$P$21,MATCH($D$186,AI_ho_so_che_do!$A$2:$A$21,0))=TRUE</f>
        <v/>
      </c>
      <c r="G186">
        <f>ISNUMBER(FIND(";noGeneralTactic;",";"&amp;INDEX(AI_ho_so_che_do!$O$2:$O$21,MATCH($D$186,AI_ho_so_che_do!$A$2:$A$21,0))&amp;";"))</f>
        <v/>
      </c>
      <c r="H186">
        <f>IF(AI_tuong!$B$6&amp;""&lt;&gt;"",AI_tuong!$B$6,IF(AI_tuong!$B$4&amp;""&lt;&gt;"",AI_tuong!$B$4,"balanced"))</f>
        <v/>
      </c>
      <c r="I186" t="inlineStr">
        <is>
          <t>attrition</t>
        </is>
      </c>
      <c r="J186">
        <f>OR($F$186,AND(AI_ho_so_anh_xa!$B$17="mode",OR(AI_ho_so_anh_xa!$C$17="Weekly",AI_ho_so_anh_xa!$C$17="Operation")))</f>
        <v/>
      </c>
      <c r="K186" t="b">
        <v>0</v>
      </c>
      <c r="L186">
        <f>IF($J$186,$H$186,"balanced")</f>
        <v/>
      </c>
      <c r="M186" t="inlineStr">
        <is>
          <t>balanced</t>
        </is>
      </c>
      <c r="N186">
        <f>IF(OR($E$186="",$G$186),"balanced",IF(OR($E$186="*",ISNUMBER(FIND(";"&amp;$L$186&amp;";",";"&amp;$E$186&amp;";"))),$L$186,IF(ISNUMBER(FIND(";"&amp;"balanced"&amp;";",";"&amp;$E$186&amp;";")),"balanced",LEFT($E$186,FIND(";",$E$186&amp;";")-1))))</f>
        <v/>
      </c>
      <c r="O186" t="inlineStr">
        <is>
          <t>balanced</t>
        </is>
      </c>
      <c r="P186">
        <f>IF(OR($E$186="",$G$186),"KHONG_CHIEN_THUAT",IF(NOT($J$186),IF($H$186="balanced","GIU","CHE_DO_BO_QUA"),IF($N$186=$H$186,"GIU","HO_SO_GHI_DE")))</f>
        <v/>
      </c>
      <c r="Q186" t="inlineStr">
        <is>
          <t>Sim/AI/ConquestAi.P28.cs TickLayered + Sim/AI/Commander.cs AllowedTactic (mode.Assault, kessler)</t>
        </is>
      </c>
      <c r="R186" t="inlineStr"/>
    </row>
    <row r="187">
      <c r="A187" t="inlineStr">
        <is>
          <t>mode.Assault/orlov</t>
        </is>
      </c>
      <c r="B187" t="inlineStr">
        <is>
          <t>mode.Assault</t>
        </is>
      </c>
      <c r="C187" t="inlineStr">
        <is>
          <t>orlov</t>
        </is>
      </c>
      <c r="D187">
        <f>AI_ho_so_anh_xa!$D$17</f>
        <v/>
      </c>
      <c r="E187">
        <f>INDEX(AI_ho_so_che_do!$B$2:$B$21,MATCH($D$187,AI_ho_so_che_do!$A$2:$A$21,0))&amp;""</f>
        <v/>
      </c>
      <c r="F187">
        <f>INDEX(AI_ho_so_che_do!$P$2:$P$21,MATCH($D$187,AI_ho_so_che_do!$A$2:$A$21,0))=TRUE</f>
        <v/>
      </c>
      <c r="G187">
        <f>ISNUMBER(FIND(";noGeneralTactic;",";"&amp;INDEX(AI_ho_so_che_do!$O$2:$O$21,MATCH($D$187,AI_ho_so_che_do!$A$2:$A$21,0))&amp;";"))</f>
        <v/>
      </c>
      <c r="H187">
        <f>IF(AI_tuong!$B$7&amp;""&lt;&gt;"",AI_tuong!$B$7,IF(AI_tuong!$B$4&amp;""&lt;&gt;"",AI_tuong!$B$4,"balanced"))</f>
        <v/>
      </c>
      <c r="I187" t="inlineStr">
        <is>
          <t>firepower</t>
        </is>
      </c>
      <c r="J187">
        <f>OR($F$187,AND(AI_ho_so_anh_xa!$B$17="mode",OR(AI_ho_so_anh_xa!$C$17="Weekly",AI_ho_so_anh_xa!$C$17="Operation")))</f>
        <v/>
      </c>
      <c r="K187" t="b">
        <v>0</v>
      </c>
      <c r="L187">
        <f>IF($J$187,$H$187,"balanced")</f>
        <v/>
      </c>
      <c r="M187" t="inlineStr">
        <is>
          <t>balanced</t>
        </is>
      </c>
      <c r="N187">
        <f>IF(OR($E$187="",$G$187),"balanced",IF(OR($E$187="*",ISNUMBER(FIND(";"&amp;$L$187&amp;";",";"&amp;$E$187&amp;";"))),$L$187,IF(ISNUMBER(FIND(";"&amp;"balanced"&amp;";",";"&amp;$E$187&amp;";")),"balanced",LEFT($E$187,FIND(";",$E$187&amp;";")-1))))</f>
        <v/>
      </c>
      <c r="O187" t="inlineStr">
        <is>
          <t>balanced</t>
        </is>
      </c>
      <c r="P187">
        <f>IF(OR($E$187="",$G$187),"KHONG_CHIEN_THUAT",IF(NOT($J$187),IF($H$187="balanced","GIU","CHE_DO_BO_QUA"),IF($N$187=$H$187,"GIU","HO_SO_GHI_DE")))</f>
        <v/>
      </c>
      <c r="Q187" t="inlineStr">
        <is>
          <t>Sim/AI/ConquestAi.P28.cs TickLayered + Sim/AI/Commander.cs AllowedTactic (mode.Assault, orlov)</t>
        </is>
      </c>
      <c r="R187" t="inlineStr"/>
    </row>
    <row r="188">
      <c r="A188" t="inlineStr">
        <is>
          <t>mode.Assault/quaden</t>
        </is>
      </c>
      <c r="B188" t="inlineStr">
        <is>
          <t>mode.Assault</t>
        </is>
      </c>
      <c r="C188" t="inlineStr">
        <is>
          <t>quaden</t>
        </is>
      </c>
      <c r="D188">
        <f>AI_ho_so_anh_xa!$D$17</f>
        <v/>
      </c>
      <c r="E188">
        <f>INDEX(AI_ho_so_che_do!$B$2:$B$21,MATCH($D$188,AI_ho_so_che_do!$A$2:$A$21,0))&amp;""</f>
        <v/>
      </c>
      <c r="F188">
        <f>INDEX(AI_ho_so_che_do!$P$2:$P$21,MATCH($D$188,AI_ho_so_che_do!$A$2:$A$21,0))=TRUE</f>
        <v/>
      </c>
      <c r="G188">
        <f>ISNUMBER(FIND(";noGeneralTactic;",";"&amp;INDEX(AI_ho_so_che_do!$O$2:$O$21,MATCH($D$188,AI_ho_so_che_do!$A$2:$A$21,0))&amp;";"))</f>
        <v/>
      </c>
      <c r="H188">
        <f>IF(AI_tuong!$B$8&amp;""&lt;&gt;"",AI_tuong!$B$8,IF(AI_tuong!$B$4&amp;""&lt;&gt;"",AI_tuong!$B$4,"balanced"))</f>
        <v/>
      </c>
      <c r="I188" t="inlineStr">
        <is>
          <t>balanced</t>
        </is>
      </c>
      <c r="J188">
        <f>OR($F$188,AND(AI_ho_so_anh_xa!$B$17="mode",OR(AI_ho_so_anh_xa!$C$17="Weekly",AI_ho_so_anh_xa!$C$17="Operation")))</f>
        <v/>
      </c>
      <c r="K188" t="b">
        <v>0</v>
      </c>
      <c r="L188">
        <f>IF($J$188,$H$188,"balanced")</f>
        <v/>
      </c>
      <c r="M188" t="inlineStr">
        <is>
          <t>balanced</t>
        </is>
      </c>
      <c r="N188">
        <f>IF(OR($E$188="",$G$188),"balanced",IF(OR($E$188="*",ISNUMBER(FIND(";"&amp;$L$188&amp;";",";"&amp;$E$188&amp;";"))),$L$188,IF(ISNUMBER(FIND(";"&amp;"balanced"&amp;";",";"&amp;$E$188&amp;";")),"balanced",LEFT($E$188,FIND(";",$E$188&amp;";")-1))))</f>
        <v/>
      </c>
      <c r="O188" t="inlineStr">
        <is>
          <t>balanced</t>
        </is>
      </c>
      <c r="P188">
        <f>IF(OR($E$188="",$G$188),"KHONG_CHIEN_THUAT",IF(NOT($J$188),IF($H$188="balanced","GIU","CHE_DO_BO_QUA"),IF($N$188=$H$188,"GIU","HO_SO_GHI_DE")))</f>
        <v/>
      </c>
      <c r="Q188" t="inlineStr">
        <is>
          <t>Sim/AI/ConquestAi.P28.cs TickLayered + Sim/AI/Commander.cs AllowedTactic (mode.Assault, quaden)</t>
        </is>
      </c>
      <c r="R188" t="inlineStr"/>
    </row>
    <row r="189">
      <c r="A189" t="inlineStr">
        <is>
          <t>mode.Assault/sen</t>
        </is>
      </c>
      <c r="B189" t="inlineStr">
        <is>
          <t>mode.Assault</t>
        </is>
      </c>
      <c r="C189" t="inlineStr">
        <is>
          <t>sen</t>
        </is>
      </c>
      <c r="D189">
        <f>AI_ho_so_anh_xa!$D$17</f>
        <v/>
      </c>
      <c r="E189">
        <f>INDEX(AI_ho_so_che_do!$B$2:$B$21,MATCH($D$189,AI_ho_so_che_do!$A$2:$A$21,0))&amp;""</f>
        <v/>
      </c>
      <c r="F189">
        <f>INDEX(AI_ho_so_che_do!$P$2:$P$21,MATCH($D$189,AI_ho_so_che_do!$A$2:$A$21,0))=TRUE</f>
        <v/>
      </c>
      <c r="G189">
        <f>ISNUMBER(FIND(";noGeneralTactic;",";"&amp;INDEX(AI_ho_so_che_do!$O$2:$O$21,MATCH($D$189,AI_ho_so_che_do!$A$2:$A$21,0))&amp;";"))</f>
        <v/>
      </c>
      <c r="H189">
        <f>IF(AI_tuong!$B$9&amp;""&lt;&gt;"",AI_tuong!$B$9,IF(AI_tuong!$B$4&amp;""&lt;&gt;"",AI_tuong!$B$4,"balanced"))</f>
        <v/>
      </c>
      <c r="I189" t="inlineStr">
        <is>
          <t>balanced</t>
        </is>
      </c>
      <c r="J189">
        <f>OR($F$189,AND(AI_ho_so_anh_xa!$B$17="mode",OR(AI_ho_so_anh_xa!$C$17="Weekly",AI_ho_so_anh_xa!$C$17="Operation")))</f>
        <v/>
      </c>
      <c r="K189" t="b">
        <v>0</v>
      </c>
      <c r="L189">
        <f>IF($J$189,$H$189,"balanced")</f>
        <v/>
      </c>
      <c r="M189" t="inlineStr">
        <is>
          <t>balanced</t>
        </is>
      </c>
      <c r="N189">
        <f>IF(OR($E$189="",$G$189),"balanced",IF(OR($E$189="*",ISNUMBER(FIND(";"&amp;$L$189&amp;";",";"&amp;$E$189&amp;";"))),$L$189,IF(ISNUMBER(FIND(";"&amp;"balanced"&amp;";",";"&amp;$E$189&amp;";")),"balanced",LEFT($E$189,FIND(";",$E$189&amp;";")-1))))</f>
        <v/>
      </c>
      <c r="O189" t="inlineStr">
        <is>
          <t>balanced</t>
        </is>
      </c>
      <c r="P189">
        <f>IF(OR($E$189="",$G$189),"KHONG_CHIEN_THUAT",IF(NOT($J$189),IF($H$189="balanced","GIU","CHE_DO_BO_QUA"),IF($N$189=$H$189,"GIU","HO_SO_GHI_DE")))</f>
        <v/>
      </c>
      <c r="Q189" t="inlineStr">
        <is>
          <t>Sim/AI/ConquestAi.P28.cs TickLayered + Sim/AI/Commander.cs AllowedTactic (mode.Assault, sen)</t>
        </is>
      </c>
      <c r="R189" t="inlineStr"/>
    </row>
    <row r="190">
      <c r="A190" t="inlineStr">
        <is>
          <t>mode.Assault/thorne</t>
        </is>
      </c>
      <c r="B190" t="inlineStr">
        <is>
          <t>mode.Assault</t>
        </is>
      </c>
      <c r="C190" t="inlineStr">
        <is>
          <t>thorne</t>
        </is>
      </c>
      <c r="D190">
        <f>AI_ho_so_anh_xa!$D$17</f>
        <v/>
      </c>
      <c r="E190">
        <f>INDEX(AI_ho_so_che_do!$B$2:$B$21,MATCH($D$190,AI_ho_so_che_do!$A$2:$A$21,0))&amp;""</f>
        <v/>
      </c>
      <c r="F190">
        <f>INDEX(AI_ho_so_che_do!$P$2:$P$21,MATCH($D$190,AI_ho_so_che_do!$A$2:$A$21,0))=TRUE</f>
        <v/>
      </c>
      <c r="G190">
        <f>ISNUMBER(FIND(";noGeneralTactic;",";"&amp;INDEX(AI_ho_so_che_do!$O$2:$O$21,MATCH($D$190,AI_ho_so_che_do!$A$2:$A$21,0))&amp;";"))</f>
        <v/>
      </c>
      <c r="H190">
        <f>IF(AI_tuong!$B$10&amp;""&lt;&gt;"",AI_tuong!$B$10,IF(AI_tuong!$B$4&amp;""&lt;&gt;"",AI_tuong!$B$4,"balanced"))</f>
        <v/>
      </c>
      <c r="I190" t="inlineStr">
        <is>
          <t>balanced</t>
        </is>
      </c>
      <c r="J190">
        <f>OR($F$190,AND(AI_ho_so_anh_xa!$B$17="mode",OR(AI_ho_so_anh_xa!$C$17="Weekly",AI_ho_so_anh_xa!$C$17="Operation")))</f>
        <v/>
      </c>
      <c r="K190" t="b">
        <v>0</v>
      </c>
      <c r="L190">
        <f>IF($J$190,$H$190,"balanced")</f>
        <v/>
      </c>
      <c r="M190" t="inlineStr">
        <is>
          <t>balanced</t>
        </is>
      </c>
      <c r="N190">
        <f>IF(OR($E$190="",$G$190),"balanced",IF(OR($E$190="*",ISNUMBER(FIND(";"&amp;$L$190&amp;";",";"&amp;$E$190&amp;";"))),$L$190,IF(ISNUMBER(FIND(";"&amp;"balanced"&amp;";",";"&amp;$E$190&amp;";")),"balanced",LEFT($E$190,FIND(";",$E$190&amp;";")-1))))</f>
        <v/>
      </c>
      <c r="O190" t="inlineStr">
        <is>
          <t>balanced</t>
        </is>
      </c>
      <c r="P190">
        <f>IF(OR($E$190="",$G$190),"KHONG_CHIEN_THUAT",IF(NOT($J$190),IF($H$190="balanced","GIU","CHE_DO_BO_QUA"),IF($N$190=$H$190,"GIU","HO_SO_GHI_DE")))</f>
        <v/>
      </c>
      <c r="Q190" t="inlineStr">
        <is>
          <t>Sim/AI/ConquestAi.P28.cs TickLayered + Sim/AI/Commander.cs AllowedTactic (mode.Assault, thorne)</t>
        </is>
      </c>
      <c r="R190" t="inlineStr"/>
    </row>
    <row r="191">
      <c r="A191" t="inlineStr">
        <is>
          <t>mode.Assault/varga</t>
        </is>
      </c>
      <c r="B191" t="inlineStr">
        <is>
          <t>mode.Assault</t>
        </is>
      </c>
      <c r="C191" t="inlineStr">
        <is>
          <t>varga</t>
        </is>
      </c>
      <c r="D191">
        <f>AI_ho_so_anh_xa!$D$17</f>
        <v/>
      </c>
      <c r="E191">
        <f>INDEX(AI_ho_so_che_do!$B$2:$B$21,MATCH($D$191,AI_ho_so_che_do!$A$2:$A$21,0))&amp;""</f>
        <v/>
      </c>
      <c r="F191">
        <f>INDEX(AI_ho_so_che_do!$P$2:$P$21,MATCH($D$191,AI_ho_so_che_do!$A$2:$A$21,0))=TRUE</f>
        <v/>
      </c>
      <c r="G191">
        <f>ISNUMBER(FIND(";noGeneralTactic;",";"&amp;INDEX(AI_ho_so_che_do!$O$2:$O$21,MATCH($D$191,AI_ho_so_che_do!$A$2:$A$21,0))&amp;";"))</f>
        <v/>
      </c>
      <c r="H191">
        <f>IF(AI_tuong!$B$11&amp;""&lt;&gt;"",AI_tuong!$B$11,IF(AI_tuong!$B$4&amp;""&lt;&gt;"",AI_tuong!$B$4,"balanced"))</f>
        <v/>
      </c>
      <c r="I191" t="inlineStr">
        <is>
          <t>breakthrough</t>
        </is>
      </c>
      <c r="J191">
        <f>OR($F$191,AND(AI_ho_so_anh_xa!$B$17="mode",OR(AI_ho_so_anh_xa!$C$17="Weekly",AI_ho_so_anh_xa!$C$17="Operation")))</f>
        <v/>
      </c>
      <c r="K191" t="b">
        <v>0</v>
      </c>
      <c r="L191">
        <f>IF($J$191,$H$191,"balanced")</f>
        <v/>
      </c>
      <c r="M191" t="inlineStr">
        <is>
          <t>balanced</t>
        </is>
      </c>
      <c r="N191">
        <f>IF(OR($E$191="",$G$191),"balanced",IF(OR($E$191="*",ISNUMBER(FIND(";"&amp;$L$191&amp;";",";"&amp;$E$191&amp;";"))),$L$191,IF(ISNUMBER(FIND(";"&amp;"balanced"&amp;";",";"&amp;$E$191&amp;";")),"balanced",LEFT($E$191,FIND(";",$E$191&amp;";")-1))))</f>
        <v/>
      </c>
      <c r="O191" t="inlineStr">
        <is>
          <t>balanced</t>
        </is>
      </c>
      <c r="P191">
        <f>IF(OR($E$191="",$G$191),"KHONG_CHIEN_THUAT",IF(NOT($J$191),IF($H$191="balanced","GIU","CHE_DO_BO_QUA"),IF($N$191=$H$191,"GIU","HO_SO_GHI_DE")))</f>
        <v/>
      </c>
      <c r="Q191" t="inlineStr">
        <is>
          <t>Sim/AI/ConquestAi.P28.cs TickLayered + Sim/AI/Commander.cs AllowedTactic (mode.Assault, varga)</t>
        </is>
      </c>
      <c r="R191" t="inlineStr"/>
    </row>
    <row r="192">
      <c r="A192" t="inlineStr">
        <is>
          <t>mode.Assault/venn</t>
        </is>
      </c>
      <c r="B192" t="inlineStr">
        <is>
          <t>mode.Assault</t>
        </is>
      </c>
      <c r="C192" t="inlineStr">
        <is>
          <t>venn</t>
        </is>
      </c>
      <c r="D192">
        <f>AI_ho_so_anh_xa!$D$17</f>
        <v/>
      </c>
      <c r="E192">
        <f>INDEX(AI_ho_so_che_do!$B$2:$B$21,MATCH($D$192,AI_ho_so_che_do!$A$2:$A$21,0))&amp;""</f>
        <v/>
      </c>
      <c r="F192">
        <f>INDEX(AI_ho_so_che_do!$P$2:$P$21,MATCH($D$192,AI_ho_so_che_do!$A$2:$A$21,0))=TRUE</f>
        <v/>
      </c>
      <c r="G192">
        <f>ISNUMBER(FIND(";noGeneralTactic;",";"&amp;INDEX(AI_ho_so_che_do!$O$2:$O$21,MATCH($D$192,AI_ho_so_che_do!$A$2:$A$21,0))&amp;";"))</f>
        <v/>
      </c>
      <c r="H192">
        <f>IF(AI_tuong!$B$12&amp;""&lt;&gt;"",AI_tuong!$B$12,IF(AI_tuong!$B$4&amp;""&lt;&gt;"",AI_tuong!$B$4,"balanced"))</f>
        <v/>
      </c>
      <c r="I192" t="inlineStr">
        <is>
          <t>dispersal</t>
        </is>
      </c>
      <c r="J192">
        <f>OR($F$192,AND(AI_ho_so_anh_xa!$B$17="mode",OR(AI_ho_so_anh_xa!$C$17="Weekly",AI_ho_so_anh_xa!$C$17="Operation")))</f>
        <v/>
      </c>
      <c r="K192" t="b">
        <v>0</v>
      </c>
      <c r="L192">
        <f>IF($J$192,$H$192,"balanced")</f>
        <v/>
      </c>
      <c r="M192" t="inlineStr">
        <is>
          <t>balanced</t>
        </is>
      </c>
      <c r="N192">
        <f>IF(OR($E$192="",$G$192),"balanced",IF(OR($E$192="*",ISNUMBER(FIND(";"&amp;$L$192&amp;";",";"&amp;$E$192&amp;";"))),$L$192,IF(ISNUMBER(FIND(";"&amp;"balanced"&amp;";",";"&amp;$E$192&amp;";")),"balanced",LEFT($E$192,FIND(";",$E$192&amp;";")-1))))</f>
        <v/>
      </c>
      <c r="O192" t="inlineStr">
        <is>
          <t>balanced</t>
        </is>
      </c>
      <c r="P192">
        <f>IF(OR($E$192="",$G$192),"KHONG_CHIEN_THUAT",IF(NOT($J$192),IF($H$192="balanced","GIU","CHE_DO_BO_QUA"),IF($N$192=$H$192,"GIU","HO_SO_GHI_DE")))</f>
        <v/>
      </c>
      <c r="Q192" t="inlineStr">
        <is>
          <t>Sim/AI/ConquestAi.P28.cs TickLayered + Sim/AI/Commander.cs AllowedTactic (mode.Assault, venn)</t>
        </is>
      </c>
      <c r="R192" t="inlineStr"/>
    </row>
    <row r="193">
      <c r="A193" t="inlineStr">
        <is>
          <t>mode.Assault/wolff</t>
        </is>
      </c>
      <c r="B193" t="inlineStr">
        <is>
          <t>mode.Assault</t>
        </is>
      </c>
      <c r="C193" t="inlineStr">
        <is>
          <t>wolff</t>
        </is>
      </c>
      <c r="D193">
        <f>AI_ho_so_anh_xa!$D$17</f>
        <v/>
      </c>
      <c r="E193">
        <f>INDEX(AI_ho_so_che_do!$B$2:$B$21,MATCH($D$193,AI_ho_so_che_do!$A$2:$A$21,0))&amp;""</f>
        <v/>
      </c>
      <c r="F193">
        <f>INDEX(AI_ho_so_che_do!$P$2:$P$21,MATCH($D$193,AI_ho_so_che_do!$A$2:$A$21,0))=TRUE</f>
        <v/>
      </c>
      <c r="G193">
        <f>ISNUMBER(FIND(";noGeneralTactic;",";"&amp;INDEX(AI_ho_so_che_do!$O$2:$O$21,MATCH($D$193,AI_ho_so_che_do!$A$2:$A$21,0))&amp;";"))</f>
        <v/>
      </c>
      <c r="H193">
        <f>IF(AI_tuong!$B$13&amp;""&lt;&gt;"",AI_tuong!$B$13,IF(AI_tuong!$B$4&amp;""&lt;&gt;"",AI_tuong!$B$4,"balanced"))</f>
        <v/>
      </c>
      <c r="I193" t="inlineStr">
        <is>
          <t>air_superiority</t>
        </is>
      </c>
      <c r="J193">
        <f>OR($F$193,AND(AI_ho_so_anh_xa!$B$17="mode",OR(AI_ho_so_anh_xa!$C$17="Weekly",AI_ho_so_anh_xa!$C$17="Operation")))</f>
        <v/>
      </c>
      <c r="K193" t="b">
        <v>0</v>
      </c>
      <c r="L193">
        <f>IF($J$193,$H$193,"balanced")</f>
        <v/>
      </c>
      <c r="M193" t="inlineStr">
        <is>
          <t>balanced</t>
        </is>
      </c>
      <c r="N193">
        <f>IF(OR($E$193="",$G$193),"balanced",IF(OR($E$193="*",ISNUMBER(FIND(";"&amp;$L$193&amp;";",";"&amp;$E$193&amp;";"))),$L$193,IF(ISNUMBER(FIND(";"&amp;"balanced"&amp;";",";"&amp;$E$193&amp;";")),"balanced",LEFT($E$193,FIND(";",$E$193&amp;";")-1))))</f>
        <v/>
      </c>
      <c r="O193" t="inlineStr">
        <is>
          <t>balanced</t>
        </is>
      </c>
      <c r="P193">
        <f>IF(OR($E$193="",$G$193),"KHONG_CHIEN_THUAT",IF(NOT($J$193),IF($H$193="balanced","GIU","CHE_DO_BO_QUA"),IF($N$193=$H$193,"GIU","HO_SO_GHI_DE")))</f>
        <v/>
      </c>
      <c r="Q193" t="inlineStr">
        <is>
          <t>Sim/AI/ConquestAi.P28.cs TickLayered + Sim/AI/Commander.cs AllowedTactic (mode.Assault, wolff)</t>
        </is>
      </c>
      <c r="R193" t="inlineStr"/>
    </row>
    <row r="194">
      <c r="A194" t="inlineStr">
        <is>
          <t>mode.BossRush/aurel</t>
        </is>
      </c>
      <c r="B194" t="inlineStr">
        <is>
          <t>mode.BossRush</t>
        </is>
      </c>
      <c r="C194" t="inlineStr">
        <is>
          <t>aurel</t>
        </is>
      </c>
      <c r="D194">
        <f>AI_ho_so_anh_xa!$D$18</f>
        <v/>
      </c>
      <c r="E194">
        <f>INDEX(AI_ho_so_che_do!$B$2:$B$21,MATCH($D$194,AI_ho_so_che_do!$A$2:$A$21,0))&amp;""</f>
        <v/>
      </c>
      <c r="F194">
        <f>INDEX(AI_ho_so_che_do!$P$2:$P$21,MATCH($D$194,AI_ho_so_che_do!$A$2:$A$21,0))=TRUE</f>
        <v/>
      </c>
      <c r="G194">
        <f>ISNUMBER(FIND(";noGeneralTactic;",";"&amp;INDEX(AI_ho_so_che_do!$O$2:$O$21,MATCH($D$194,AI_ho_so_che_do!$A$2:$A$21,0))&amp;";"))</f>
        <v/>
      </c>
      <c r="H194">
        <f>IF(AI_tuong!$B$2&amp;""&lt;&gt;"",AI_tuong!$B$2,IF(AI_tuong!$B$4&amp;""&lt;&gt;"",AI_tuong!$B$4,"balanced"))</f>
        <v/>
      </c>
      <c r="I194" t="inlineStr">
        <is>
          <t>all_out</t>
        </is>
      </c>
      <c r="J194">
        <f>OR($F$194,AND(AI_ho_so_anh_xa!$B$18="mode",OR(AI_ho_so_anh_xa!$C$18="Weekly",AI_ho_so_anh_xa!$C$18="Operation")))</f>
        <v/>
      </c>
      <c r="K194" t="b">
        <v>0</v>
      </c>
      <c r="L194">
        <f>IF($J$194,$H$194,"balanced")</f>
        <v/>
      </c>
      <c r="M194" t="inlineStr">
        <is>
          <t>balanced</t>
        </is>
      </c>
      <c r="N194">
        <f>IF(OR($E$194="",$G$194),"balanced",IF(OR($E$194="*",ISNUMBER(FIND(";"&amp;$L$194&amp;";",";"&amp;$E$194&amp;";"))),$L$194,IF(ISNUMBER(FIND(";"&amp;"balanced"&amp;";",";"&amp;$E$194&amp;";")),"balanced",LEFT($E$194,FIND(";",$E$194&amp;";")-1))))</f>
        <v/>
      </c>
      <c r="O194" t="inlineStr">
        <is>
          <t>balanced</t>
        </is>
      </c>
      <c r="P194">
        <f>IF(OR($E$194="",$G$194),"KHONG_CHIEN_THUAT",IF(NOT($J$194),IF($H$194="balanced","GIU","CHE_DO_BO_QUA"),IF($N$194=$H$194,"GIU","HO_SO_GHI_DE")))</f>
        <v/>
      </c>
      <c r="Q194" t="inlineStr">
        <is>
          <t>Sim/AI/ConquestAi.P28.cs TickLayered + Sim/AI/Commander.cs AllowedTactic (mode.BossRush, aurel)</t>
        </is>
      </c>
      <c r="R194" t="inlineStr"/>
    </row>
    <row r="195">
      <c r="A195" t="inlineStr">
        <is>
          <t>mode.BossRush/brandt</t>
        </is>
      </c>
      <c r="B195" t="inlineStr">
        <is>
          <t>mode.BossRush</t>
        </is>
      </c>
      <c r="C195" t="inlineStr">
        <is>
          <t>brandt</t>
        </is>
      </c>
      <c r="D195">
        <f>AI_ho_so_anh_xa!$D$18</f>
        <v/>
      </c>
      <c r="E195">
        <f>INDEX(AI_ho_so_che_do!$B$2:$B$21,MATCH($D$195,AI_ho_so_che_do!$A$2:$A$21,0))&amp;""</f>
        <v/>
      </c>
      <c r="F195">
        <f>INDEX(AI_ho_so_che_do!$P$2:$P$21,MATCH($D$195,AI_ho_so_che_do!$A$2:$A$21,0))=TRUE</f>
        <v/>
      </c>
      <c r="G195">
        <f>ISNUMBER(FIND(";noGeneralTactic;",";"&amp;INDEX(AI_ho_so_che_do!$O$2:$O$21,MATCH($D$195,AI_ho_so_che_do!$A$2:$A$21,0))&amp;";"))</f>
        <v/>
      </c>
      <c r="H195">
        <f>IF(AI_tuong!$B$3&amp;""&lt;&gt;"",AI_tuong!$B$3,IF(AI_tuong!$B$4&amp;""&lt;&gt;"",AI_tuong!$B$4,"balanced"))</f>
        <v/>
      </c>
      <c r="I195" t="inlineStr">
        <is>
          <t>depth</t>
        </is>
      </c>
      <c r="J195">
        <f>OR($F$195,AND(AI_ho_so_anh_xa!$B$18="mode",OR(AI_ho_so_anh_xa!$C$18="Weekly",AI_ho_so_anh_xa!$C$18="Operation")))</f>
        <v/>
      </c>
      <c r="K195" t="b">
        <v>0</v>
      </c>
      <c r="L195">
        <f>IF($J$195,$H$195,"balanced")</f>
        <v/>
      </c>
      <c r="M195" t="inlineStr">
        <is>
          <t>balanced</t>
        </is>
      </c>
      <c r="N195">
        <f>IF(OR($E$195="",$G$195),"balanced",IF(OR($E$195="*",ISNUMBER(FIND(";"&amp;$L$195&amp;";",";"&amp;$E$195&amp;";"))),$L$195,IF(ISNUMBER(FIND(";"&amp;"balanced"&amp;";",";"&amp;$E$195&amp;";")),"balanced",LEFT($E$195,FIND(";",$E$195&amp;";")-1))))</f>
        <v/>
      </c>
      <c r="O195" t="inlineStr">
        <is>
          <t>balanced</t>
        </is>
      </c>
      <c r="P195">
        <f>IF(OR($E$195="",$G$195),"KHONG_CHIEN_THUAT",IF(NOT($J$195),IF($H$195="balanced","GIU","CHE_DO_BO_QUA"),IF($N$195=$H$195,"GIU","HO_SO_GHI_DE")))</f>
        <v/>
      </c>
      <c r="Q195" t="inlineStr">
        <is>
          <t>Sim/AI/ConquestAi.P28.cs TickLayered + Sim/AI/Commander.cs AllowedTactic (mode.BossRush, brandt)</t>
        </is>
      </c>
      <c r="R195" t="inlineStr"/>
    </row>
    <row r="196">
      <c r="A196" t="inlineStr">
        <is>
          <t>mode.BossRush/default</t>
        </is>
      </c>
      <c r="B196" t="inlineStr">
        <is>
          <t>mode.BossRush</t>
        </is>
      </c>
      <c r="C196" t="inlineStr">
        <is>
          <t>default</t>
        </is>
      </c>
      <c r="D196">
        <f>AI_ho_so_anh_xa!$D$18</f>
        <v/>
      </c>
      <c r="E196">
        <f>INDEX(AI_ho_so_che_do!$B$2:$B$21,MATCH($D$196,AI_ho_so_che_do!$A$2:$A$21,0))&amp;""</f>
        <v/>
      </c>
      <c r="F196">
        <f>INDEX(AI_ho_so_che_do!$P$2:$P$21,MATCH($D$196,AI_ho_so_che_do!$A$2:$A$21,0))=TRUE</f>
        <v/>
      </c>
      <c r="G196">
        <f>ISNUMBER(FIND(";noGeneralTactic;",";"&amp;INDEX(AI_ho_so_che_do!$O$2:$O$21,MATCH($D$196,AI_ho_so_che_do!$A$2:$A$21,0))&amp;";"))</f>
        <v/>
      </c>
      <c r="H196">
        <f>IF(AI_tuong!$B$4&amp;""&lt;&gt;"",AI_tuong!$B$4,IF(AI_tuong!$B$4&amp;""&lt;&gt;"",AI_tuong!$B$4,"balanced"))</f>
        <v/>
      </c>
      <c r="I196" t="inlineStr">
        <is>
          <t>balanced</t>
        </is>
      </c>
      <c r="J196">
        <f>OR($F$196,AND(AI_ho_so_anh_xa!$B$18="mode",OR(AI_ho_so_anh_xa!$C$18="Weekly",AI_ho_so_anh_xa!$C$18="Operation")))</f>
        <v/>
      </c>
      <c r="K196" t="b">
        <v>0</v>
      </c>
      <c r="L196">
        <f>IF($J$196,$H$196,"balanced")</f>
        <v/>
      </c>
      <c r="M196" t="inlineStr">
        <is>
          <t>balanced</t>
        </is>
      </c>
      <c r="N196">
        <f>IF(OR($E$196="",$G$196),"balanced",IF(OR($E$196="*",ISNUMBER(FIND(";"&amp;$L$196&amp;";",";"&amp;$E$196&amp;";"))),$L$196,IF(ISNUMBER(FIND(";"&amp;"balanced"&amp;";",";"&amp;$E$196&amp;";")),"balanced",LEFT($E$196,FIND(";",$E$196&amp;";")-1))))</f>
        <v/>
      </c>
      <c r="O196" t="inlineStr">
        <is>
          <t>balanced</t>
        </is>
      </c>
      <c r="P196">
        <f>IF(OR($E$196="",$G$196),"KHONG_CHIEN_THUAT",IF(NOT($J$196),IF($H$196="balanced","GIU","CHE_DO_BO_QUA"),IF($N$196=$H$196,"GIU","HO_SO_GHI_DE")))</f>
        <v/>
      </c>
      <c r="Q196" t="inlineStr">
        <is>
          <t>Sim/AI/ConquestAi.P28.cs TickLayered + Sim/AI/Commander.cs AllowedTactic (mode.BossRush, default)</t>
        </is>
      </c>
      <c r="R196" t="inlineStr"/>
    </row>
    <row r="197">
      <c r="A197" t="inlineStr">
        <is>
          <t>mode.BossRush/hung</t>
        </is>
      </c>
      <c r="B197" t="inlineStr">
        <is>
          <t>mode.BossRush</t>
        </is>
      </c>
      <c r="C197" t="inlineStr">
        <is>
          <t>hung</t>
        </is>
      </c>
      <c r="D197">
        <f>AI_ho_so_anh_xa!$D$18</f>
        <v/>
      </c>
      <c r="E197">
        <f>INDEX(AI_ho_so_che_do!$B$2:$B$21,MATCH($D$197,AI_ho_so_che_do!$A$2:$A$21,0))&amp;""</f>
        <v/>
      </c>
      <c r="F197">
        <f>INDEX(AI_ho_so_che_do!$P$2:$P$21,MATCH($D$197,AI_ho_so_che_do!$A$2:$A$21,0))=TRUE</f>
        <v/>
      </c>
      <c r="G197">
        <f>ISNUMBER(FIND(";noGeneralTactic;",";"&amp;INDEX(AI_ho_so_che_do!$O$2:$O$21,MATCH($D$197,AI_ho_so_che_do!$A$2:$A$21,0))&amp;";"))</f>
        <v/>
      </c>
      <c r="H197">
        <f>IF(AI_tuong!$B$5&amp;""&lt;&gt;"",AI_tuong!$B$5,IF(AI_tuong!$B$4&amp;""&lt;&gt;"",AI_tuong!$B$4,"balanced"))</f>
        <v/>
      </c>
      <c r="I197" t="inlineStr">
        <is>
          <t>balanced</t>
        </is>
      </c>
      <c r="J197">
        <f>OR($F$197,AND(AI_ho_so_anh_xa!$B$18="mode",OR(AI_ho_so_anh_xa!$C$18="Weekly",AI_ho_so_anh_xa!$C$18="Operation")))</f>
        <v/>
      </c>
      <c r="K197" t="b">
        <v>0</v>
      </c>
      <c r="L197">
        <f>IF($J$197,$H$197,"balanced")</f>
        <v/>
      </c>
      <c r="M197" t="inlineStr">
        <is>
          <t>balanced</t>
        </is>
      </c>
      <c r="N197">
        <f>IF(OR($E$197="",$G$197),"balanced",IF(OR($E$197="*",ISNUMBER(FIND(";"&amp;$L$197&amp;";",";"&amp;$E$197&amp;";"))),$L$197,IF(ISNUMBER(FIND(";"&amp;"balanced"&amp;";",";"&amp;$E$197&amp;";")),"balanced",LEFT($E$197,FIND(";",$E$197&amp;";")-1))))</f>
        <v/>
      </c>
      <c r="O197" t="inlineStr">
        <is>
          <t>balanced</t>
        </is>
      </c>
      <c r="P197">
        <f>IF(OR($E$197="",$G$197),"KHONG_CHIEN_THUAT",IF(NOT($J$197),IF($H$197="balanced","GIU","CHE_DO_BO_QUA"),IF($N$197=$H$197,"GIU","HO_SO_GHI_DE")))</f>
        <v/>
      </c>
      <c r="Q197" t="inlineStr">
        <is>
          <t>Sim/AI/ConquestAi.P28.cs TickLayered + Sim/AI/Commander.cs AllowedTactic (mode.BossRush, hung)</t>
        </is>
      </c>
      <c r="R197" t="inlineStr"/>
    </row>
    <row r="198">
      <c r="A198" t="inlineStr">
        <is>
          <t>mode.BossRush/kessler</t>
        </is>
      </c>
      <c r="B198" t="inlineStr">
        <is>
          <t>mode.BossRush</t>
        </is>
      </c>
      <c r="C198" t="inlineStr">
        <is>
          <t>kessler</t>
        </is>
      </c>
      <c r="D198">
        <f>AI_ho_so_anh_xa!$D$18</f>
        <v/>
      </c>
      <c r="E198">
        <f>INDEX(AI_ho_so_che_do!$B$2:$B$21,MATCH($D$198,AI_ho_so_che_do!$A$2:$A$21,0))&amp;""</f>
        <v/>
      </c>
      <c r="F198">
        <f>INDEX(AI_ho_so_che_do!$P$2:$P$21,MATCH($D$198,AI_ho_so_che_do!$A$2:$A$21,0))=TRUE</f>
        <v/>
      </c>
      <c r="G198">
        <f>ISNUMBER(FIND(";noGeneralTactic;",";"&amp;INDEX(AI_ho_so_che_do!$O$2:$O$21,MATCH($D$198,AI_ho_so_che_do!$A$2:$A$21,0))&amp;";"))</f>
        <v/>
      </c>
      <c r="H198">
        <f>IF(AI_tuong!$B$6&amp;""&lt;&gt;"",AI_tuong!$B$6,IF(AI_tuong!$B$4&amp;""&lt;&gt;"",AI_tuong!$B$4,"balanced"))</f>
        <v/>
      </c>
      <c r="I198" t="inlineStr">
        <is>
          <t>attrition</t>
        </is>
      </c>
      <c r="J198">
        <f>OR($F$198,AND(AI_ho_so_anh_xa!$B$18="mode",OR(AI_ho_so_anh_xa!$C$18="Weekly",AI_ho_so_anh_xa!$C$18="Operation")))</f>
        <v/>
      </c>
      <c r="K198" t="b">
        <v>0</v>
      </c>
      <c r="L198">
        <f>IF($J$198,$H$198,"balanced")</f>
        <v/>
      </c>
      <c r="M198" t="inlineStr">
        <is>
          <t>balanced</t>
        </is>
      </c>
      <c r="N198">
        <f>IF(OR($E$198="",$G$198),"balanced",IF(OR($E$198="*",ISNUMBER(FIND(";"&amp;$L$198&amp;";",";"&amp;$E$198&amp;";"))),$L$198,IF(ISNUMBER(FIND(";"&amp;"balanced"&amp;";",";"&amp;$E$198&amp;";")),"balanced",LEFT($E$198,FIND(";",$E$198&amp;";")-1))))</f>
        <v/>
      </c>
      <c r="O198" t="inlineStr">
        <is>
          <t>balanced</t>
        </is>
      </c>
      <c r="P198">
        <f>IF(OR($E$198="",$G$198),"KHONG_CHIEN_THUAT",IF(NOT($J$198),IF($H$198="balanced","GIU","CHE_DO_BO_QUA"),IF($N$198=$H$198,"GIU","HO_SO_GHI_DE")))</f>
        <v/>
      </c>
      <c r="Q198" t="inlineStr">
        <is>
          <t>Sim/AI/ConquestAi.P28.cs TickLayered + Sim/AI/Commander.cs AllowedTactic (mode.BossRush, kessler)</t>
        </is>
      </c>
      <c r="R198" t="inlineStr"/>
    </row>
    <row r="199">
      <c r="A199" t="inlineStr">
        <is>
          <t>mode.BossRush/orlov</t>
        </is>
      </c>
      <c r="B199" t="inlineStr">
        <is>
          <t>mode.BossRush</t>
        </is>
      </c>
      <c r="C199" t="inlineStr">
        <is>
          <t>orlov</t>
        </is>
      </c>
      <c r="D199">
        <f>AI_ho_so_anh_xa!$D$18</f>
        <v/>
      </c>
      <c r="E199">
        <f>INDEX(AI_ho_so_che_do!$B$2:$B$21,MATCH($D$199,AI_ho_so_che_do!$A$2:$A$21,0))&amp;""</f>
        <v/>
      </c>
      <c r="F199">
        <f>INDEX(AI_ho_so_che_do!$P$2:$P$21,MATCH($D$199,AI_ho_so_che_do!$A$2:$A$21,0))=TRUE</f>
        <v/>
      </c>
      <c r="G199">
        <f>ISNUMBER(FIND(";noGeneralTactic;",";"&amp;INDEX(AI_ho_so_che_do!$O$2:$O$21,MATCH($D$199,AI_ho_so_che_do!$A$2:$A$21,0))&amp;";"))</f>
        <v/>
      </c>
      <c r="H199">
        <f>IF(AI_tuong!$B$7&amp;""&lt;&gt;"",AI_tuong!$B$7,IF(AI_tuong!$B$4&amp;""&lt;&gt;"",AI_tuong!$B$4,"balanced"))</f>
        <v/>
      </c>
      <c r="I199" t="inlineStr">
        <is>
          <t>firepower</t>
        </is>
      </c>
      <c r="J199">
        <f>OR($F$199,AND(AI_ho_so_anh_xa!$B$18="mode",OR(AI_ho_so_anh_xa!$C$18="Weekly",AI_ho_so_anh_xa!$C$18="Operation")))</f>
        <v/>
      </c>
      <c r="K199" t="b">
        <v>0</v>
      </c>
      <c r="L199">
        <f>IF($J$199,$H$199,"balanced")</f>
        <v/>
      </c>
      <c r="M199" t="inlineStr">
        <is>
          <t>balanced</t>
        </is>
      </c>
      <c r="N199">
        <f>IF(OR($E$199="",$G$199),"balanced",IF(OR($E$199="*",ISNUMBER(FIND(";"&amp;$L$199&amp;";",";"&amp;$E$199&amp;";"))),$L$199,IF(ISNUMBER(FIND(";"&amp;"balanced"&amp;";",";"&amp;$E$199&amp;";")),"balanced",LEFT($E$199,FIND(";",$E$199&amp;";")-1))))</f>
        <v/>
      </c>
      <c r="O199" t="inlineStr">
        <is>
          <t>balanced</t>
        </is>
      </c>
      <c r="P199">
        <f>IF(OR($E$199="",$G$199),"KHONG_CHIEN_THUAT",IF(NOT($J$199),IF($H$199="balanced","GIU","CHE_DO_BO_QUA"),IF($N$199=$H$199,"GIU","HO_SO_GHI_DE")))</f>
        <v/>
      </c>
      <c r="Q199" t="inlineStr">
        <is>
          <t>Sim/AI/ConquestAi.P28.cs TickLayered + Sim/AI/Commander.cs AllowedTactic (mode.BossRush, orlov)</t>
        </is>
      </c>
      <c r="R199" t="inlineStr"/>
    </row>
    <row r="200">
      <c r="A200" t="inlineStr">
        <is>
          <t>mode.BossRush/quaden</t>
        </is>
      </c>
      <c r="B200" t="inlineStr">
        <is>
          <t>mode.BossRush</t>
        </is>
      </c>
      <c r="C200" t="inlineStr">
        <is>
          <t>quaden</t>
        </is>
      </c>
      <c r="D200">
        <f>AI_ho_so_anh_xa!$D$18</f>
        <v/>
      </c>
      <c r="E200">
        <f>INDEX(AI_ho_so_che_do!$B$2:$B$21,MATCH($D$200,AI_ho_so_che_do!$A$2:$A$21,0))&amp;""</f>
        <v/>
      </c>
      <c r="F200">
        <f>INDEX(AI_ho_so_che_do!$P$2:$P$21,MATCH($D$200,AI_ho_so_che_do!$A$2:$A$21,0))=TRUE</f>
        <v/>
      </c>
      <c r="G200">
        <f>ISNUMBER(FIND(";noGeneralTactic;",";"&amp;INDEX(AI_ho_so_che_do!$O$2:$O$21,MATCH($D$200,AI_ho_so_che_do!$A$2:$A$21,0))&amp;";"))</f>
        <v/>
      </c>
      <c r="H200">
        <f>IF(AI_tuong!$B$8&amp;""&lt;&gt;"",AI_tuong!$B$8,IF(AI_tuong!$B$4&amp;""&lt;&gt;"",AI_tuong!$B$4,"balanced"))</f>
        <v/>
      </c>
      <c r="I200" t="inlineStr">
        <is>
          <t>balanced</t>
        </is>
      </c>
      <c r="J200">
        <f>OR($F$200,AND(AI_ho_so_anh_xa!$B$18="mode",OR(AI_ho_so_anh_xa!$C$18="Weekly",AI_ho_so_anh_xa!$C$18="Operation")))</f>
        <v/>
      </c>
      <c r="K200" t="b">
        <v>0</v>
      </c>
      <c r="L200">
        <f>IF($J$200,$H$200,"balanced")</f>
        <v/>
      </c>
      <c r="M200" t="inlineStr">
        <is>
          <t>balanced</t>
        </is>
      </c>
      <c r="N200">
        <f>IF(OR($E$200="",$G$200),"balanced",IF(OR($E$200="*",ISNUMBER(FIND(";"&amp;$L$200&amp;";",";"&amp;$E$200&amp;";"))),$L$200,IF(ISNUMBER(FIND(";"&amp;"balanced"&amp;";",";"&amp;$E$200&amp;";")),"balanced",LEFT($E$200,FIND(";",$E$200&amp;";")-1))))</f>
        <v/>
      </c>
      <c r="O200" t="inlineStr">
        <is>
          <t>balanced</t>
        </is>
      </c>
      <c r="P200">
        <f>IF(OR($E$200="",$G$200),"KHONG_CHIEN_THUAT",IF(NOT($J$200),IF($H$200="balanced","GIU","CHE_DO_BO_QUA"),IF($N$200=$H$200,"GIU","HO_SO_GHI_DE")))</f>
        <v/>
      </c>
      <c r="Q200" t="inlineStr">
        <is>
          <t>Sim/AI/ConquestAi.P28.cs TickLayered + Sim/AI/Commander.cs AllowedTactic (mode.BossRush, quaden)</t>
        </is>
      </c>
      <c r="R200" t="inlineStr"/>
    </row>
    <row r="201">
      <c r="A201" t="inlineStr">
        <is>
          <t>mode.BossRush/sen</t>
        </is>
      </c>
      <c r="B201" t="inlineStr">
        <is>
          <t>mode.BossRush</t>
        </is>
      </c>
      <c r="C201" t="inlineStr">
        <is>
          <t>sen</t>
        </is>
      </c>
      <c r="D201">
        <f>AI_ho_so_anh_xa!$D$18</f>
        <v/>
      </c>
      <c r="E201">
        <f>INDEX(AI_ho_so_che_do!$B$2:$B$21,MATCH($D$201,AI_ho_so_che_do!$A$2:$A$21,0))&amp;""</f>
        <v/>
      </c>
      <c r="F201">
        <f>INDEX(AI_ho_so_che_do!$P$2:$P$21,MATCH($D$201,AI_ho_so_che_do!$A$2:$A$21,0))=TRUE</f>
        <v/>
      </c>
      <c r="G201">
        <f>ISNUMBER(FIND(";noGeneralTactic;",";"&amp;INDEX(AI_ho_so_che_do!$O$2:$O$21,MATCH($D$201,AI_ho_so_che_do!$A$2:$A$21,0))&amp;";"))</f>
        <v/>
      </c>
      <c r="H201">
        <f>IF(AI_tuong!$B$9&amp;""&lt;&gt;"",AI_tuong!$B$9,IF(AI_tuong!$B$4&amp;""&lt;&gt;"",AI_tuong!$B$4,"balanced"))</f>
        <v/>
      </c>
      <c r="I201" t="inlineStr">
        <is>
          <t>balanced</t>
        </is>
      </c>
      <c r="J201">
        <f>OR($F$201,AND(AI_ho_so_anh_xa!$B$18="mode",OR(AI_ho_so_anh_xa!$C$18="Weekly",AI_ho_so_anh_xa!$C$18="Operation")))</f>
        <v/>
      </c>
      <c r="K201" t="b">
        <v>0</v>
      </c>
      <c r="L201">
        <f>IF($J$201,$H$201,"balanced")</f>
        <v/>
      </c>
      <c r="M201" t="inlineStr">
        <is>
          <t>balanced</t>
        </is>
      </c>
      <c r="N201">
        <f>IF(OR($E$201="",$G$201),"balanced",IF(OR($E$201="*",ISNUMBER(FIND(";"&amp;$L$201&amp;";",";"&amp;$E$201&amp;";"))),$L$201,IF(ISNUMBER(FIND(";"&amp;"balanced"&amp;";",";"&amp;$E$201&amp;";")),"balanced",LEFT($E$201,FIND(";",$E$201&amp;";")-1))))</f>
        <v/>
      </c>
      <c r="O201" t="inlineStr">
        <is>
          <t>balanced</t>
        </is>
      </c>
      <c r="P201">
        <f>IF(OR($E$201="",$G$201),"KHONG_CHIEN_THUAT",IF(NOT($J$201),IF($H$201="balanced","GIU","CHE_DO_BO_QUA"),IF($N$201=$H$201,"GIU","HO_SO_GHI_DE")))</f>
        <v/>
      </c>
      <c r="Q201" t="inlineStr">
        <is>
          <t>Sim/AI/ConquestAi.P28.cs TickLayered + Sim/AI/Commander.cs AllowedTactic (mode.BossRush, sen)</t>
        </is>
      </c>
      <c r="R201" t="inlineStr"/>
    </row>
    <row r="202">
      <c r="A202" t="inlineStr">
        <is>
          <t>mode.BossRush/thorne</t>
        </is>
      </c>
      <c r="B202" t="inlineStr">
        <is>
          <t>mode.BossRush</t>
        </is>
      </c>
      <c r="C202" t="inlineStr">
        <is>
          <t>thorne</t>
        </is>
      </c>
      <c r="D202">
        <f>AI_ho_so_anh_xa!$D$18</f>
        <v/>
      </c>
      <c r="E202">
        <f>INDEX(AI_ho_so_che_do!$B$2:$B$21,MATCH($D$202,AI_ho_so_che_do!$A$2:$A$21,0))&amp;""</f>
        <v/>
      </c>
      <c r="F202">
        <f>INDEX(AI_ho_so_che_do!$P$2:$P$21,MATCH($D$202,AI_ho_so_che_do!$A$2:$A$21,0))=TRUE</f>
        <v/>
      </c>
      <c r="G202">
        <f>ISNUMBER(FIND(";noGeneralTactic;",";"&amp;INDEX(AI_ho_so_che_do!$O$2:$O$21,MATCH($D$202,AI_ho_so_che_do!$A$2:$A$21,0))&amp;";"))</f>
        <v/>
      </c>
      <c r="H202">
        <f>IF(AI_tuong!$B$10&amp;""&lt;&gt;"",AI_tuong!$B$10,IF(AI_tuong!$B$4&amp;""&lt;&gt;"",AI_tuong!$B$4,"balanced"))</f>
        <v/>
      </c>
      <c r="I202" t="inlineStr">
        <is>
          <t>balanced</t>
        </is>
      </c>
      <c r="J202">
        <f>OR($F$202,AND(AI_ho_so_anh_xa!$B$18="mode",OR(AI_ho_so_anh_xa!$C$18="Weekly",AI_ho_so_anh_xa!$C$18="Operation")))</f>
        <v/>
      </c>
      <c r="K202" t="b">
        <v>0</v>
      </c>
      <c r="L202">
        <f>IF($J$202,$H$202,"balanced")</f>
        <v/>
      </c>
      <c r="M202" t="inlineStr">
        <is>
          <t>balanced</t>
        </is>
      </c>
      <c r="N202">
        <f>IF(OR($E$202="",$G$202),"balanced",IF(OR($E$202="*",ISNUMBER(FIND(";"&amp;$L$202&amp;";",";"&amp;$E$202&amp;";"))),$L$202,IF(ISNUMBER(FIND(";"&amp;"balanced"&amp;";",";"&amp;$E$202&amp;";")),"balanced",LEFT($E$202,FIND(";",$E$202&amp;";")-1))))</f>
        <v/>
      </c>
      <c r="O202" t="inlineStr">
        <is>
          <t>balanced</t>
        </is>
      </c>
      <c r="P202">
        <f>IF(OR($E$202="",$G$202),"KHONG_CHIEN_THUAT",IF(NOT($J$202),IF($H$202="balanced","GIU","CHE_DO_BO_QUA"),IF($N$202=$H$202,"GIU","HO_SO_GHI_DE")))</f>
        <v/>
      </c>
      <c r="Q202" t="inlineStr">
        <is>
          <t>Sim/AI/ConquestAi.P28.cs TickLayered + Sim/AI/Commander.cs AllowedTactic (mode.BossRush, thorne)</t>
        </is>
      </c>
      <c r="R202" t="inlineStr"/>
    </row>
    <row r="203">
      <c r="A203" t="inlineStr">
        <is>
          <t>mode.BossRush/varga</t>
        </is>
      </c>
      <c r="B203" t="inlineStr">
        <is>
          <t>mode.BossRush</t>
        </is>
      </c>
      <c r="C203" t="inlineStr">
        <is>
          <t>varga</t>
        </is>
      </c>
      <c r="D203">
        <f>AI_ho_so_anh_xa!$D$18</f>
        <v/>
      </c>
      <c r="E203">
        <f>INDEX(AI_ho_so_che_do!$B$2:$B$21,MATCH($D$203,AI_ho_so_che_do!$A$2:$A$21,0))&amp;""</f>
        <v/>
      </c>
      <c r="F203">
        <f>INDEX(AI_ho_so_che_do!$P$2:$P$21,MATCH($D$203,AI_ho_so_che_do!$A$2:$A$21,0))=TRUE</f>
        <v/>
      </c>
      <c r="G203">
        <f>ISNUMBER(FIND(";noGeneralTactic;",";"&amp;INDEX(AI_ho_so_che_do!$O$2:$O$21,MATCH($D$203,AI_ho_so_che_do!$A$2:$A$21,0))&amp;";"))</f>
        <v/>
      </c>
      <c r="H203">
        <f>IF(AI_tuong!$B$11&amp;""&lt;&gt;"",AI_tuong!$B$11,IF(AI_tuong!$B$4&amp;""&lt;&gt;"",AI_tuong!$B$4,"balanced"))</f>
        <v/>
      </c>
      <c r="I203" t="inlineStr">
        <is>
          <t>breakthrough</t>
        </is>
      </c>
      <c r="J203">
        <f>OR($F$203,AND(AI_ho_so_anh_xa!$B$18="mode",OR(AI_ho_so_anh_xa!$C$18="Weekly",AI_ho_so_anh_xa!$C$18="Operation")))</f>
        <v/>
      </c>
      <c r="K203" t="b">
        <v>0</v>
      </c>
      <c r="L203">
        <f>IF($J$203,$H$203,"balanced")</f>
        <v/>
      </c>
      <c r="M203" t="inlineStr">
        <is>
          <t>balanced</t>
        </is>
      </c>
      <c r="N203">
        <f>IF(OR($E$203="",$G$203),"balanced",IF(OR($E$203="*",ISNUMBER(FIND(";"&amp;$L$203&amp;";",";"&amp;$E$203&amp;";"))),$L$203,IF(ISNUMBER(FIND(";"&amp;"balanced"&amp;";",";"&amp;$E$203&amp;";")),"balanced",LEFT($E$203,FIND(";",$E$203&amp;";")-1))))</f>
        <v/>
      </c>
      <c r="O203" t="inlineStr">
        <is>
          <t>balanced</t>
        </is>
      </c>
      <c r="P203">
        <f>IF(OR($E$203="",$G$203),"KHONG_CHIEN_THUAT",IF(NOT($J$203),IF($H$203="balanced","GIU","CHE_DO_BO_QUA"),IF($N$203=$H$203,"GIU","HO_SO_GHI_DE")))</f>
        <v/>
      </c>
      <c r="Q203" t="inlineStr">
        <is>
          <t>Sim/AI/ConquestAi.P28.cs TickLayered + Sim/AI/Commander.cs AllowedTactic (mode.BossRush, varga)</t>
        </is>
      </c>
      <c r="R203" t="inlineStr"/>
    </row>
    <row r="204">
      <c r="A204" t="inlineStr">
        <is>
          <t>mode.BossRush/venn</t>
        </is>
      </c>
      <c r="B204" t="inlineStr">
        <is>
          <t>mode.BossRush</t>
        </is>
      </c>
      <c r="C204" t="inlineStr">
        <is>
          <t>venn</t>
        </is>
      </c>
      <c r="D204">
        <f>AI_ho_so_anh_xa!$D$18</f>
        <v/>
      </c>
      <c r="E204">
        <f>INDEX(AI_ho_so_che_do!$B$2:$B$21,MATCH($D$204,AI_ho_so_che_do!$A$2:$A$21,0))&amp;""</f>
        <v/>
      </c>
      <c r="F204">
        <f>INDEX(AI_ho_so_che_do!$P$2:$P$21,MATCH($D$204,AI_ho_so_che_do!$A$2:$A$21,0))=TRUE</f>
        <v/>
      </c>
      <c r="G204">
        <f>ISNUMBER(FIND(";noGeneralTactic;",";"&amp;INDEX(AI_ho_so_che_do!$O$2:$O$21,MATCH($D$204,AI_ho_so_che_do!$A$2:$A$21,0))&amp;";"))</f>
        <v/>
      </c>
      <c r="H204">
        <f>IF(AI_tuong!$B$12&amp;""&lt;&gt;"",AI_tuong!$B$12,IF(AI_tuong!$B$4&amp;""&lt;&gt;"",AI_tuong!$B$4,"balanced"))</f>
        <v/>
      </c>
      <c r="I204" t="inlineStr">
        <is>
          <t>dispersal</t>
        </is>
      </c>
      <c r="J204">
        <f>OR($F$204,AND(AI_ho_so_anh_xa!$B$18="mode",OR(AI_ho_so_anh_xa!$C$18="Weekly",AI_ho_so_anh_xa!$C$18="Operation")))</f>
        <v/>
      </c>
      <c r="K204" t="b">
        <v>0</v>
      </c>
      <c r="L204">
        <f>IF($J$204,$H$204,"balanced")</f>
        <v/>
      </c>
      <c r="M204" t="inlineStr">
        <is>
          <t>balanced</t>
        </is>
      </c>
      <c r="N204">
        <f>IF(OR($E$204="",$G$204),"balanced",IF(OR($E$204="*",ISNUMBER(FIND(";"&amp;$L$204&amp;";",";"&amp;$E$204&amp;";"))),$L$204,IF(ISNUMBER(FIND(";"&amp;"balanced"&amp;";",";"&amp;$E$204&amp;";")),"balanced",LEFT($E$204,FIND(";",$E$204&amp;";")-1))))</f>
        <v/>
      </c>
      <c r="O204" t="inlineStr">
        <is>
          <t>balanced</t>
        </is>
      </c>
      <c r="P204">
        <f>IF(OR($E$204="",$G$204),"KHONG_CHIEN_THUAT",IF(NOT($J$204),IF($H$204="balanced","GIU","CHE_DO_BO_QUA"),IF($N$204=$H$204,"GIU","HO_SO_GHI_DE")))</f>
        <v/>
      </c>
      <c r="Q204" t="inlineStr">
        <is>
          <t>Sim/AI/ConquestAi.P28.cs TickLayered + Sim/AI/Commander.cs AllowedTactic (mode.BossRush, venn)</t>
        </is>
      </c>
      <c r="R204" t="inlineStr"/>
    </row>
    <row r="205">
      <c r="A205" t="inlineStr">
        <is>
          <t>mode.BossRush/wolff</t>
        </is>
      </c>
      <c r="B205" t="inlineStr">
        <is>
          <t>mode.BossRush</t>
        </is>
      </c>
      <c r="C205" t="inlineStr">
        <is>
          <t>wolff</t>
        </is>
      </c>
      <c r="D205">
        <f>AI_ho_so_anh_xa!$D$18</f>
        <v/>
      </c>
      <c r="E205">
        <f>INDEX(AI_ho_so_che_do!$B$2:$B$21,MATCH($D$205,AI_ho_so_che_do!$A$2:$A$21,0))&amp;""</f>
        <v/>
      </c>
      <c r="F205">
        <f>INDEX(AI_ho_so_che_do!$P$2:$P$21,MATCH($D$205,AI_ho_so_che_do!$A$2:$A$21,0))=TRUE</f>
        <v/>
      </c>
      <c r="G205">
        <f>ISNUMBER(FIND(";noGeneralTactic;",";"&amp;INDEX(AI_ho_so_che_do!$O$2:$O$21,MATCH($D$205,AI_ho_so_che_do!$A$2:$A$21,0))&amp;";"))</f>
        <v/>
      </c>
      <c r="H205">
        <f>IF(AI_tuong!$B$13&amp;""&lt;&gt;"",AI_tuong!$B$13,IF(AI_tuong!$B$4&amp;""&lt;&gt;"",AI_tuong!$B$4,"balanced"))</f>
        <v/>
      </c>
      <c r="I205" t="inlineStr">
        <is>
          <t>air_superiority</t>
        </is>
      </c>
      <c r="J205">
        <f>OR($F$205,AND(AI_ho_so_anh_xa!$B$18="mode",OR(AI_ho_so_anh_xa!$C$18="Weekly",AI_ho_so_anh_xa!$C$18="Operation")))</f>
        <v/>
      </c>
      <c r="K205" t="b">
        <v>0</v>
      </c>
      <c r="L205">
        <f>IF($J$205,$H$205,"balanced")</f>
        <v/>
      </c>
      <c r="M205" t="inlineStr">
        <is>
          <t>balanced</t>
        </is>
      </c>
      <c r="N205">
        <f>IF(OR($E$205="",$G$205),"balanced",IF(OR($E$205="*",ISNUMBER(FIND(";"&amp;$L$205&amp;";",";"&amp;$E$205&amp;";"))),$L$205,IF(ISNUMBER(FIND(";"&amp;"balanced"&amp;";",";"&amp;$E$205&amp;";")),"balanced",LEFT($E$205,FIND(";",$E$205&amp;";")-1))))</f>
        <v/>
      </c>
      <c r="O205" t="inlineStr">
        <is>
          <t>balanced</t>
        </is>
      </c>
      <c r="P205">
        <f>IF(OR($E$205="",$G$205),"KHONG_CHIEN_THUAT",IF(NOT($J$205),IF($H$205="balanced","GIU","CHE_DO_BO_QUA"),IF($N$205=$H$205,"GIU","HO_SO_GHI_DE")))</f>
        <v/>
      </c>
      <c r="Q205" t="inlineStr">
        <is>
          <t>Sim/AI/ConquestAi.P28.cs TickLayered + Sim/AI/Commander.cs AllowedTactic (mode.BossRush, wolff)</t>
        </is>
      </c>
      <c r="R205" t="inlineStr"/>
    </row>
    <row r="206">
      <c r="A206" t="inlineStr">
        <is>
          <t>mode.Conquest/aurel</t>
        </is>
      </c>
      <c r="B206" t="inlineStr">
        <is>
          <t>mode.Conquest</t>
        </is>
      </c>
      <c r="C206" t="inlineStr">
        <is>
          <t>aurel</t>
        </is>
      </c>
      <c r="D206">
        <f>AI_ho_so_anh_xa!$D$19</f>
        <v/>
      </c>
      <c r="E206">
        <f>INDEX(AI_ho_so_che_do!$B$2:$B$21,MATCH($D$206,AI_ho_so_che_do!$A$2:$A$21,0))&amp;""</f>
        <v/>
      </c>
      <c r="F206">
        <f>INDEX(AI_ho_so_che_do!$P$2:$P$21,MATCH($D$206,AI_ho_so_che_do!$A$2:$A$21,0))=TRUE</f>
        <v/>
      </c>
      <c r="G206">
        <f>ISNUMBER(FIND(";noGeneralTactic;",";"&amp;INDEX(AI_ho_so_che_do!$O$2:$O$21,MATCH($D$206,AI_ho_so_che_do!$A$2:$A$21,0))&amp;";"))</f>
        <v/>
      </c>
      <c r="H206">
        <f>IF(AI_tuong!$B$2&amp;""&lt;&gt;"",AI_tuong!$B$2,IF(AI_tuong!$B$4&amp;""&lt;&gt;"",AI_tuong!$B$4,"balanced"))</f>
        <v/>
      </c>
      <c r="I206" t="inlineStr">
        <is>
          <t>all_out</t>
        </is>
      </c>
      <c r="J206">
        <f>OR($F$206,AND(AI_ho_so_anh_xa!$B$19="mode",OR(AI_ho_so_anh_xa!$C$19="Weekly",AI_ho_so_anh_xa!$C$19="Operation")))</f>
        <v/>
      </c>
      <c r="K206" t="b">
        <v>0</v>
      </c>
      <c r="L206">
        <f>IF($J$206,$H$206,"balanced")</f>
        <v/>
      </c>
      <c r="M206" t="inlineStr">
        <is>
          <t>balanced</t>
        </is>
      </c>
      <c r="N206">
        <f>IF(OR($E$206="",$G$206),"balanced",IF(OR($E$206="*",ISNUMBER(FIND(";"&amp;$L$206&amp;";",";"&amp;$E$206&amp;";"))),$L$206,IF(ISNUMBER(FIND(";"&amp;"balanced"&amp;";",";"&amp;$E$206&amp;";")),"balanced",LEFT($E$206,FIND(";",$E$206&amp;";")-1))))</f>
        <v/>
      </c>
      <c r="O206" t="inlineStr">
        <is>
          <t>balanced</t>
        </is>
      </c>
      <c r="P206">
        <f>IF(OR($E$206="",$G$206),"KHONG_CHIEN_THUAT",IF(NOT($J$206),IF($H$206="balanced","GIU","CHE_DO_BO_QUA"),IF($N$206=$H$206,"GIU","HO_SO_GHI_DE")))</f>
        <v/>
      </c>
      <c r="Q206" t="inlineStr">
        <is>
          <t>Sim/AI/ConquestAi.P28.cs TickLayered + Sim/AI/Commander.cs AllowedTactic (mode.Conquest, aurel)</t>
        </is>
      </c>
      <c r="R206" t="inlineStr"/>
    </row>
    <row r="207">
      <c r="A207" t="inlineStr">
        <is>
          <t>mode.Conquest/brandt</t>
        </is>
      </c>
      <c r="B207" t="inlineStr">
        <is>
          <t>mode.Conquest</t>
        </is>
      </c>
      <c r="C207" t="inlineStr">
        <is>
          <t>brandt</t>
        </is>
      </c>
      <c r="D207">
        <f>AI_ho_so_anh_xa!$D$19</f>
        <v/>
      </c>
      <c r="E207">
        <f>INDEX(AI_ho_so_che_do!$B$2:$B$21,MATCH($D$207,AI_ho_so_che_do!$A$2:$A$21,0))&amp;""</f>
        <v/>
      </c>
      <c r="F207">
        <f>INDEX(AI_ho_so_che_do!$P$2:$P$21,MATCH($D$207,AI_ho_so_che_do!$A$2:$A$21,0))=TRUE</f>
        <v/>
      </c>
      <c r="G207">
        <f>ISNUMBER(FIND(";noGeneralTactic;",";"&amp;INDEX(AI_ho_so_che_do!$O$2:$O$21,MATCH($D$207,AI_ho_so_che_do!$A$2:$A$21,0))&amp;";"))</f>
        <v/>
      </c>
      <c r="H207">
        <f>IF(AI_tuong!$B$3&amp;""&lt;&gt;"",AI_tuong!$B$3,IF(AI_tuong!$B$4&amp;""&lt;&gt;"",AI_tuong!$B$4,"balanced"))</f>
        <v/>
      </c>
      <c r="I207" t="inlineStr">
        <is>
          <t>depth</t>
        </is>
      </c>
      <c r="J207">
        <f>OR($F$207,AND(AI_ho_so_anh_xa!$B$19="mode",OR(AI_ho_so_anh_xa!$C$19="Weekly",AI_ho_so_anh_xa!$C$19="Operation")))</f>
        <v/>
      </c>
      <c r="K207" t="b">
        <v>0</v>
      </c>
      <c r="L207">
        <f>IF($J$207,$H$207,"balanced")</f>
        <v/>
      </c>
      <c r="M207" t="inlineStr">
        <is>
          <t>balanced</t>
        </is>
      </c>
      <c r="N207">
        <f>IF(OR($E$207="",$G$207),"balanced",IF(OR($E$207="*",ISNUMBER(FIND(";"&amp;$L$207&amp;";",";"&amp;$E$207&amp;";"))),$L$207,IF(ISNUMBER(FIND(";"&amp;"balanced"&amp;";",";"&amp;$E$207&amp;";")),"balanced",LEFT($E$207,FIND(";",$E$207&amp;";")-1))))</f>
        <v/>
      </c>
      <c r="O207" t="inlineStr">
        <is>
          <t>balanced</t>
        </is>
      </c>
      <c r="P207">
        <f>IF(OR($E$207="",$G$207),"KHONG_CHIEN_THUAT",IF(NOT($J$207),IF($H$207="balanced","GIU","CHE_DO_BO_QUA"),IF($N$207=$H$207,"GIU","HO_SO_GHI_DE")))</f>
        <v/>
      </c>
      <c r="Q207" t="inlineStr">
        <is>
          <t>Sim/AI/ConquestAi.P28.cs TickLayered + Sim/AI/Commander.cs AllowedTactic (mode.Conquest, brandt)</t>
        </is>
      </c>
      <c r="R207" t="inlineStr"/>
    </row>
    <row r="208">
      <c r="A208" t="inlineStr">
        <is>
          <t>mode.Conquest/default</t>
        </is>
      </c>
      <c r="B208" t="inlineStr">
        <is>
          <t>mode.Conquest</t>
        </is>
      </c>
      <c r="C208" t="inlineStr">
        <is>
          <t>default</t>
        </is>
      </c>
      <c r="D208">
        <f>AI_ho_so_anh_xa!$D$19</f>
        <v/>
      </c>
      <c r="E208">
        <f>INDEX(AI_ho_so_che_do!$B$2:$B$21,MATCH($D$208,AI_ho_so_che_do!$A$2:$A$21,0))&amp;""</f>
        <v/>
      </c>
      <c r="F208">
        <f>INDEX(AI_ho_so_che_do!$P$2:$P$21,MATCH($D$208,AI_ho_so_che_do!$A$2:$A$21,0))=TRUE</f>
        <v/>
      </c>
      <c r="G208">
        <f>ISNUMBER(FIND(";noGeneralTactic;",";"&amp;INDEX(AI_ho_so_che_do!$O$2:$O$21,MATCH($D$208,AI_ho_so_che_do!$A$2:$A$21,0))&amp;";"))</f>
        <v/>
      </c>
      <c r="H208">
        <f>IF(AI_tuong!$B$4&amp;""&lt;&gt;"",AI_tuong!$B$4,IF(AI_tuong!$B$4&amp;""&lt;&gt;"",AI_tuong!$B$4,"balanced"))</f>
        <v/>
      </c>
      <c r="I208" t="inlineStr">
        <is>
          <t>balanced</t>
        </is>
      </c>
      <c r="J208">
        <f>OR($F$208,AND(AI_ho_so_anh_xa!$B$19="mode",OR(AI_ho_so_anh_xa!$C$19="Weekly",AI_ho_so_anh_xa!$C$19="Operation")))</f>
        <v/>
      </c>
      <c r="K208" t="b">
        <v>0</v>
      </c>
      <c r="L208">
        <f>IF($J$208,$H$208,"balanced")</f>
        <v/>
      </c>
      <c r="M208" t="inlineStr">
        <is>
          <t>balanced</t>
        </is>
      </c>
      <c r="N208">
        <f>IF(OR($E$208="",$G$208),"balanced",IF(OR($E$208="*",ISNUMBER(FIND(";"&amp;$L$208&amp;";",";"&amp;$E$208&amp;";"))),$L$208,IF(ISNUMBER(FIND(";"&amp;"balanced"&amp;";",";"&amp;$E$208&amp;";")),"balanced",LEFT($E$208,FIND(";",$E$208&amp;";")-1))))</f>
        <v/>
      </c>
      <c r="O208" t="inlineStr">
        <is>
          <t>balanced</t>
        </is>
      </c>
      <c r="P208">
        <f>IF(OR($E$208="",$G$208),"KHONG_CHIEN_THUAT",IF(NOT($J$208),IF($H$208="balanced","GIU","CHE_DO_BO_QUA"),IF($N$208=$H$208,"GIU","HO_SO_GHI_DE")))</f>
        <v/>
      </c>
      <c r="Q208" t="inlineStr">
        <is>
          <t>Sim/AI/ConquestAi.P28.cs TickLayered + Sim/AI/Commander.cs AllowedTactic (mode.Conquest, default)</t>
        </is>
      </c>
      <c r="R208" t="inlineStr"/>
    </row>
    <row r="209">
      <c r="A209" t="inlineStr">
        <is>
          <t>mode.Conquest/hung</t>
        </is>
      </c>
      <c r="B209" t="inlineStr">
        <is>
          <t>mode.Conquest</t>
        </is>
      </c>
      <c r="C209" t="inlineStr">
        <is>
          <t>hung</t>
        </is>
      </c>
      <c r="D209">
        <f>AI_ho_so_anh_xa!$D$19</f>
        <v/>
      </c>
      <c r="E209">
        <f>INDEX(AI_ho_so_che_do!$B$2:$B$21,MATCH($D$209,AI_ho_so_che_do!$A$2:$A$21,0))&amp;""</f>
        <v/>
      </c>
      <c r="F209">
        <f>INDEX(AI_ho_so_che_do!$P$2:$P$21,MATCH($D$209,AI_ho_so_che_do!$A$2:$A$21,0))=TRUE</f>
        <v/>
      </c>
      <c r="G209">
        <f>ISNUMBER(FIND(";noGeneralTactic;",";"&amp;INDEX(AI_ho_so_che_do!$O$2:$O$21,MATCH($D$209,AI_ho_so_che_do!$A$2:$A$21,0))&amp;";"))</f>
        <v/>
      </c>
      <c r="H209">
        <f>IF(AI_tuong!$B$5&amp;""&lt;&gt;"",AI_tuong!$B$5,IF(AI_tuong!$B$4&amp;""&lt;&gt;"",AI_tuong!$B$4,"balanced"))</f>
        <v/>
      </c>
      <c r="I209" t="inlineStr">
        <is>
          <t>balanced</t>
        </is>
      </c>
      <c r="J209">
        <f>OR($F$209,AND(AI_ho_so_anh_xa!$B$19="mode",OR(AI_ho_so_anh_xa!$C$19="Weekly",AI_ho_so_anh_xa!$C$19="Operation")))</f>
        <v/>
      </c>
      <c r="K209" t="b">
        <v>0</v>
      </c>
      <c r="L209">
        <f>IF($J$209,$H$209,"balanced")</f>
        <v/>
      </c>
      <c r="M209" t="inlineStr">
        <is>
          <t>balanced</t>
        </is>
      </c>
      <c r="N209">
        <f>IF(OR($E$209="",$G$209),"balanced",IF(OR($E$209="*",ISNUMBER(FIND(";"&amp;$L$209&amp;";",";"&amp;$E$209&amp;";"))),$L$209,IF(ISNUMBER(FIND(";"&amp;"balanced"&amp;";",";"&amp;$E$209&amp;";")),"balanced",LEFT($E$209,FIND(";",$E$209&amp;";")-1))))</f>
        <v/>
      </c>
      <c r="O209" t="inlineStr">
        <is>
          <t>balanced</t>
        </is>
      </c>
      <c r="P209">
        <f>IF(OR($E$209="",$G$209),"KHONG_CHIEN_THUAT",IF(NOT($J$209),IF($H$209="balanced","GIU","CHE_DO_BO_QUA"),IF($N$209=$H$209,"GIU","HO_SO_GHI_DE")))</f>
        <v/>
      </c>
      <c r="Q209" t="inlineStr">
        <is>
          <t>Sim/AI/ConquestAi.P28.cs TickLayered + Sim/AI/Commander.cs AllowedTactic (mode.Conquest, hung)</t>
        </is>
      </c>
      <c r="R209" t="inlineStr"/>
    </row>
    <row r="210">
      <c r="A210" t="inlineStr">
        <is>
          <t>mode.Conquest/kessler</t>
        </is>
      </c>
      <c r="B210" t="inlineStr">
        <is>
          <t>mode.Conquest</t>
        </is>
      </c>
      <c r="C210" t="inlineStr">
        <is>
          <t>kessler</t>
        </is>
      </c>
      <c r="D210">
        <f>AI_ho_so_anh_xa!$D$19</f>
        <v/>
      </c>
      <c r="E210">
        <f>INDEX(AI_ho_so_che_do!$B$2:$B$21,MATCH($D$210,AI_ho_so_che_do!$A$2:$A$21,0))&amp;""</f>
        <v/>
      </c>
      <c r="F210">
        <f>INDEX(AI_ho_so_che_do!$P$2:$P$21,MATCH($D$210,AI_ho_so_che_do!$A$2:$A$21,0))=TRUE</f>
        <v/>
      </c>
      <c r="G210">
        <f>ISNUMBER(FIND(";noGeneralTactic;",";"&amp;INDEX(AI_ho_so_che_do!$O$2:$O$21,MATCH($D$210,AI_ho_so_che_do!$A$2:$A$21,0))&amp;";"))</f>
        <v/>
      </c>
      <c r="H210">
        <f>IF(AI_tuong!$B$6&amp;""&lt;&gt;"",AI_tuong!$B$6,IF(AI_tuong!$B$4&amp;""&lt;&gt;"",AI_tuong!$B$4,"balanced"))</f>
        <v/>
      </c>
      <c r="I210" t="inlineStr">
        <is>
          <t>attrition</t>
        </is>
      </c>
      <c r="J210">
        <f>OR($F$210,AND(AI_ho_so_anh_xa!$B$19="mode",OR(AI_ho_so_anh_xa!$C$19="Weekly",AI_ho_so_anh_xa!$C$19="Operation")))</f>
        <v/>
      </c>
      <c r="K210" t="b">
        <v>0</v>
      </c>
      <c r="L210">
        <f>IF($J$210,$H$210,"balanced")</f>
        <v/>
      </c>
      <c r="M210" t="inlineStr">
        <is>
          <t>balanced</t>
        </is>
      </c>
      <c r="N210">
        <f>IF(OR($E$210="",$G$210),"balanced",IF(OR($E$210="*",ISNUMBER(FIND(";"&amp;$L$210&amp;";",";"&amp;$E$210&amp;";"))),$L$210,IF(ISNUMBER(FIND(";"&amp;"balanced"&amp;";",";"&amp;$E$210&amp;";")),"balanced",LEFT($E$210,FIND(";",$E$210&amp;";")-1))))</f>
        <v/>
      </c>
      <c r="O210" t="inlineStr">
        <is>
          <t>balanced</t>
        </is>
      </c>
      <c r="P210">
        <f>IF(OR($E$210="",$G$210),"KHONG_CHIEN_THUAT",IF(NOT($J$210),IF($H$210="balanced","GIU","CHE_DO_BO_QUA"),IF($N$210=$H$210,"GIU","HO_SO_GHI_DE")))</f>
        <v/>
      </c>
      <c r="Q210" t="inlineStr">
        <is>
          <t>Sim/AI/ConquestAi.P28.cs TickLayered + Sim/AI/Commander.cs AllowedTactic (mode.Conquest, kessler)</t>
        </is>
      </c>
      <c r="R210" t="inlineStr"/>
    </row>
    <row r="211">
      <c r="A211" t="inlineStr">
        <is>
          <t>mode.Conquest/orlov</t>
        </is>
      </c>
      <c r="B211" t="inlineStr">
        <is>
          <t>mode.Conquest</t>
        </is>
      </c>
      <c r="C211" t="inlineStr">
        <is>
          <t>orlov</t>
        </is>
      </c>
      <c r="D211">
        <f>AI_ho_so_anh_xa!$D$19</f>
        <v/>
      </c>
      <c r="E211">
        <f>INDEX(AI_ho_so_che_do!$B$2:$B$21,MATCH($D$211,AI_ho_so_che_do!$A$2:$A$21,0))&amp;""</f>
        <v/>
      </c>
      <c r="F211">
        <f>INDEX(AI_ho_so_che_do!$P$2:$P$21,MATCH($D$211,AI_ho_so_che_do!$A$2:$A$21,0))=TRUE</f>
        <v/>
      </c>
      <c r="G211">
        <f>ISNUMBER(FIND(";noGeneralTactic;",";"&amp;INDEX(AI_ho_so_che_do!$O$2:$O$21,MATCH($D$211,AI_ho_so_che_do!$A$2:$A$21,0))&amp;";"))</f>
        <v/>
      </c>
      <c r="H211">
        <f>IF(AI_tuong!$B$7&amp;""&lt;&gt;"",AI_tuong!$B$7,IF(AI_tuong!$B$4&amp;""&lt;&gt;"",AI_tuong!$B$4,"balanced"))</f>
        <v/>
      </c>
      <c r="I211" t="inlineStr">
        <is>
          <t>firepower</t>
        </is>
      </c>
      <c r="J211">
        <f>OR($F$211,AND(AI_ho_so_anh_xa!$B$19="mode",OR(AI_ho_so_anh_xa!$C$19="Weekly",AI_ho_so_anh_xa!$C$19="Operation")))</f>
        <v/>
      </c>
      <c r="K211" t="b">
        <v>0</v>
      </c>
      <c r="L211">
        <f>IF($J$211,$H$211,"balanced")</f>
        <v/>
      </c>
      <c r="M211" t="inlineStr">
        <is>
          <t>balanced</t>
        </is>
      </c>
      <c r="N211">
        <f>IF(OR($E$211="",$G$211),"balanced",IF(OR($E$211="*",ISNUMBER(FIND(";"&amp;$L$211&amp;";",";"&amp;$E$211&amp;";"))),$L$211,IF(ISNUMBER(FIND(";"&amp;"balanced"&amp;";",";"&amp;$E$211&amp;";")),"balanced",LEFT($E$211,FIND(";",$E$211&amp;";")-1))))</f>
        <v/>
      </c>
      <c r="O211" t="inlineStr">
        <is>
          <t>balanced</t>
        </is>
      </c>
      <c r="P211">
        <f>IF(OR($E$211="",$G$211),"KHONG_CHIEN_THUAT",IF(NOT($J$211),IF($H$211="balanced","GIU","CHE_DO_BO_QUA"),IF($N$211=$H$211,"GIU","HO_SO_GHI_DE")))</f>
        <v/>
      </c>
      <c r="Q211" t="inlineStr">
        <is>
          <t>Sim/AI/ConquestAi.P28.cs TickLayered + Sim/AI/Commander.cs AllowedTactic (mode.Conquest, orlov)</t>
        </is>
      </c>
      <c r="R211" t="inlineStr"/>
    </row>
    <row r="212">
      <c r="A212" t="inlineStr">
        <is>
          <t>mode.Conquest/quaden</t>
        </is>
      </c>
      <c r="B212" t="inlineStr">
        <is>
          <t>mode.Conquest</t>
        </is>
      </c>
      <c r="C212" t="inlineStr">
        <is>
          <t>quaden</t>
        </is>
      </c>
      <c r="D212">
        <f>AI_ho_so_anh_xa!$D$19</f>
        <v/>
      </c>
      <c r="E212">
        <f>INDEX(AI_ho_so_che_do!$B$2:$B$21,MATCH($D$212,AI_ho_so_che_do!$A$2:$A$21,0))&amp;""</f>
        <v/>
      </c>
      <c r="F212">
        <f>INDEX(AI_ho_so_che_do!$P$2:$P$21,MATCH($D$212,AI_ho_so_che_do!$A$2:$A$21,0))=TRUE</f>
        <v/>
      </c>
      <c r="G212">
        <f>ISNUMBER(FIND(";noGeneralTactic;",";"&amp;INDEX(AI_ho_so_che_do!$O$2:$O$21,MATCH($D$212,AI_ho_so_che_do!$A$2:$A$21,0))&amp;";"))</f>
        <v/>
      </c>
      <c r="H212">
        <f>IF(AI_tuong!$B$8&amp;""&lt;&gt;"",AI_tuong!$B$8,IF(AI_tuong!$B$4&amp;""&lt;&gt;"",AI_tuong!$B$4,"balanced"))</f>
        <v/>
      </c>
      <c r="I212" t="inlineStr">
        <is>
          <t>balanced</t>
        </is>
      </c>
      <c r="J212">
        <f>OR($F$212,AND(AI_ho_so_anh_xa!$B$19="mode",OR(AI_ho_so_anh_xa!$C$19="Weekly",AI_ho_so_anh_xa!$C$19="Operation")))</f>
        <v/>
      </c>
      <c r="K212" t="b">
        <v>0</v>
      </c>
      <c r="L212">
        <f>IF($J$212,$H$212,"balanced")</f>
        <v/>
      </c>
      <c r="M212" t="inlineStr">
        <is>
          <t>balanced</t>
        </is>
      </c>
      <c r="N212">
        <f>IF(OR($E$212="",$G$212),"balanced",IF(OR($E$212="*",ISNUMBER(FIND(";"&amp;$L$212&amp;";",";"&amp;$E$212&amp;";"))),$L$212,IF(ISNUMBER(FIND(";"&amp;"balanced"&amp;";",";"&amp;$E$212&amp;";")),"balanced",LEFT($E$212,FIND(";",$E$212&amp;";")-1))))</f>
        <v/>
      </c>
      <c r="O212" t="inlineStr">
        <is>
          <t>balanced</t>
        </is>
      </c>
      <c r="P212">
        <f>IF(OR($E$212="",$G$212),"KHONG_CHIEN_THUAT",IF(NOT($J$212),IF($H$212="balanced","GIU","CHE_DO_BO_QUA"),IF($N$212=$H$212,"GIU","HO_SO_GHI_DE")))</f>
        <v/>
      </c>
      <c r="Q212" t="inlineStr">
        <is>
          <t>Sim/AI/ConquestAi.P28.cs TickLayered + Sim/AI/Commander.cs AllowedTactic (mode.Conquest, quaden)</t>
        </is>
      </c>
      <c r="R212" t="inlineStr"/>
    </row>
    <row r="213">
      <c r="A213" t="inlineStr">
        <is>
          <t>mode.Conquest/sen</t>
        </is>
      </c>
      <c r="B213" t="inlineStr">
        <is>
          <t>mode.Conquest</t>
        </is>
      </c>
      <c r="C213" t="inlineStr">
        <is>
          <t>sen</t>
        </is>
      </c>
      <c r="D213">
        <f>AI_ho_so_anh_xa!$D$19</f>
        <v/>
      </c>
      <c r="E213">
        <f>INDEX(AI_ho_so_che_do!$B$2:$B$21,MATCH($D$213,AI_ho_so_che_do!$A$2:$A$21,0))&amp;""</f>
        <v/>
      </c>
      <c r="F213">
        <f>INDEX(AI_ho_so_che_do!$P$2:$P$21,MATCH($D$213,AI_ho_so_che_do!$A$2:$A$21,0))=TRUE</f>
        <v/>
      </c>
      <c r="G213">
        <f>ISNUMBER(FIND(";noGeneralTactic;",";"&amp;INDEX(AI_ho_so_che_do!$O$2:$O$21,MATCH($D$213,AI_ho_so_che_do!$A$2:$A$21,0))&amp;";"))</f>
        <v/>
      </c>
      <c r="H213">
        <f>IF(AI_tuong!$B$9&amp;""&lt;&gt;"",AI_tuong!$B$9,IF(AI_tuong!$B$4&amp;""&lt;&gt;"",AI_tuong!$B$4,"balanced"))</f>
        <v/>
      </c>
      <c r="I213" t="inlineStr">
        <is>
          <t>balanced</t>
        </is>
      </c>
      <c r="J213">
        <f>OR($F$213,AND(AI_ho_so_anh_xa!$B$19="mode",OR(AI_ho_so_anh_xa!$C$19="Weekly",AI_ho_so_anh_xa!$C$19="Operation")))</f>
        <v/>
      </c>
      <c r="K213" t="b">
        <v>0</v>
      </c>
      <c r="L213">
        <f>IF($J$213,$H$213,"balanced")</f>
        <v/>
      </c>
      <c r="M213" t="inlineStr">
        <is>
          <t>balanced</t>
        </is>
      </c>
      <c r="N213">
        <f>IF(OR($E$213="",$G$213),"balanced",IF(OR($E$213="*",ISNUMBER(FIND(";"&amp;$L$213&amp;";",";"&amp;$E$213&amp;";"))),$L$213,IF(ISNUMBER(FIND(";"&amp;"balanced"&amp;";",";"&amp;$E$213&amp;";")),"balanced",LEFT($E$213,FIND(";",$E$213&amp;";")-1))))</f>
        <v/>
      </c>
      <c r="O213" t="inlineStr">
        <is>
          <t>balanced</t>
        </is>
      </c>
      <c r="P213">
        <f>IF(OR($E$213="",$G$213),"KHONG_CHIEN_THUAT",IF(NOT($J$213),IF($H$213="balanced","GIU","CHE_DO_BO_QUA"),IF($N$213=$H$213,"GIU","HO_SO_GHI_DE")))</f>
        <v/>
      </c>
      <c r="Q213" t="inlineStr">
        <is>
          <t>Sim/AI/ConquestAi.P28.cs TickLayered + Sim/AI/Commander.cs AllowedTactic (mode.Conquest, sen)</t>
        </is>
      </c>
      <c r="R213" t="inlineStr"/>
    </row>
    <row r="214">
      <c r="A214" t="inlineStr">
        <is>
          <t>mode.Conquest/thorne</t>
        </is>
      </c>
      <c r="B214" t="inlineStr">
        <is>
          <t>mode.Conquest</t>
        </is>
      </c>
      <c r="C214" t="inlineStr">
        <is>
          <t>thorne</t>
        </is>
      </c>
      <c r="D214">
        <f>AI_ho_so_anh_xa!$D$19</f>
        <v/>
      </c>
      <c r="E214">
        <f>INDEX(AI_ho_so_che_do!$B$2:$B$21,MATCH($D$214,AI_ho_so_che_do!$A$2:$A$21,0))&amp;""</f>
        <v/>
      </c>
      <c r="F214">
        <f>INDEX(AI_ho_so_che_do!$P$2:$P$21,MATCH($D$214,AI_ho_so_che_do!$A$2:$A$21,0))=TRUE</f>
        <v/>
      </c>
      <c r="G214">
        <f>ISNUMBER(FIND(";noGeneralTactic;",";"&amp;INDEX(AI_ho_so_che_do!$O$2:$O$21,MATCH($D$214,AI_ho_so_che_do!$A$2:$A$21,0))&amp;";"))</f>
        <v/>
      </c>
      <c r="H214">
        <f>IF(AI_tuong!$B$10&amp;""&lt;&gt;"",AI_tuong!$B$10,IF(AI_tuong!$B$4&amp;""&lt;&gt;"",AI_tuong!$B$4,"balanced"))</f>
        <v/>
      </c>
      <c r="I214" t="inlineStr">
        <is>
          <t>balanced</t>
        </is>
      </c>
      <c r="J214">
        <f>OR($F$214,AND(AI_ho_so_anh_xa!$B$19="mode",OR(AI_ho_so_anh_xa!$C$19="Weekly",AI_ho_so_anh_xa!$C$19="Operation")))</f>
        <v/>
      </c>
      <c r="K214" t="b">
        <v>0</v>
      </c>
      <c r="L214">
        <f>IF($J$214,$H$214,"balanced")</f>
        <v/>
      </c>
      <c r="M214" t="inlineStr">
        <is>
          <t>balanced</t>
        </is>
      </c>
      <c r="N214">
        <f>IF(OR($E$214="",$G$214),"balanced",IF(OR($E$214="*",ISNUMBER(FIND(";"&amp;$L$214&amp;";",";"&amp;$E$214&amp;";"))),$L$214,IF(ISNUMBER(FIND(";"&amp;"balanced"&amp;";",";"&amp;$E$214&amp;";")),"balanced",LEFT($E$214,FIND(";",$E$214&amp;";")-1))))</f>
        <v/>
      </c>
      <c r="O214" t="inlineStr">
        <is>
          <t>balanced</t>
        </is>
      </c>
      <c r="P214">
        <f>IF(OR($E$214="",$G$214),"KHONG_CHIEN_THUAT",IF(NOT($J$214),IF($H$214="balanced","GIU","CHE_DO_BO_QUA"),IF($N$214=$H$214,"GIU","HO_SO_GHI_DE")))</f>
        <v/>
      </c>
      <c r="Q214" t="inlineStr">
        <is>
          <t>Sim/AI/ConquestAi.P28.cs TickLayered + Sim/AI/Commander.cs AllowedTactic (mode.Conquest, thorne)</t>
        </is>
      </c>
      <c r="R214" t="inlineStr"/>
    </row>
    <row r="215">
      <c r="A215" t="inlineStr">
        <is>
          <t>mode.Conquest/varga</t>
        </is>
      </c>
      <c r="B215" t="inlineStr">
        <is>
          <t>mode.Conquest</t>
        </is>
      </c>
      <c r="C215" t="inlineStr">
        <is>
          <t>varga</t>
        </is>
      </c>
      <c r="D215">
        <f>AI_ho_so_anh_xa!$D$19</f>
        <v/>
      </c>
      <c r="E215">
        <f>INDEX(AI_ho_so_che_do!$B$2:$B$21,MATCH($D$215,AI_ho_so_che_do!$A$2:$A$21,0))&amp;""</f>
        <v/>
      </c>
      <c r="F215">
        <f>INDEX(AI_ho_so_che_do!$P$2:$P$21,MATCH($D$215,AI_ho_so_che_do!$A$2:$A$21,0))=TRUE</f>
        <v/>
      </c>
      <c r="G215">
        <f>ISNUMBER(FIND(";noGeneralTactic;",";"&amp;INDEX(AI_ho_so_che_do!$O$2:$O$21,MATCH($D$215,AI_ho_so_che_do!$A$2:$A$21,0))&amp;";"))</f>
        <v/>
      </c>
      <c r="H215">
        <f>IF(AI_tuong!$B$11&amp;""&lt;&gt;"",AI_tuong!$B$11,IF(AI_tuong!$B$4&amp;""&lt;&gt;"",AI_tuong!$B$4,"balanced"))</f>
        <v/>
      </c>
      <c r="I215" t="inlineStr">
        <is>
          <t>breakthrough</t>
        </is>
      </c>
      <c r="J215">
        <f>OR($F$215,AND(AI_ho_so_anh_xa!$B$19="mode",OR(AI_ho_so_anh_xa!$C$19="Weekly",AI_ho_so_anh_xa!$C$19="Operation")))</f>
        <v/>
      </c>
      <c r="K215" t="b">
        <v>0</v>
      </c>
      <c r="L215">
        <f>IF($J$215,$H$215,"balanced")</f>
        <v/>
      </c>
      <c r="M215" t="inlineStr">
        <is>
          <t>balanced</t>
        </is>
      </c>
      <c r="N215">
        <f>IF(OR($E$215="",$G$215),"balanced",IF(OR($E$215="*",ISNUMBER(FIND(";"&amp;$L$215&amp;";",";"&amp;$E$215&amp;";"))),$L$215,IF(ISNUMBER(FIND(";"&amp;"balanced"&amp;";",";"&amp;$E$215&amp;";")),"balanced",LEFT($E$215,FIND(";",$E$215&amp;";")-1))))</f>
        <v/>
      </c>
      <c r="O215" t="inlineStr">
        <is>
          <t>balanced</t>
        </is>
      </c>
      <c r="P215">
        <f>IF(OR($E$215="",$G$215),"KHONG_CHIEN_THUAT",IF(NOT($J$215),IF($H$215="balanced","GIU","CHE_DO_BO_QUA"),IF($N$215=$H$215,"GIU","HO_SO_GHI_DE")))</f>
        <v/>
      </c>
      <c r="Q215" t="inlineStr">
        <is>
          <t>Sim/AI/ConquestAi.P28.cs TickLayered + Sim/AI/Commander.cs AllowedTactic (mode.Conquest, varga)</t>
        </is>
      </c>
      <c r="R215" t="inlineStr"/>
    </row>
    <row r="216">
      <c r="A216" t="inlineStr">
        <is>
          <t>mode.Conquest/venn</t>
        </is>
      </c>
      <c r="B216" t="inlineStr">
        <is>
          <t>mode.Conquest</t>
        </is>
      </c>
      <c r="C216" t="inlineStr">
        <is>
          <t>venn</t>
        </is>
      </c>
      <c r="D216">
        <f>AI_ho_so_anh_xa!$D$19</f>
        <v/>
      </c>
      <c r="E216">
        <f>INDEX(AI_ho_so_che_do!$B$2:$B$21,MATCH($D$216,AI_ho_so_che_do!$A$2:$A$21,0))&amp;""</f>
        <v/>
      </c>
      <c r="F216">
        <f>INDEX(AI_ho_so_che_do!$P$2:$P$21,MATCH($D$216,AI_ho_so_che_do!$A$2:$A$21,0))=TRUE</f>
        <v/>
      </c>
      <c r="G216">
        <f>ISNUMBER(FIND(";noGeneralTactic;",";"&amp;INDEX(AI_ho_so_che_do!$O$2:$O$21,MATCH($D$216,AI_ho_so_che_do!$A$2:$A$21,0))&amp;";"))</f>
        <v/>
      </c>
      <c r="H216">
        <f>IF(AI_tuong!$B$12&amp;""&lt;&gt;"",AI_tuong!$B$12,IF(AI_tuong!$B$4&amp;""&lt;&gt;"",AI_tuong!$B$4,"balanced"))</f>
        <v/>
      </c>
      <c r="I216" t="inlineStr">
        <is>
          <t>dispersal</t>
        </is>
      </c>
      <c r="J216">
        <f>OR($F$216,AND(AI_ho_so_anh_xa!$B$19="mode",OR(AI_ho_so_anh_xa!$C$19="Weekly",AI_ho_so_anh_xa!$C$19="Operation")))</f>
        <v/>
      </c>
      <c r="K216" t="b">
        <v>0</v>
      </c>
      <c r="L216">
        <f>IF($J$216,$H$216,"balanced")</f>
        <v/>
      </c>
      <c r="M216" t="inlineStr">
        <is>
          <t>balanced</t>
        </is>
      </c>
      <c r="N216">
        <f>IF(OR($E$216="",$G$216),"balanced",IF(OR($E$216="*",ISNUMBER(FIND(";"&amp;$L$216&amp;";",";"&amp;$E$216&amp;";"))),$L$216,IF(ISNUMBER(FIND(";"&amp;"balanced"&amp;";",";"&amp;$E$216&amp;";")),"balanced",LEFT($E$216,FIND(";",$E$216&amp;";")-1))))</f>
        <v/>
      </c>
      <c r="O216" t="inlineStr">
        <is>
          <t>balanced</t>
        </is>
      </c>
      <c r="P216">
        <f>IF(OR($E$216="",$G$216),"KHONG_CHIEN_THUAT",IF(NOT($J$216),IF($H$216="balanced","GIU","CHE_DO_BO_QUA"),IF($N$216=$H$216,"GIU","HO_SO_GHI_DE")))</f>
        <v/>
      </c>
      <c r="Q216" t="inlineStr">
        <is>
          <t>Sim/AI/ConquestAi.P28.cs TickLayered + Sim/AI/Commander.cs AllowedTactic (mode.Conquest, venn)</t>
        </is>
      </c>
      <c r="R216" t="inlineStr"/>
    </row>
    <row r="217">
      <c r="A217" t="inlineStr">
        <is>
          <t>mode.Conquest/wolff</t>
        </is>
      </c>
      <c r="B217" t="inlineStr">
        <is>
          <t>mode.Conquest</t>
        </is>
      </c>
      <c r="C217" t="inlineStr">
        <is>
          <t>wolff</t>
        </is>
      </c>
      <c r="D217">
        <f>AI_ho_so_anh_xa!$D$19</f>
        <v/>
      </c>
      <c r="E217">
        <f>INDEX(AI_ho_so_che_do!$B$2:$B$21,MATCH($D$217,AI_ho_so_che_do!$A$2:$A$21,0))&amp;""</f>
        <v/>
      </c>
      <c r="F217">
        <f>INDEX(AI_ho_so_che_do!$P$2:$P$21,MATCH($D$217,AI_ho_so_che_do!$A$2:$A$21,0))=TRUE</f>
        <v/>
      </c>
      <c r="G217">
        <f>ISNUMBER(FIND(";noGeneralTactic;",";"&amp;INDEX(AI_ho_so_che_do!$O$2:$O$21,MATCH($D$217,AI_ho_so_che_do!$A$2:$A$21,0))&amp;";"))</f>
        <v/>
      </c>
      <c r="H217">
        <f>IF(AI_tuong!$B$13&amp;""&lt;&gt;"",AI_tuong!$B$13,IF(AI_tuong!$B$4&amp;""&lt;&gt;"",AI_tuong!$B$4,"balanced"))</f>
        <v/>
      </c>
      <c r="I217" t="inlineStr">
        <is>
          <t>air_superiority</t>
        </is>
      </c>
      <c r="J217">
        <f>OR($F$217,AND(AI_ho_so_anh_xa!$B$19="mode",OR(AI_ho_so_anh_xa!$C$19="Weekly",AI_ho_so_anh_xa!$C$19="Operation")))</f>
        <v/>
      </c>
      <c r="K217" t="b">
        <v>0</v>
      </c>
      <c r="L217">
        <f>IF($J$217,$H$217,"balanced")</f>
        <v/>
      </c>
      <c r="M217" t="inlineStr">
        <is>
          <t>balanced</t>
        </is>
      </c>
      <c r="N217">
        <f>IF(OR($E$217="",$G$217),"balanced",IF(OR($E$217="*",ISNUMBER(FIND(";"&amp;$L$217&amp;";",";"&amp;$E$217&amp;";"))),$L$217,IF(ISNUMBER(FIND(";"&amp;"balanced"&amp;";",";"&amp;$E$217&amp;";")),"balanced",LEFT($E$217,FIND(";",$E$217&amp;";")-1))))</f>
        <v/>
      </c>
      <c r="O217" t="inlineStr">
        <is>
          <t>balanced</t>
        </is>
      </c>
      <c r="P217">
        <f>IF(OR($E$217="",$G$217),"KHONG_CHIEN_THUAT",IF(NOT($J$217),IF($H$217="balanced","GIU","CHE_DO_BO_QUA"),IF($N$217=$H$217,"GIU","HO_SO_GHI_DE")))</f>
        <v/>
      </c>
      <c r="Q217" t="inlineStr">
        <is>
          <t>Sim/AI/ConquestAi.P28.cs TickLayered + Sim/AI/Commander.cs AllowedTactic (mode.Conquest, wolff)</t>
        </is>
      </c>
      <c r="R217" t="inlineStr"/>
    </row>
    <row r="218">
      <c r="A218" t="inlineStr">
        <is>
          <t>mode.Deathmatch/aurel</t>
        </is>
      </c>
      <c r="B218" t="inlineStr">
        <is>
          <t>mode.Deathmatch</t>
        </is>
      </c>
      <c r="C218" t="inlineStr">
        <is>
          <t>aurel</t>
        </is>
      </c>
      <c r="D218">
        <f>AI_ho_so_anh_xa!$D$20</f>
        <v/>
      </c>
      <c r="E218">
        <f>INDEX(AI_ho_so_che_do!$B$2:$B$21,MATCH($D$218,AI_ho_so_che_do!$A$2:$A$21,0))&amp;""</f>
        <v/>
      </c>
      <c r="F218">
        <f>INDEX(AI_ho_so_che_do!$P$2:$P$21,MATCH($D$218,AI_ho_so_che_do!$A$2:$A$21,0))=TRUE</f>
        <v/>
      </c>
      <c r="G218">
        <f>ISNUMBER(FIND(";noGeneralTactic;",";"&amp;INDEX(AI_ho_so_che_do!$O$2:$O$21,MATCH($D$218,AI_ho_so_che_do!$A$2:$A$21,0))&amp;";"))</f>
        <v/>
      </c>
      <c r="H218">
        <f>IF(AI_tuong!$B$2&amp;""&lt;&gt;"",AI_tuong!$B$2,IF(AI_tuong!$B$4&amp;""&lt;&gt;"",AI_tuong!$B$4,"balanced"))</f>
        <v/>
      </c>
      <c r="I218" t="inlineStr">
        <is>
          <t>all_out</t>
        </is>
      </c>
      <c r="J218">
        <f>OR($F$218,AND(AI_ho_so_anh_xa!$B$20="mode",OR(AI_ho_so_anh_xa!$C$20="Weekly",AI_ho_so_anh_xa!$C$20="Operation")))</f>
        <v/>
      </c>
      <c r="K218" t="b">
        <v>0</v>
      </c>
      <c r="L218">
        <f>IF($J$218,$H$218,"balanced")</f>
        <v/>
      </c>
      <c r="M218" t="inlineStr">
        <is>
          <t>balanced</t>
        </is>
      </c>
      <c r="N218">
        <f>IF(OR($E$218="",$G$218),"balanced",IF(OR($E$218="*",ISNUMBER(FIND(";"&amp;$L$218&amp;";",";"&amp;$E$218&amp;";"))),$L$218,IF(ISNUMBER(FIND(";"&amp;"balanced"&amp;";",";"&amp;$E$218&amp;";")),"balanced",LEFT($E$218,FIND(";",$E$218&amp;";")-1))))</f>
        <v/>
      </c>
      <c r="O218" t="inlineStr">
        <is>
          <t>balanced</t>
        </is>
      </c>
      <c r="P218">
        <f>IF(OR($E$218="",$G$218),"KHONG_CHIEN_THUAT",IF(NOT($J$218),IF($H$218="balanced","GIU","CHE_DO_BO_QUA"),IF($N$218=$H$218,"GIU","HO_SO_GHI_DE")))</f>
        <v/>
      </c>
      <c r="Q218" t="inlineStr">
        <is>
          <t>Sim/AI/ConquestAi.P28.cs TickLayered + Sim/AI/Commander.cs AllowedTactic (mode.Deathmatch, aurel)</t>
        </is>
      </c>
      <c r="R218" t="inlineStr"/>
    </row>
    <row r="219">
      <c r="A219" t="inlineStr">
        <is>
          <t>mode.Deathmatch/brandt</t>
        </is>
      </c>
      <c r="B219" t="inlineStr">
        <is>
          <t>mode.Deathmatch</t>
        </is>
      </c>
      <c r="C219" t="inlineStr">
        <is>
          <t>brandt</t>
        </is>
      </c>
      <c r="D219">
        <f>AI_ho_so_anh_xa!$D$20</f>
        <v/>
      </c>
      <c r="E219">
        <f>INDEX(AI_ho_so_che_do!$B$2:$B$21,MATCH($D$219,AI_ho_so_che_do!$A$2:$A$21,0))&amp;""</f>
        <v/>
      </c>
      <c r="F219">
        <f>INDEX(AI_ho_so_che_do!$P$2:$P$21,MATCH($D$219,AI_ho_so_che_do!$A$2:$A$21,0))=TRUE</f>
        <v/>
      </c>
      <c r="G219">
        <f>ISNUMBER(FIND(";noGeneralTactic;",";"&amp;INDEX(AI_ho_so_che_do!$O$2:$O$21,MATCH($D$219,AI_ho_so_che_do!$A$2:$A$21,0))&amp;";"))</f>
        <v/>
      </c>
      <c r="H219">
        <f>IF(AI_tuong!$B$3&amp;""&lt;&gt;"",AI_tuong!$B$3,IF(AI_tuong!$B$4&amp;""&lt;&gt;"",AI_tuong!$B$4,"balanced"))</f>
        <v/>
      </c>
      <c r="I219" t="inlineStr">
        <is>
          <t>depth</t>
        </is>
      </c>
      <c r="J219">
        <f>OR($F$219,AND(AI_ho_so_anh_xa!$B$20="mode",OR(AI_ho_so_anh_xa!$C$20="Weekly",AI_ho_so_anh_xa!$C$20="Operation")))</f>
        <v/>
      </c>
      <c r="K219" t="b">
        <v>0</v>
      </c>
      <c r="L219">
        <f>IF($J$219,$H$219,"balanced")</f>
        <v/>
      </c>
      <c r="M219" t="inlineStr">
        <is>
          <t>balanced</t>
        </is>
      </c>
      <c r="N219">
        <f>IF(OR($E$219="",$G$219),"balanced",IF(OR($E$219="*",ISNUMBER(FIND(";"&amp;$L$219&amp;";",";"&amp;$E$219&amp;";"))),$L$219,IF(ISNUMBER(FIND(";"&amp;"balanced"&amp;";",";"&amp;$E$219&amp;";")),"balanced",LEFT($E$219,FIND(";",$E$219&amp;";")-1))))</f>
        <v/>
      </c>
      <c r="O219" t="inlineStr">
        <is>
          <t>balanced</t>
        </is>
      </c>
      <c r="P219">
        <f>IF(OR($E$219="",$G$219),"KHONG_CHIEN_THUAT",IF(NOT($J$219),IF($H$219="balanced","GIU","CHE_DO_BO_QUA"),IF($N$219=$H$219,"GIU","HO_SO_GHI_DE")))</f>
        <v/>
      </c>
      <c r="Q219" t="inlineStr">
        <is>
          <t>Sim/AI/ConquestAi.P28.cs TickLayered + Sim/AI/Commander.cs AllowedTactic (mode.Deathmatch, brandt)</t>
        </is>
      </c>
      <c r="R219" t="inlineStr"/>
    </row>
    <row r="220">
      <c r="A220" t="inlineStr">
        <is>
          <t>mode.Deathmatch/default</t>
        </is>
      </c>
      <c r="B220" t="inlineStr">
        <is>
          <t>mode.Deathmatch</t>
        </is>
      </c>
      <c r="C220" t="inlineStr">
        <is>
          <t>default</t>
        </is>
      </c>
      <c r="D220">
        <f>AI_ho_so_anh_xa!$D$20</f>
        <v/>
      </c>
      <c r="E220">
        <f>INDEX(AI_ho_so_che_do!$B$2:$B$21,MATCH($D$220,AI_ho_so_che_do!$A$2:$A$21,0))&amp;""</f>
        <v/>
      </c>
      <c r="F220">
        <f>INDEX(AI_ho_so_che_do!$P$2:$P$21,MATCH($D$220,AI_ho_so_che_do!$A$2:$A$21,0))=TRUE</f>
        <v/>
      </c>
      <c r="G220">
        <f>ISNUMBER(FIND(";noGeneralTactic;",";"&amp;INDEX(AI_ho_so_che_do!$O$2:$O$21,MATCH($D$220,AI_ho_so_che_do!$A$2:$A$21,0))&amp;";"))</f>
        <v/>
      </c>
      <c r="H220">
        <f>IF(AI_tuong!$B$4&amp;""&lt;&gt;"",AI_tuong!$B$4,IF(AI_tuong!$B$4&amp;""&lt;&gt;"",AI_tuong!$B$4,"balanced"))</f>
        <v/>
      </c>
      <c r="I220" t="inlineStr">
        <is>
          <t>balanced</t>
        </is>
      </c>
      <c r="J220">
        <f>OR($F$220,AND(AI_ho_so_anh_xa!$B$20="mode",OR(AI_ho_so_anh_xa!$C$20="Weekly",AI_ho_so_anh_xa!$C$20="Operation")))</f>
        <v/>
      </c>
      <c r="K220" t="b">
        <v>0</v>
      </c>
      <c r="L220">
        <f>IF($J$220,$H$220,"balanced")</f>
        <v/>
      </c>
      <c r="M220" t="inlineStr">
        <is>
          <t>balanced</t>
        </is>
      </c>
      <c r="N220">
        <f>IF(OR($E$220="",$G$220),"balanced",IF(OR($E$220="*",ISNUMBER(FIND(";"&amp;$L$220&amp;";",";"&amp;$E$220&amp;";"))),$L$220,IF(ISNUMBER(FIND(";"&amp;"balanced"&amp;";",";"&amp;$E$220&amp;";")),"balanced",LEFT($E$220,FIND(";",$E$220&amp;";")-1))))</f>
        <v/>
      </c>
      <c r="O220" t="inlineStr">
        <is>
          <t>balanced</t>
        </is>
      </c>
      <c r="P220">
        <f>IF(OR($E$220="",$G$220),"KHONG_CHIEN_THUAT",IF(NOT($J$220),IF($H$220="balanced","GIU","CHE_DO_BO_QUA"),IF($N$220=$H$220,"GIU","HO_SO_GHI_DE")))</f>
        <v/>
      </c>
      <c r="Q220" t="inlineStr">
        <is>
          <t>Sim/AI/ConquestAi.P28.cs TickLayered + Sim/AI/Commander.cs AllowedTactic (mode.Deathmatch, default)</t>
        </is>
      </c>
      <c r="R220" t="inlineStr"/>
    </row>
    <row r="221">
      <c r="A221" t="inlineStr">
        <is>
          <t>mode.Deathmatch/hung</t>
        </is>
      </c>
      <c r="B221" t="inlineStr">
        <is>
          <t>mode.Deathmatch</t>
        </is>
      </c>
      <c r="C221" t="inlineStr">
        <is>
          <t>hung</t>
        </is>
      </c>
      <c r="D221">
        <f>AI_ho_so_anh_xa!$D$20</f>
        <v/>
      </c>
      <c r="E221">
        <f>INDEX(AI_ho_so_che_do!$B$2:$B$21,MATCH($D$221,AI_ho_so_che_do!$A$2:$A$21,0))&amp;""</f>
        <v/>
      </c>
      <c r="F221">
        <f>INDEX(AI_ho_so_che_do!$P$2:$P$21,MATCH($D$221,AI_ho_so_che_do!$A$2:$A$21,0))=TRUE</f>
        <v/>
      </c>
      <c r="G221">
        <f>ISNUMBER(FIND(";noGeneralTactic;",";"&amp;INDEX(AI_ho_so_che_do!$O$2:$O$21,MATCH($D$221,AI_ho_so_che_do!$A$2:$A$21,0))&amp;";"))</f>
        <v/>
      </c>
      <c r="H221">
        <f>IF(AI_tuong!$B$5&amp;""&lt;&gt;"",AI_tuong!$B$5,IF(AI_tuong!$B$4&amp;""&lt;&gt;"",AI_tuong!$B$4,"balanced"))</f>
        <v/>
      </c>
      <c r="I221" t="inlineStr">
        <is>
          <t>balanced</t>
        </is>
      </c>
      <c r="J221">
        <f>OR($F$221,AND(AI_ho_so_anh_xa!$B$20="mode",OR(AI_ho_so_anh_xa!$C$20="Weekly",AI_ho_so_anh_xa!$C$20="Operation")))</f>
        <v/>
      </c>
      <c r="K221" t="b">
        <v>0</v>
      </c>
      <c r="L221">
        <f>IF($J$221,$H$221,"balanced")</f>
        <v/>
      </c>
      <c r="M221" t="inlineStr">
        <is>
          <t>balanced</t>
        </is>
      </c>
      <c r="N221">
        <f>IF(OR($E$221="",$G$221),"balanced",IF(OR($E$221="*",ISNUMBER(FIND(";"&amp;$L$221&amp;";",";"&amp;$E$221&amp;";"))),$L$221,IF(ISNUMBER(FIND(";"&amp;"balanced"&amp;";",";"&amp;$E$221&amp;";")),"balanced",LEFT($E$221,FIND(";",$E$221&amp;";")-1))))</f>
        <v/>
      </c>
      <c r="O221" t="inlineStr">
        <is>
          <t>balanced</t>
        </is>
      </c>
      <c r="P221">
        <f>IF(OR($E$221="",$G$221),"KHONG_CHIEN_THUAT",IF(NOT($J$221),IF($H$221="balanced","GIU","CHE_DO_BO_QUA"),IF($N$221=$H$221,"GIU","HO_SO_GHI_DE")))</f>
        <v/>
      </c>
      <c r="Q221" t="inlineStr">
        <is>
          <t>Sim/AI/ConquestAi.P28.cs TickLayered + Sim/AI/Commander.cs AllowedTactic (mode.Deathmatch, hung)</t>
        </is>
      </c>
      <c r="R221" t="inlineStr"/>
    </row>
    <row r="222">
      <c r="A222" t="inlineStr">
        <is>
          <t>mode.Deathmatch/kessler</t>
        </is>
      </c>
      <c r="B222" t="inlineStr">
        <is>
          <t>mode.Deathmatch</t>
        </is>
      </c>
      <c r="C222" t="inlineStr">
        <is>
          <t>kessler</t>
        </is>
      </c>
      <c r="D222">
        <f>AI_ho_so_anh_xa!$D$20</f>
        <v/>
      </c>
      <c r="E222">
        <f>INDEX(AI_ho_so_che_do!$B$2:$B$21,MATCH($D$222,AI_ho_so_che_do!$A$2:$A$21,0))&amp;""</f>
        <v/>
      </c>
      <c r="F222">
        <f>INDEX(AI_ho_so_che_do!$P$2:$P$21,MATCH($D$222,AI_ho_so_che_do!$A$2:$A$21,0))=TRUE</f>
        <v/>
      </c>
      <c r="G222">
        <f>ISNUMBER(FIND(";noGeneralTactic;",";"&amp;INDEX(AI_ho_so_che_do!$O$2:$O$21,MATCH($D$222,AI_ho_so_che_do!$A$2:$A$21,0))&amp;";"))</f>
        <v/>
      </c>
      <c r="H222">
        <f>IF(AI_tuong!$B$6&amp;""&lt;&gt;"",AI_tuong!$B$6,IF(AI_tuong!$B$4&amp;""&lt;&gt;"",AI_tuong!$B$4,"balanced"))</f>
        <v/>
      </c>
      <c r="I222" t="inlineStr">
        <is>
          <t>attrition</t>
        </is>
      </c>
      <c r="J222">
        <f>OR($F$222,AND(AI_ho_so_anh_xa!$B$20="mode",OR(AI_ho_so_anh_xa!$C$20="Weekly",AI_ho_so_anh_xa!$C$20="Operation")))</f>
        <v/>
      </c>
      <c r="K222" t="b">
        <v>0</v>
      </c>
      <c r="L222">
        <f>IF($J$222,$H$222,"balanced")</f>
        <v/>
      </c>
      <c r="M222" t="inlineStr">
        <is>
          <t>balanced</t>
        </is>
      </c>
      <c r="N222">
        <f>IF(OR($E$222="",$G$222),"balanced",IF(OR($E$222="*",ISNUMBER(FIND(";"&amp;$L$222&amp;";",";"&amp;$E$222&amp;";"))),$L$222,IF(ISNUMBER(FIND(";"&amp;"balanced"&amp;";",";"&amp;$E$222&amp;";")),"balanced",LEFT($E$222,FIND(";",$E$222&amp;";")-1))))</f>
        <v/>
      </c>
      <c r="O222" t="inlineStr">
        <is>
          <t>balanced</t>
        </is>
      </c>
      <c r="P222">
        <f>IF(OR($E$222="",$G$222),"KHONG_CHIEN_THUAT",IF(NOT($J$222),IF($H$222="balanced","GIU","CHE_DO_BO_QUA"),IF($N$222=$H$222,"GIU","HO_SO_GHI_DE")))</f>
        <v/>
      </c>
      <c r="Q222" t="inlineStr">
        <is>
          <t>Sim/AI/ConquestAi.P28.cs TickLayered + Sim/AI/Commander.cs AllowedTactic (mode.Deathmatch, kessler)</t>
        </is>
      </c>
      <c r="R222" t="inlineStr"/>
    </row>
    <row r="223">
      <c r="A223" t="inlineStr">
        <is>
          <t>mode.Deathmatch/orlov</t>
        </is>
      </c>
      <c r="B223" t="inlineStr">
        <is>
          <t>mode.Deathmatch</t>
        </is>
      </c>
      <c r="C223" t="inlineStr">
        <is>
          <t>orlov</t>
        </is>
      </c>
      <c r="D223">
        <f>AI_ho_so_anh_xa!$D$20</f>
        <v/>
      </c>
      <c r="E223">
        <f>INDEX(AI_ho_so_che_do!$B$2:$B$21,MATCH($D$223,AI_ho_so_che_do!$A$2:$A$21,0))&amp;""</f>
        <v/>
      </c>
      <c r="F223">
        <f>INDEX(AI_ho_so_che_do!$P$2:$P$21,MATCH($D$223,AI_ho_so_che_do!$A$2:$A$21,0))=TRUE</f>
        <v/>
      </c>
      <c r="G223">
        <f>ISNUMBER(FIND(";noGeneralTactic;",";"&amp;INDEX(AI_ho_so_che_do!$O$2:$O$21,MATCH($D$223,AI_ho_so_che_do!$A$2:$A$21,0))&amp;";"))</f>
        <v/>
      </c>
      <c r="H223">
        <f>IF(AI_tuong!$B$7&amp;""&lt;&gt;"",AI_tuong!$B$7,IF(AI_tuong!$B$4&amp;""&lt;&gt;"",AI_tuong!$B$4,"balanced"))</f>
        <v/>
      </c>
      <c r="I223" t="inlineStr">
        <is>
          <t>firepower</t>
        </is>
      </c>
      <c r="J223">
        <f>OR($F$223,AND(AI_ho_so_anh_xa!$B$20="mode",OR(AI_ho_so_anh_xa!$C$20="Weekly",AI_ho_so_anh_xa!$C$20="Operation")))</f>
        <v/>
      </c>
      <c r="K223" t="b">
        <v>0</v>
      </c>
      <c r="L223">
        <f>IF($J$223,$H$223,"balanced")</f>
        <v/>
      </c>
      <c r="M223" t="inlineStr">
        <is>
          <t>balanced</t>
        </is>
      </c>
      <c r="N223">
        <f>IF(OR($E$223="",$G$223),"balanced",IF(OR($E$223="*",ISNUMBER(FIND(";"&amp;$L$223&amp;";",";"&amp;$E$223&amp;";"))),$L$223,IF(ISNUMBER(FIND(";"&amp;"balanced"&amp;";",";"&amp;$E$223&amp;";")),"balanced",LEFT($E$223,FIND(";",$E$223&amp;";")-1))))</f>
        <v/>
      </c>
      <c r="O223" t="inlineStr">
        <is>
          <t>balanced</t>
        </is>
      </c>
      <c r="P223">
        <f>IF(OR($E$223="",$G$223),"KHONG_CHIEN_THUAT",IF(NOT($J$223),IF($H$223="balanced","GIU","CHE_DO_BO_QUA"),IF($N$223=$H$223,"GIU","HO_SO_GHI_DE")))</f>
        <v/>
      </c>
      <c r="Q223" t="inlineStr">
        <is>
          <t>Sim/AI/ConquestAi.P28.cs TickLayered + Sim/AI/Commander.cs AllowedTactic (mode.Deathmatch, orlov)</t>
        </is>
      </c>
      <c r="R223" t="inlineStr"/>
    </row>
    <row r="224">
      <c r="A224" t="inlineStr">
        <is>
          <t>mode.Deathmatch/quaden</t>
        </is>
      </c>
      <c r="B224" t="inlineStr">
        <is>
          <t>mode.Deathmatch</t>
        </is>
      </c>
      <c r="C224" t="inlineStr">
        <is>
          <t>quaden</t>
        </is>
      </c>
      <c r="D224">
        <f>AI_ho_so_anh_xa!$D$20</f>
        <v/>
      </c>
      <c r="E224">
        <f>INDEX(AI_ho_so_che_do!$B$2:$B$21,MATCH($D$224,AI_ho_so_che_do!$A$2:$A$21,0))&amp;""</f>
        <v/>
      </c>
      <c r="F224">
        <f>INDEX(AI_ho_so_che_do!$P$2:$P$21,MATCH($D$224,AI_ho_so_che_do!$A$2:$A$21,0))=TRUE</f>
        <v/>
      </c>
      <c r="G224">
        <f>ISNUMBER(FIND(";noGeneralTactic;",";"&amp;INDEX(AI_ho_so_che_do!$O$2:$O$21,MATCH($D$224,AI_ho_so_che_do!$A$2:$A$21,0))&amp;";"))</f>
        <v/>
      </c>
      <c r="H224">
        <f>IF(AI_tuong!$B$8&amp;""&lt;&gt;"",AI_tuong!$B$8,IF(AI_tuong!$B$4&amp;""&lt;&gt;"",AI_tuong!$B$4,"balanced"))</f>
        <v/>
      </c>
      <c r="I224" t="inlineStr">
        <is>
          <t>balanced</t>
        </is>
      </c>
      <c r="J224">
        <f>OR($F$224,AND(AI_ho_so_anh_xa!$B$20="mode",OR(AI_ho_so_anh_xa!$C$20="Weekly",AI_ho_so_anh_xa!$C$20="Operation")))</f>
        <v/>
      </c>
      <c r="K224" t="b">
        <v>0</v>
      </c>
      <c r="L224">
        <f>IF($J$224,$H$224,"balanced")</f>
        <v/>
      </c>
      <c r="M224" t="inlineStr">
        <is>
          <t>balanced</t>
        </is>
      </c>
      <c r="N224">
        <f>IF(OR($E$224="",$G$224),"balanced",IF(OR($E$224="*",ISNUMBER(FIND(";"&amp;$L$224&amp;";",";"&amp;$E$224&amp;";"))),$L$224,IF(ISNUMBER(FIND(";"&amp;"balanced"&amp;";",";"&amp;$E$224&amp;";")),"balanced",LEFT($E$224,FIND(";",$E$224&amp;";")-1))))</f>
        <v/>
      </c>
      <c r="O224" t="inlineStr">
        <is>
          <t>balanced</t>
        </is>
      </c>
      <c r="P224">
        <f>IF(OR($E$224="",$G$224),"KHONG_CHIEN_THUAT",IF(NOT($J$224),IF($H$224="balanced","GIU","CHE_DO_BO_QUA"),IF($N$224=$H$224,"GIU","HO_SO_GHI_DE")))</f>
        <v/>
      </c>
      <c r="Q224" t="inlineStr">
        <is>
          <t>Sim/AI/ConquestAi.P28.cs TickLayered + Sim/AI/Commander.cs AllowedTactic (mode.Deathmatch, quaden)</t>
        </is>
      </c>
      <c r="R224" t="inlineStr"/>
    </row>
    <row r="225">
      <c r="A225" t="inlineStr">
        <is>
          <t>mode.Deathmatch/sen</t>
        </is>
      </c>
      <c r="B225" t="inlineStr">
        <is>
          <t>mode.Deathmatch</t>
        </is>
      </c>
      <c r="C225" t="inlineStr">
        <is>
          <t>sen</t>
        </is>
      </c>
      <c r="D225">
        <f>AI_ho_so_anh_xa!$D$20</f>
        <v/>
      </c>
      <c r="E225">
        <f>INDEX(AI_ho_so_che_do!$B$2:$B$21,MATCH($D$225,AI_ho_so_che_do!$A$2:$A$21,0))&amp;""</f>
        <v/>
      </c>
      <c r="F225">
        <f>INDEX(AI_ho_so_che_do!$P$2:$P$21,MATCH($D$225,AI_ho_so_che_do!$A$2:$A$21,0))=TRUE</f>
        <v/>
      </c>
      <c r="G225">
        <f>ISNUMBER(FIND(";noGeneralTactic;",";"&amp;INDEX(AI_ho_so_che_do!$O$2:$O$21,MATCH($D$225,AI_ho_so_che_do!$A$2:$A$21,0))&amp;";"))</f>
        <v/>
      </c>
      <c r="H225">
        <f>IF(AI_tuong!$B$9&amp;""&lt;&gt;"",AI_tuong!$B$9,IF(AI_tuong!$B$4&amp;""&lt;&gt;"",AI_tuong!$B$4,"balanced"))</f>
        <v/>
      </c>
      <c r="I225" t="inlineStr">
        <is>
          <t>balanced</t>
        </is>
      </c>
      <c r="J225">
        <f>OR($F$225,AND(AI_ho_so_anh_xa!$B$20="mode",OR(AI_ho_so_anh_xa!$C$20="Weekly",AI_ho_so_anh_xa!$C$20="Operation")))</f>
        <v/>
      </c>
      <c r="K225" t="b">
        <v>0</v>
      </c>
      <c r="L225">
        <f>IF($J$225,$H$225,"balanced")</f>
        <v/>
      </c>
      <c r="M225" t="inlineStr">
        <is>
          <t>balanced</t>
        </is>
      </c>
      <c r="N225">
        <f>IF(OR($E$225="",$G$225),"balanced",IF(OR($E$225="*",ISNUMBER(FIND(";"&amp;$L$225&amp;";",";"&amp;$E$225&amp;";"))),$L$225,IF(ISNUMBER(FIND(";"&amp;"balanced"&amp;";",";"&amp;$E$225&amp;";")),"balanced",LEFT($E$225,FIND(";",$E$225&amp;";")-1))))</f>
        <v/>
      </c>
      <c r="O225" t="inlineStr">
        <is>
          <t>balanced</t>
        </is>
      </c>
      <c r="P225">
        <f>IF(OR($E$225="",$G$225),"KHONG_CHIEN_THUAT",IF(NOT($J$225),IF($H$225="balanced","GIU","CHE_DO_BO_QUA"),IF($N$225=$H$225,"GIU","HO_SO_GHI_DE")))</f>
        <v/>
      </c>
      <c r="Q225" t="inlineStr">
        <is>
          <t>Sim/AI/ConquestAi.P28.cs TickLayered + Sim/AI/Commander.cs AllowedTactic (mode.Deathmatch, sen)</t>
        </is>
      </c>
      <c r="R225" t="inlineStr"/>
    </row>
    <row r="226">
      <c r="A226" t="inlineStr">
        <is>
          <t>mode.Deathmatch/thorne</t>
        </is>
      </c>
      <c r="B226" t="inlineStr">
        <is>
          <t>mode.Deathmatch</t>
        </is>
      </c>
      <c r="C226" t="inlineStr">
        <is>
          <t>thorne</t>
        </is>
      </c>
      <c r="D226">
        <f>AI_ho_so_anh_xa!$D$20</f>
        <v/>
      </c>
      <c r="E226">
        <f>INDEX(AI_ho_so_che_do!$B$2:$B$21,MATCH($D$226,AI_ho_so_che_do!$A$2:$A$21,0))&amp;""</f>
        <v/>
      </c>
      <c r="F226">
        <f>INDEX(AI_ho_so_che_do!$P$2:$P$21,MATCH($D$226,AI_ho_so_che_do!$A$2:$A$21,0))=TRUE</f>
        <v/>
      </c>
      <c r="G226">
        <f>ISNUMBER(FIND(";noGeneralTactic;",";"&amp;INDEX(AI_ho_so_che_do!$O$2:$O$21,MATCH($D$226,AI_ho_so_che_do!$A$2:$A$21,0))&amp;";"))</f>
        <v/>
      </c>
      <c r="H226">
        <f>IF(AI_tuong!$B$10&amp;""&lt;&gt;"",AI_tuong!$B$10,IF(AI_tuong!$B$4&amp;""&lt;&gt;"",AI_tuong!$B$4,"balanced"))</f>
        <v/>
      </c>
      <c r="I226" t="inlineStr">
        <is>
          <t>balanced</t>
        </is>
      </c>
      <c r="J226">
        <f>OR($F$226,AND(AI_ho_so_anh_xa!$B$20="mode",OR(AI_ho_so_anh_xa!$C$20="Weekly",AI_ho_so_anh_xa!$C$20="Operation")))</f>
        <v/>
      </c>
      <c r="K226" t="b">
        <v>0</v>
      </c>
      <c r="L226">
        <f>IF($J$226,$H$226,"balanced")</f>
        <v/>
      </c>
      <c r="M226" t="inlineStr">
        <is>
          <t>balanced</t>
        </is>
      </c>
      <c r="N226">
        <f>IF(OR($E$226="",$G$226),"balanced",IF(OR($E$226="*",ISNUMBER(FIND(";"&amp;$L$226&amp;";",";"&amp;$E$226&amp;";"))),$L$226,IF(ISNUMBER(FIND(";"&amp;"balanced"&amp;";",";"&amp;$E$226&amp;";")),"balanced",LEFT($E$226,FIND(";",$E$226&amp;";")-1))))</f>
        <v/>
      </c>
      <c r="O226" t="inlineStr">
        <is>
          <t>balanced</t>
        </is>
      </c>
      <c r="P226">
        <f>IF(OR($E$226="",$G$226),"KHONG_CHIEN_THUAT",IF(NOT($J$226),IF($H$226="balanced","GIU","CHE_DO_BO_QUA"),IF($N$226=$H$226,"GIU","HO_SO_GHI_DE")))</f>
        <v/>
      </c>
      <c r="Q226" t="inlineStr">
        <is>
          <t>Sim/AI/ConquestAi.P28.cs TickLayered + Sim/AI/Commander.cs AllowedTactic (mode.Deathmatch, thorne)</t>
        </is>
      </c>
      <c r="R226" t="inlineStr"/>
    </row>
    <row r="227">
      <c r="A227" t="inlineStr">
        <is>
          <t>mode.Deathmatch/varga</t>
        </is>
      </c>
      <c r="B227" t="inlineStr">
        <is>
          <t>mode.Deathmatch</t>
        </is>
      </c>
      <c r="C227" t="inlineStr">
        <is>
          <t>varga</t>
        </is>
      </c>
      <c r="D227">
        <f>AI_ho_so_anh_xa!$D$20</f>
        <v/>
      </c>
      <c r="E227">
        <f>INDEX(AI_ho_so_che_do!$B$2:$B$21,MATCH($D$227,AI_ho_so_che_do!$A$2:$A$21,0))&amp;""</f>
        <v/>
      </c>
      <c r="F227">
        <f>INDEX(AI_ho_so_che_do!$P$2:$P$21,MATCH($D$227,AI_ho_so_che_do!$A$2:$A$21,0))=TRUE</f>
        <v/>
      </c>
      <c r="G227">
        <f>ISNUMBER(FIND(";noGeneralTactic;",";"&amp;INDEX(AI_ho_so_che_do!$O$2:$O$21,MATCH($D$227,AI_ho_so_che_do!$A$2:$A$21,0))&amp;";"))</f>
        <v/>
      </c>
      <c r="H227">
        <f>IF(AI_tuong!$B$11&amp;""&lt;&gt;"",AI_tuong!$B$11,IF(AI_tuong!$B$4&amp;""&lt;&gt;"",AI_tuong!$B$4,"balanced"))</f>
        <v/>
      </c>
      <c r="I227" t="inlineStr">
        <is>
          <t>breakthrough</t>
        </is>
      </c>
      <c r="J227">
        <f>OR($F$227,AND(AI_ho_so_anh_xa!$B$20="mode",OR(AI_ho_so_anh_xa!$C$20="Weekly",AI_ho_so_anh_xa!$C$20="Operation")))</f>
        <v/>
      </c>
      <c r="K227" t="b">
        <v>0</v>
      </c>
      <c r="L227">
        <f>IF($J$227,$H$227,"balanced")</f>
        <v/>
      </c>
      <c r="M227" t="inlineStr">
        <is>
          <t>balanced</t>
        </is>
      </c>
      <c r="N227">
        <f>IF(OR($E$227="",$G$227),"balanced",IF(OR($E$227="*",ISNUMBER(FIND(";"&amp;$L$227&amp;";",";"&amp;$E$227&amp;";"))),$L$227,IF(ISNUMBER(FIND(";"&amp;"balanced"&amp;";",";"&amp;$E$227&amp;";")),"balanced",LEFT($E$227,FIND(";",$E$227&amp;";")-1))))</f>
        <v/>
      </c>
      <c r="O227" t="inlineStr">
        <is>
          <t>balanced</t>
        </is>
      </c>
      <c r="P227">
        <f>IF(OR($E$227="",$G$227),"KHONG_CHIEN_THUAT",IF(NOT($J$227),IF($H$227="balanced","GIU","CHE_DO_BO_QUA"),IF($N$227=$H$227,"GIU","HO_SO_GHI_DE")))</f>
        <v/>
      </c>
      <c r="Q227" t="inlineStr">
        <is>
          <t>Sim/AI/ConquestAi.P28.cs TickLayered + Sim/AI/Commander.cs AllowedTactic (mode.Deathmatch, varga)</t>
        </is>
      </c>
      <c r="R227" t="inlineStr"/>
    </row>
    <row r="228">
      <c r="A228" t="inlineStr">
        <is>
          <t>mode.Deathmatch/venn</t>
        </is>
      </c>
      <c r="B228" t="inlineStr">
        <is>
          <t>mode.Deathmatch</t>
        </is>
      </c>
      <c r="C228" t="inlineStr">
        <is>
          <t>venn</t>
        </is>
      </c>
      <c r="D228">
        <f>AI_ho_so_anh_xa!$D$20</f>
        <v/>
      </c>
      <c r="E228">
        <f>INDEX(AI_ho_so_che_do!$B$2:$B$21,MATCH($D$228,AI_ho_so_che_do!$A$2:$A$21,0))&amp;""</f>
        <v/>
      </c>
      <c r="F228">
        <f>INDEX(AI_ho_so_che_do!$P$2:$P$21,MATCH($D$228,AI_ho_so_che_do!$A$2:$A$21,0))=TRUE</f>
        <v/>
      </c>
      <c r="G228">
        <f>ISNUMBER(FIND(";noGeneralTactic;",";"&amp;INDEX(AI_ho_so_che_do!$O$2:$O$21,MATCH($D$228,AI_ho_so_che_do!$A$2:$A$21,0))&amp;";"))</f>
        <v/>
      </c>
      <c r="H228">
        <f>IF(AI_tuong!$B$12&amp;""&lt;&gt;"",AI_tuong!$B$12,IF(AI_tuong!$B$4&amp;""&lt;&gt;"",AI_tuong!$B$4,"balanced"))</f>
        <v/>
      </c>
      <c r="I228" t="inlineStr">
        <is>
          <t>dispersal</t>
        </is>
      </c>
      <c r="J228">
        <f>OR($F$228,AND(AI_ho_so_anh_xa!$B$20="mode",OR(AI_ho_so_anh_xa!$C$20="Weekly",AI_ho_so_anh_xa!$C$20="Operation")))</f>
        <v/>
      </c>
      <c r="K228" t="b">
        <v>0</v>
      </c>
      <c r="L228">
        <f>IF($J$228,$H$228,"balanced")</f>
        <v/>
      </c>
      <c r="M228" t="inlineStr">
        <is>
          <t>balanced</t>
        </is>
      </c>
      <c r="N228">
        <f>IF(OR($E$228="",$G$228),"balanced",IF(OR($E$228="*",ISNUMBER(FIND(";"&amp;$L$228&amp;";",";"&amp;$E$228&amp;";"))),$L$228,IF(ISNUMBER(FIND(";"&amp;"balanced"&amp;";",";"&amp;$E$228&amp;";")),"balanced",LEFT($E$228,FIND(";",$E$228&amp;";")-1))))</f>
        <v/>
      </c>
      <c r="O228" t="inlineStr">
        <is>
          <t>balanced</t>
        </is>
      </c>
      <c r="P228">
        <f>IF(OR($E$228="",$G$228),"KHONG_CHIEN_THUAT",IF(NOT($J$228),IF($H$228="balanced","GIU","CHE_DO_BO_QUA"),IF($N$228=$H$228,"GIU","HO_SO_GHI_DE")))</f>
        <v/>
      </c>
      <c r="Q228" t="inlineStr">
        <is>
          <t>Sim/AI/ConquestAi.P28.cs TickLayered + Sim/AI/Commander.cs AllowedTactic (mode.Deathmatch, venn)</t>
        </is>
      </c>
      <c r="R228" t="inlineStr"/>
    </row>
    <row r="229">
      <c r="A229" t="inlineStr">
        <is>
          <t>mode.Deathmatch/wolff</t>
        </is>
      </c>
      <c r="B229" t="inlineStr">
        <is>
          <t>mode.Deathmatch</t>
        </is>
      </c>
      <c r="C229" t="inlineStr">
        <is>
          <t>wolff</t>
        </is>
      </c>
      <c r="D229">
        <f>AI_ho_so_anh_xa!$D$20</f>
        <v/>
      </c>
      <c r="E229">
        <f>INDEX(AI_ho_so_che_do!$B$2:$B$21,MATCH($D$229,AI_ho_so_che_do!$A$2:$A$21,0))&amp;""</f>
        <v/>
      </c>
      <c r="F229">
        <f>INDEX(AI_ho_so_che_do!$P$2:$P$21,MATCH($D$229,AI_ho_so_che_do!$A$2:$A$21,0))=TRUE</f>
        <v/>
      </c>
      <c r="G229">
        <f>ISNUMBER(FIND(";noGeneralTactic;",";"&amp;INDEX(AI_ho_so_che_do!$O$2:$O$21,MATCH($D$229,AI_ho_so_che_do!$A$2:$A$21,0))&amp;";"))</f>
        <v/>
      </c>
      <c r="H229">
        <f>IF(AI_tuong!$B$13&amp;""&lt;&gt;"",AI_tuong!$B$13,IF(AI_tuong!$B$4&amp;""&lt;&gt;"",AI_tuong!$B$4,"balanced"))</f>
        <v/>
      </c>
      <c r="I229" t="inlineStr">
        <is>
          <t>air_superiority</t>
        </is>
      </c>
      <c r="J229">
        <f>OR($F$229,AND(AI_ho_so_anh_xa!$B$20="mode",OR(AI_ho_so_anh_xa!$C$20="Weekly",AI_ho_so_anh_xa!$C$20="Operation")))</f>
        <v/>
      </c>
      <c r="K229" t="b">
        <v>0</v>
      </c>
      <c r="L229">
        <f>IF($J$229,$H$229,"balanced")</f>
        <v/>
      </c>
      <c r="M229" t="inlineStr">
        <is>
          <t>balanced</t>
        </is>
      </c>
      <c r="N229">
        <f>IF(OR($E$229="",$G$229),"balanced",IF(OR($E$229="*",ISNUMBER(FIND(";"&amp;$L$229&amp;";",";"&amp;$E$229&amp;";"))),$L$229,IF(ISNUMBER(FIND(";"&amp;"balanced"&amp;";",";"&amp;$E$229&amp;";")),"balanced",LEFT($E$229,FIND(";",$E$229&amp;";")-1))))</f>
        <v/>
      </c>
      <c r="O229" t="inlineStr">
        <is>
          <t>balanced</t>
        </is>
      </c>
      <c r="P229">
        <f>IF(OR($E$229="",$G$229),"KHONG_CHIEN_THUAT",IF(NOT($J$229),IF($H$229="balanced","GIU","CHE_DO_BO_QUA"),IF($N$229=$H$229,"GIU","HO_SO_GHI_DE")))</f>
        <v/>
      </c>
      <c r="Q229" t="inlineStr">
        <is>
          <t>Sim/AI/ConquestAi.P28.cs TickLayered + Sim/AI/Commander.cs AllowedTactic (mode.Deathmatch, wolff)</t>
        </is>
      </c>
      <c r="R229" t="inlineStr"/>
    </row>
    <row r="230">
      <c r="A230" t="inlineStr">
        <is>
          <t>mode.Defend/aurel</t>
        </is>
      </c>
      <c r="B230" t="inlineStr">
        <is>
          <t>mode.Defend</t>
        </is>
      </c>
      <c r="C230" t="inlineStr">
        <is>
          <t>aurel</t>
        </is>
      </c>
      <c r="D230">
        <f>AI_ho_so_anh_xa!$D$21</f>
        <v/>
      </c>
      <c r="E230">
        <f>INDEX(AI_ho_so_che_do!$B$2:$B$21,MATCH($D$230,AI_ho_so_che_do!$A$2:$A$21,0))&amp;""</f>
        <v/>
      </c>
      <c r="F230">
        <f>INDEX(AI_ho_so_che_do!$P$2:$P$21,MATCH($D$230,AI_ho_so_che_do!$A$2:$A$21,0))=TRUE</f>
        <v/>
      </c>
      <c r="G230">
        <f>ISNUMBER(FIND(";noGeneralTactic;",";"&amp;INDEX(AI_ho_so_che_do!$O$2:$O$21,MATCH($D$230,AI_ho_so_che_do!$A$2:$A$21,0))&amp;";"))</f>
        <v/>
      </c>
      <c r="H230">
        <f>IF(AI_tuong!$B$2&amp;""&lt;&gt;"",AI_tuong!$B$2,IF(AI_tuong!$B$4&amp;""&lt;&gt;"",AI_tuong!$B$4,"balanced"))</f>
        <v/>
      </c>
      <c r="I230" t="inlineStr">
        <is>
          <t>all_out</t>
        </is>
      </c>
      <c r="J230">
        <f>OR($F$230,AND(AI_ho_so_anh_xa!$B$21="mode",OR(AI_ho_so_anh_xa!$C$21="Weekly",AI_ho_so_anh_xa!$C$21="Operation")))</f>
        <v/>
      </c>
      <c r="K230" t="b">
        <v>0</v>
      </c>
      <c r="L230">
        <f>IF($J$230,$H$230,"balanced")</f>
        <v/>
      </c>
      <c r="M230" t="inlineStr">
        <is>
          <t>balanced</t>
        </is>
      </c>
      <c r="N230">
        <f>IF(OR($E$230="",$G$230),"balanced",IF(OR($E$230="*",ISNUMBER(FIND(";"&amp;$L$230&amp;";",";"&amp;$E$230&amp;";"))),$L$230,IF(ISNUMBER(FIND(";"&amp;"balanced"&amp;";",";"&amp;$E$230&amp;";")),"balanced",LEFT($E$230,FIND(";",$E$230&amp;";")-1))))</f>
        <v/>
      </c>
      <c r="O230" t="inlineStr">
        <is>
          <t>balanced</t>
        </is>
      </c>
      <c r="P230">
        <f>IF(OR($E$230="",$G$230),"KHONG_CHIEN_THUAT",IF(NOT($J$230),IF($H$230="balanced","GIU","CHE_DO_BO_QUA"),IF($N$230=$H$230,"GIU","HO_SO_GHI_DE")))</f>
        <v/>
      </c>
      <c r="Q230" t="inlineStr">
        <is>
          <t>Sim/AI/ConquestAi.P28.cs TickLayered + Sim/AI/Commander.cs AllowedTactic (mode.Defend, aurel)</t>
        </is>
      </c>
      <c r="R230" t="inlineStr"/>
    </row>
    <row r="231">
      <c r="A231" t="inlineStr">
        <is>
          <t>mode.Defend/brandt</t>
        </is>
      </c>
      <c r="B231" t="inlineStr">
        <is>
          <t>mode.Defend</t>
        </is>
      </c>
      <c r="C231" t="inlineStr">
        <is>
          <t>brandt</t>
        </is>
      </c>
      <c r="D231">
        <f>AI_ho_so_anh_xa!$D$21</f>
        <v/>
      </c>
      <c r="E231">
        <f>INDEX(AI_ho_so_che_do!$B$2:$B$21,MATCH($D$231,AI_ho_so_che_do!$A$2:$A$21,0))&amp;""</f>
        <v/>
      </c>
      <c r="F231">
        <f>INDEX(AI_ho_so_che_do!$P$2:$P$21,MATCH($D$231,AI_ho_so_che_do!$A$2:$A$21,0))=TRUE</f>
        <v/>
      </c>
      <c r="G231">
        <f>ISNUMBER(FIND(";noGeneralTactic;",";"&amp;INDEX(AI_ho_so_che_do!$O$2:$O$21,MATCH($D$231,AI_ho_so_che_do!$A$2:$A$21,0))&amp;";"))</f>
        <v/>
      </c>
      <c r="H231">
        <f>IF(AI_tuong!$B$3&amp;""&lt;&gt;"",AI_tuong!$B$3,IF(AI_tuong!$B$4&amp;""&lt;&gt;"",AI_tuong!$B$4,"balanced"))</f>
        <v/>
      </c>
      <c r="I231" t="inlineStr">
        <is>
          <t>depth</t>
        </is>
      </c>
      <c r="J231">
        <f>OR($F$231,AND(AI_ho_so_anh_xa!$B$21="mode",OR(AI_ho_so_anh_xa!$C$21="Weekly",AI_ho_so_anh_xa!$C$21="Operation")))</f>
        <v/>
      </c>
      <c r="K231" t="b">
        <v>0</v>
      </c>
      <c r="L231">
        <f>IF($J$231,$H$231,"balanced")</f>
        <v/>
      </c>
      <c r="M231" t="inlineStr">
        <is>
          <t>balanced</t>
        </is>
      </c>
      <c r="N231">
        <f>IF(OR($E$231="",$G$231),"balanced",IF(OR($E$231="*",ISNUMBER(FIND(";"&amp;$L$231&amp;";",";"&amp;$E$231&amp;";"))),$L$231,IF(ISNUMBER(FIND(";"&amp;"balanced"&amp;";",";"&amp;$E$231&amp;";")),"balanced",LEFT($E$231,FIND(";",$E$231&amp;";")-1))))</f>
        <v/>
      </c>
      <c r="O231" t="inlineStr">
        <is>
          <t>balanced</t>
        </is>
      </c>
      <c r="P231">
        <f>IF(OR($E$231="",$G$231),"KHONG_CHIEN_THUAT",IF(NOT($J$231),IF($H$231="balanced","GIU","CHE_DO_BO_QUA"),IF($N$231=$H$231,"GIU","HO_SO_GHI_DE")))</f>
        <v/>
      </c>
      <c r="Q231" t="inlineStr">
        <is>
          <t>Sim/AI/ConquestAi.P28.cs TickLayered + Sim/AI/Commander.cs AllowedTactic (mode.Defend, brandt)</t>
        </is>
      </c>
      <c r="R231" t="inlineStr"/>
    </row>
    <row r="232">
      <c r="A232" t="inlineStr">
        <is>
          <t>mode.Defend/default</t>
        </is>
      </c>
      <c r="B232" t="inlineStr">
        <is>
          <t>mode.Defend</t>
        </is>
      </c>
      <c r="C232" t="inlineStr">
        <is>
          <t>default</t>
        </is>
      </c>
      <c r="D232">
        <f>AI_ho_so_anh_xa!$D$21</f>
        <v/>
      </c>
      <c r="E232">
        <f>INDEX(AI_ho_so_che_do!$B$2:$B$21,MATCH($D$232,AI_ho_so_che_do!$A$2:$A$21,0))&amp;""</f>
        <v/>
      </c>
      <c r="F232">
        <f>INDEX(AI_ho_so_che_do!$P$2:$P$21,MATCH($D$232,AI_ho_so_che_do!$A$2:$A$21,0))=TRUE</f>
        <v/>
      </c>
      <c r="G232">
        <f>ISNUMBER(FIND(";noGeneralTactic;",";"&amp;INDEX(AI_ho_so_che_do!$O$2:$O$21,MATCH($D$232,AI_ho_so_che_do!$A$2:$A$21,0))&amp;";"))</f>
        <v/>
      </c>
      <c r="H232">
        <f>IF(AI_tuong!$B$4&amp;""&lt;&gt;"",AI_tuong!$B$4,IF(AI_tuong!$B$4&amp;""&lt;&gt;"",AI_tuong!$B$4,"balanced"))</f>
        <v/>
      </c>
      <c r="I232" t="inlineStr">
        <is>
          <t>balanced</t>
        </is>
      </c>
      <c r="J232">
        <f>OR($F$232,AND(AI_ho_so_anh_xa!$B$21="mode",OR(AI_ho_so_anh_xa!$C$21="Weekly",AI_ho_so_anh_xa!$C$21="Operation")))</f>
        <v/>
      </c>
      <c r="K232" t="b">
        <v>0</v>
      </c>
      <c r="L232">
        <f>IF($J$232,$H$232,"balanced")</f>
        <v/>
      </c>
      <c r="M232" t="inlineStr">
        <is>
          <t>balanced</t>
        </is>
      </c>
      <c r="N232">
        <f>IF(OR($E$232="",$G$232),"balanced",IF(OR($E$232="*",ISNUMBER(FIND(";"&amp;$L$232&amp;";",";"&amp;$E$232&amp;";"))),$L$232,IF(ISNUMBER(FIND(";"&amp;"balanced"&amp;";",";"&amp;$E$232&amp;";")),"balanced",LEFT($E$232,FIND(";",$E$232&amp;";")-1))))</f>
        <v/>
      </c>
      <c r="O232" t="inlineStr">
        <is>
          <t>balanced</t>
        </is>
      </c>
      <c r="P232">
        <f>IF(OR($E$232="",$G$232),"KHONG_CHIEN_THUAT",IF(NOT($J$232),IF($H$232="balanced","GIU","CHE_DO_BO_QUA"),IF($N$232=$H$232,"GIU","HO_SO_GHI_DE")))</f>
        <v/>
      </c>
      <c r="Q232" t="inlineStr">
        <is>
          <t>Sim/AI/ConquestAi.P28.cs TickLayered + Sim/AI/Commander.cs AllowedTactic (mode.Defend, default)</t>
        </is>
      </c>
      <c r="R232" t="inlineStr"/>
    </row>
    <row r="233">
      <c r="A233" t="inlineStr">
        <is>
          <t>mode.Defend/hung</t>
        </is>
      </c>
      <c r="B233" t="inlineStr">
        <is>
          <t>mode.Defend</t>
        </is>
      </c>
      <c r="C233" t="inlineStr">
        <is>
          <t>hung</t>
        </is>
      </c>
      <c r="D233">
        <f>AI_ho_so_anh_xa!$D$21</f>
        <v/>
      </c>
      <c r="E233">
        <f>INDEX(AI_ho_so_che_do!$B$2:$B$21,MATCH($D$233,AI_ho_so_che_do!$A$2:$A$21,0))&amp;""</f>
        <v/>
      </c>
      <c r="F233">
        <f>INDEX(AI_ho_so_che_do!$P$2:$P$21,MATCH($D$233,AI_ho_so_che_do!$A$2:$A$21,0))=TRUE</f>
        <v/>
      </c>
      <c r="G233">
        <f>ISNUMBER(FIND(";noGeneralTactic;",";"&amp;INDEX(AI_ho_so_che_do!$O$2:$O$21,MATCH($D$233,AI_ho_so_che_do!$A$2:$A$21,0))&amp;";"))</f>
        <v/>
      </c>
      <c r="H233">
        <f>IF(AI_tuong!$B$5&amp;""&lt;&gt;"",AI_tuong!$B$5,IF(AI_tuong!$B$4&amp;""&lt;&gt;"",AI_tuong!$B$4,"balanced"))</f>
        <v/>
      </c>
      <c r="I233" t="inlineStr">
        <is>
          <t>balanced</t>
        </is>
      </c>
      <c r="J233">
        <f>OR($F$233,AND(AI_ho_so_anh_xa!$B$21="mode",OR(AI_ho_so_anh_xa!$C$21="Weekly",AI_ho_so_anh_xa!$C$21="Operation")))</f>
        <v/>
      </c>
      <c r="K233" t="b">
        <v>0</v>
      </c>
      <c r="L233">
        <f>IF($J$233,$H$233,"balanced")</f>
        <v/>
      </c>
      <c r="M233" t="inlineStr">
        <is>
          <t>balanced</t>
        </is>
      </c>
      <c r="N233">
        <f>IF(OR($E$233="",$G$233),"balanced",IF(OR($E$233="*",ISNUMBER(FIND(";"&amp;$L$233&amp;";",";"&amp;$E$233&amp;";"))),$L$233,IF(ISNUMBER(FIND(";"&amp;"balanced"&amp;";",";"&amp;$E$233&amp;";")),"balanced",LEFT($E$233,FIND(";",$E$233&amp;";")-1))))</f>
        <v/>
      </c>
      <c r="O233" t="inlineStr">
        <is>
          <t>balanced</t>
        </is>
      </c>
      <c r="P233">
        <f>IF(OR($E$233="",$G$233),"KHONG_CHIEN_THUAT",IF(NOT($J$233),IF($H$233="balanced","GIU","CHE_DO_BO_QUA"),IF($N$233=$H$233,"GIU","HO_SO_GHI_DE")))</f>
        <v/>
      </c>
      <c r="Q233" t="inlineStr">
        <is>
          <t>Sim/AI/ConquestAi.P28.cs TickLayered + Sim/AI/Commander.cs AllowedTactic (mode.Defend, hung)</t>
        </is>
      </c>
      <c r="R233" t="inlineStr"/>
    </row>
    <row r="234">
      <c r="A234" t="inlineStr">
        <is>
          <t>mode.Defend/kessler</t>
        </is>
      </c>
      <c r="B234" t="inlineStr">
        <is>
          <t>mode.Defend</t>
        </is>
      </c>
      <c r="C234" t="inlineStr">
        <is>
          <t>kessler</t>
        </is>
      </c>
      <c r="D234">
        <f>AI_ho_so_anh_xa!$D$21</f>
        <v/>
      </c>
      <c r="E234">
        <f>INDEX(AI_ho_so_che_do!$B$2:$B$21,MATCH($D$234,AI_ho_so_che_do!$A$2:$A$21,0))&amp;""</f>
        <v/>
      </c>
      <c r="F234">
        <f>INDEX(AI_ho_so_che_do!$P$2:$P$21,MATCH($D$234,AI_ho_so_che_do!$A$2:$A$21,0))=TRUE</f>
        <v/>
      </c>
      <c r="G234">
        <f>ISNUMBER(FIND(";noGeneralTactic;",";"&amp;INDEX(AI_ho_so_che_do!$O$2:$O$21,MATCH($D$234,AI_ho_so_che_do!$A$2:$A$21,0))&amp;";"))</f>
        <v/>
      </c>
      <c r="H234">
        <f>IF(AI_tuong!$B$6&amp;""&lt;&gt;"",AI_tuong!$B$6,IF(AI_tuong!$B$4&amp;""&lt;&gt;"",AI_tuong!$B$4,"balanced"))</f>
        <v/>
      </c>
      <c r="I234" t="inlineStr">
        <is>
          <t>attrition</t>
        </is>
      </c>
      <c r="J234">
        <f>OR($F$234,AND(AI_ho_so_anh_xa!$B$21="mode",OR(AI_ho_so_anh_xa!$C$21="Weekly",AI_ho_so_anh_xa!$C$21="Operation")))</f>
        <v/>
      </c>
      <c r="K234" t="b">
        <v>0</v>
      </c>
      <c r="L234">
        <f>IF($J$234,$H$234,"balanced")</f>
        <v/>
      </c>
      <c r="M234" t="inlineStr">
        <is>
          <t>balanced</t>
        </is>
      </c>
      <c r="N234">
        <f>IF(OR($E$234="",$G$234),"balanced",IF(OR($E$234="*",ISNUMBER(FIND(";"&amp;$L$234&amp;";",";"&amp;$E$234&amp;";"))),$L$234,IF(ISNUMBER(FIND(";"&amp;"balanced"&amp;";",";"&amp;$E$234&amp;";")),"balanced",LEFT($E$234,FIND(";",$E$234&amp;";")-1))))</f>
        <v/>
      </c>
      <c r="O234" t="inlineStr">
        <is>
          <t>balanced</t>
        </is>
      </c>
      <c r="P234">
        <f>IF(OR($E$234="",$G$234),"KHONG_CHIEN_THUAT",IF(NOT($J$234),IF($H$234="balanced","GIU","CHE_DO_BO_QUA"),IF($N$234=$H$234,"GIU","HO_SO_GHI_DE")))</f>
        <v/>
      </c>
      <c r="Q234" t="inlineStr">
        <is>
          <t>Sim/AI/ConquestAi.P28.cs TickLayered + Sim/AI/Commander.cs AllowedTactic (mode.Defend, kessler)</t>
        </is>
      </c>
      <c r="R234" t="inlineStr"/>
    </row>
    <row r="235">
      <c r="A235" t="inlineStr">
        <is>
          <t>mode.Defend/orlov</t>
        </is>
      </c>
      <c r="B235" t="inlineStr">
        <is>
          <t>mode.Defend</t>
        </is>
      </c>
      <c r="C235" t="inlineStr">
        <is>
          <t>orlov</t>
        </is>
      </c>
      <c r="D235">
        <f>AI_ho_so_anh_xa!$D$21</f>
        <v/>
      </c>
      <c r="E235">
        <f>INDEX(AI_ho_so_che_do!$B$2:$B$21,MATCH($D$235,AI_ho_so_che_do!$A$2:$A$21,0))&amp;""</f>
        <v/>
      </c>
      <c r="F235">
        <f>INDEX(AI_ho_so_che_do!$P$2:$P$21,MATCH($D$235,AI_ho_so_che_do!$A$2:$A$21,0))=TRUE</f>
        <v/>
      </c>
      <c r="G235">
        <f>ISNUMBER(FIND(";noGeneralTactic;",";"&amp;INDEX(AI_ho_so_che_do!$O$2:$O$21,MATCH($D$235,AI_ho_so_che_do!$A$2:$A$21,0))&amp;";"))</f>
        <v/>
      </c>
      <c r="H235">
        <f>IF(AI_tuong!$B$7&amp;""&lt;&gt;"",AI_tuong!$B$7,IF(AI_tuong!$B$4&amp;""&lt;&gt;"",AI_tuong!$B$4,"balanced"))</f>
        <v/>
      </c>
      <c r="I235" t="inlineStr">
        <is>
          <t>firepower</t>
        </is>
      </c>
      <c r="J235">
        <f>OR($F$235,AND(AI_ho_so_anh_xa!$B$21="mode",OR(AI_ho_so_anh_xa!$C$21="Weekly",AI_ho_so_anh_xa!$C$21="Operation")))</f>
        <v/>
      </c>
      <c r="K235" t="b">
        <v>0</v>
      </c>
      <c r="L235">
        <f>IF($J$235,$H$235,"balanced")</f>
        <v/>
      </c>
      <c r="M235" t="inlineStr">
        <is>
          <t>balanced</t>
        </is>
      </c>
      <c r="N235">
        <f>IF(OR($E$235="",$G$235),"balanced",IF(OR($E$235="*",ISNUMBER(FIND(";"&amp;$L$235&amp;";",";"&amp;$E$235&amp;";"))),$L$235,IF(ISNUMBER(FIND(";"&amp;"balanced"&amp;";",";"&amp;$E$235&amp;";")),"balanced",LEFT($E$235,FIND(";",$E$235&amp;";")-1))))</f>
        <v/>
      </c>
      <c r="O235" t="inlineStr">
        <is>
          <t>balanced</t>
        </is>
      </c>
      <c r="P235">
        <f>IF(OR($E$235="",$G$235),"KHONG_CHIEN_THUAT",IF(NOT($J$235),IF($H$235="balanced","GIU","CHE_DO_BO_QUA"),IF($N$235=$H$235,"GIU","HO_SO_GHI_DE")))</f>
        <v/>
      </c>
      <c r="Q235" t="inlineStr">
        <is>
          <t>Sim/AI/ConquestAi.P28.cs TickLayered + Sim/AI/Commander.cs AllowedTactic (mode.Defend, orlov)</t>
        </is>
      </c>
      <c r="R235" t="inlineStr"/>
    </row>
    <row r="236">
      <c r="A236" t="inlineStr">
        <is>
          <t>mode.Defend/quaden</t>
        </is>
      </c>
      <c r="B236" t="inlineStr">
        <is>
          <t>mode.Defend</t>
        </is>
      </c>
      <c r="C236" t="inlineStr">
        <is>
          <t>quaden</t>
        </is>
      </c>
      <c r="D236">
        <f>AI_ho_so_anh_xa!$D$21</f>
        <v/>
      </c>
      <c r="E236">
        <f>INDEX(AI_ho_so_che_do!$B$2:$B$21,MATCH($D$236,AI_ho_so_che_do!$A$2:$A$21,0))&amp;""</f>
        <v/>
      </c>
      <c r="F236">
        <f>INDEX(AI_ho_so_che_do!$P$2:$P$21,MATCH($D$236,AI_ho_so_che_do!$A$2:$A$21,0))=TRUE</f>
        <v/>
      </c>
      <c r="G236">
        <f>ISNUMBER(FIND(";noGeneralTactic;",";"&amp;INDEX(AI_ho_so_che_do!$O$2:$O$21,MATCH($D$236,AI_ho_so_che_do!$A$2:$A$21,0))&amp;";"))</f>
        <v/>
      </c>
      <c r="H236">
        <f>IF(AI_tuong!$B$8&amp;""&lt;&gt;"",AI_tuong!$B$8,IF(AI_tuong!$B$4&amp;""&lt;&gt;"",AI_tuong!$B$4,"balanced"))</f>
        <v/>
      </c>
      <c r="I236" t="inlineStr">
        <is>
          <t>balanced</t>
        </is>
      </c>
      <c r="J236">
        <f>OR($F$236,AND(AI_ho_so_anh_xa!$B$21="mode",OR(AI_ho_so_anh_xa!$C$21="Weekly",AI_ho_so_anh_xa!$C$21="Operation")))</f>
        <v/>
      </c>
      <c r="K236" t="b">
        <v>0</v>
      </c>
      <c r="L236">
        <f>IF($J$236,$H$236,"balanced")</f>
        <v/>
      </c>
      <c r="M236" t="inlineStr">
        <is>
          <t>balanced</t>
        </is>
      </c>
      <c r="N236">
        <f>IF(OR($E$236="",$G$236),"balanced",IF(OR($E$236="*",ISNUMBER(FIND(";"&amp;$L$236&amp;";",";"&amp;$E$236&amp;";"))),$L$236,IF(ISNUMBER(FIND(";"&amp;"balanced"&amp;";",";"&amp;$E$236&amp;";")),"balanced",LEFT($E$236,FIND(";",$E$236&amp;";")-1))))</f>
        <v/>
      </c>
      <c r="O236" t="inlineStr">
        <is>
          <t>balanced</t>
        </is>
      </c>
      <c r="P236">
        <f>IF(OR($E$236="",$G$236),"KHONG_CHIEN_THUAT",IF(NOT($J$236),IF($H$236="balanced","GIU","CHE_DO_BO_QUA"),IF($N$236=$H$236,"GIU","HO_SO_GHI_DE")))</f>
        <v/>
      </c>
      <c r="Q236" t="inlineStr">
        <is>
          <t>Sim/AI/ConquestAi.P28.cs TickLayered + Sim/AI/Commander.cs AllowedTactic (mode.Defend, quaden)</t>
        </is>
      </c>
      <c r="R236" t="inlineStr"/>
    </row>
    <row r="237">
      <c r="A237" t="inlineStr">
        <is>
          <t>mode.Defend/sen</t>
        </is>
      </c>
      <c r="B237" t="inlineStr">
        <is>
          <t>mode.Defend</t>
        </is>
      </c>
      <c r="C237" t="inlineStr">
        <is>
          <t>sen</t>
        </is>
      </c>
      <c r="D237">
        <f>AI_ho_so_anh_xa!$D$21</f>
        <v/>
      </c>
      <c r="E237">
        <f>INDEX(AI_ho_so_che_do!$B$2:$B$21,MATCH($D$237,AI_ho_so_che_do!$A$2:$A$21,0))&amp;""</f>
        <v/>
      </c>
      <c r="F237">
        <f>INDEX(AI_ho_so_che_do!$P$2:$P$21,MATCH($D$237,AI_ho_so_che_do!$A$2:$A$21,0))=TRUE</f>
        <v/>
      </c>
      <c r="G237">
        <f>ISNUMBER(FIND(";noGeneralTactic;",";"&amp;INDEX(AI_ho_so_che_do!$O$2:$O$21,MATCH($D$237,AI_ho_so_che_do!$A$2:$A$21,0))&amp;";"))</f>
        <v/>
      </c>
      <c r="H237">
        <f>IF(AI_tuong!$B$9&amp;""&lt;&gt;"",AI_tuong!$B$9,IF(AI_tuong!$B$4&amp;""&lt;&gt;"",AI_tuong!$B$4,"balanced"))</f>
        <v/>
      </c>
      <c r="I237" t="inlineStr">
        <is>
          <t>balanced</t>
        </is>
      </c>
      <c r="J237">
        <f>OR($F$237,AND(AI_ho_so_anh_xa!$B$21="mode",OR(AI_ho_so_anh_xa!$C$21="Weekly",AI_ho_so_anh_xa!$C$21="Operation")))</f>
        <v/>
      </c>
      <c r="K237" t="b">
        <v>0</v>
      </c>
      <c r="L237">
        <f>IF($J$237,$H$237,"balanced")</f>
        <v/>
      </c>
      <c r="M237" t="inlineStr">
        <is>
          <t>balanced</t>
        </is>
      </c>
      <c r="N237">
        <f>IF(OR($E$237="",$G$237),"balanced",IF(OR($E$237="*",ISNUMBER(FIND(";"&amp;$L$237&amp;";",";"&amp;$E$237&amp;";"))),$L$237,IF(ISNUMBER(FIND(";"&amp;"balanced"&amp;";",";"&amp;$E$237&amp;";")),"balanced",LEFT($E$237,FIND(";",$E$237&amp;";")-1))))</f>
        <v/>
      </c>
      <c r="O237" t="inlineStr">
        <is>
          <t>balanced</t>
        </is>
      </c>
      <c r="P237">
        <f>IF(OR($E$237="",$G$237),"KHONG_CHIEN_THUAT",IF(NOT($J$237),IF($H$237="balanced","GIU","CHE_DO_BO_QUA"),IF($N$237=$H$237,"GIU","HO_SO_GHI_DE")))</f>
        <v/>
      </c>
      <c r="Q237" t="inlineStr">
        <is>
          <t>Sim/AI/ConquestAi.P28.cs TickLayered + Sim/AI/Commander.cs AllowedTactic (mode.Defend, sen)</t>
        </is>
      </c>
      <c r="R237" t="inlineStr"/>
    </row>
    <row r="238">
      <c r="A238" t="inlineStr">
        <is>
          <t>mode.Defend/thorne</t>
        </is>
      </c>
      <c r="B238" t="inlineStr">
        <is>
          <t>mode.Defend</t>
        </is>
      </c>
      <c r="C238" t="inlineStr">
        <is>
          <t>thorne</t>
        </is>
      </c>
      <c r="D238">
        <f>AI_ho_so_anh_xa!$D$21</f>
        <v/>
      </c>
      <c r="E238">
        <f>INDEX(AI_ho_so_che_do!$B$2:$B$21,MATCH($D$238,AI_ho_so_che_do!$A$2:$A$21,0))&amp;""</f>
        <v/>
      </c>
      <c r="F238">
        <f>INDEX(AI_ho_so_che_do!$P$2:$P$21,MATCH($D$238,AI_ho_so_che_do!$A$2:$A$21,0))=TRUE</f>
        <v/>
      </c>
      <c r="G238">
        <f>ISNUMBER(FIND(";noGeneralTactic;",";"&amp;INDEX(AI_ho_so_che_do!$O$2:$O$21,MATCH($D$238,AI_ho_so_che_do!$A$2:$A$21,0))&amp;";"))</f>
        <v/>
      </c>
      <c r="H238">
        <f>IF(AI_tuong!$B$10&amp;""&lt;&gt;"",AI_tuong!$B$10,IF(AI_tuong!$B$4&amp;""&lt;&gt;"",AI_tuong!$B$4,"balanced"))</f>
        <v/>
      </c>
      <c r="I238" t="inlineStr">
        <is>
          <t>balanced</t>
        </is>
      </c>
      <c r="J238">
        <f>OR($F$238,AND(AI_ho_so_anh_xa!$B$21="mode",OR(AI_ho_so_anh_xa!$C$21="Weekly",AI_ho_so_anh_xa!$C$21="Operation")))</f>
        <v/>
      </c>
      <c r="K238" t="b">
        <v>0</v>
      </c>
      <c r="L238">
        <f>IF($J$238,$H$238,"balanced")</f>
        <v/>
      </c>
      <c r="M238" t="inlineStr">
        <is>
          <t>balanced</t>
        </is>
      </c>
      <c r="N238">
        <f>IF(OR($E$238="",$G$238),"balanced",IF(OR($E$238="*",ISNUMBER(FIND(";"&amp;$L$238&amp;";",";"&amp;$E$238&amp;";"))),$L$238,IF(ISNUMBER(FIND(";"&amp;"balanced"&amp;";",";"&amp;$E$238&amp;";")),"balanced",LEFT($E$238,FIND(";",$E$238&amp;";")-1))))</f>
        <v/>
      </c>
      <c r="O238" t="inlineStr">
        <is>
          <t>balanced</t>
        </is>
      </c>
      <c r="P238">
        <f>IF(OR($E$238="",$G$238),"KHONG_CHIEN_THUAT",IF(NOT($J$238),IF($H$238="balanced","GIU","CHE_DO_BO_QUA"),IF($N$238=$H$238,"GIU","HO_SO_GHI_DE")))</f>
        <v/>
      </c>
      <c r="Q238" t="inlineStr">
        <is>
          <t>Sim/AI/ConquestAi.P28.cs TickLayered + Sim/AI/Commander.cs AllowedTactic (mode.Defend, thorne)</t>
        </is>
      </c>
      <c r="R238" t="inlineStr"/>
    </row>
    <row r="239">
      <c r="A239" t="inlineStr">
        <is>
          <t>mode.Defend/varga</t>
        </is>
      </c>
      <c r="B239" t="inlineStr">
        <is>
          <t>mode.Defend</t>
        </is>
      </c>
      <c r="C239" t="inlineStr">
        <is>
          <t>varga</t>
        </is>
      </c>
      <c r="D239">
        <f>AI_ho_so_anh_xa!$D$21</f>
        <v/>
      </c>
      <c r="E239">
        <f>INDEX(AI_ho_so_che_do!$B$2:$B$21,MATCH($D$239,AI_ho_so_che_do!$A$2:$A$21,0))&amp;""</f>
        <v/>
      </c>
      <c r="F239">
        <f>INDEX(AI_ho_so_che_do!$P$2:$P$21,MATCH($D$239,AI_ho_so_che_do!$A$2:$A$21,0))=TRUE</f>
        <v/>
      </c>
      <c r="G239">
        <f>ISNUMBER(FIND(";noGeneralTactic;",";"&amp;INDEX(AI_ho_so_che_do!$O$2:$O$21,MATCH($D$239,AI_ho_so_che_do!$A$2:$A$21,0))&amp;";"))</f>
        <v/>
      </c>
      <c r="H239">
        <f>IF(AI_tuong!$B$11&amp;""&lt;&gt;"",AI_tuong!$B$11,IF(AI_tuong!$B$4&amp;""&lt;&gt;"",AI_tuong!$B$4,"balanced"))</f>
        <v/>
      </c>
      <c r="I239" t="inlineStr">
        <is>
          <t>breakthrough</t>
        </is>
      </c>
      <c r="J239">
        <f>OR($F$239,AND(AI_ho_so_anh_xa!$B$21="mode",OR(AI_ho_so_anh_xa!$C$21="Weekly",AI_ho_so_anh_xa!$C$21="Operation")))</f>
        <v/>
      </c>
      <c r="K239" t="b">
        <v>0</v>
      </c>
      <c r="L239">
        <f>IF($J$239,$H$239,"balanced")</f>
        <v/>
      </c>
      <c r="M239" t="inlineStr">
        <is>
          <t>balanced</t>
        </is>
      </c>
      <c r="N239">
        <f>IF(OR($E$239="",$G$239),"balanced",IF(OR($E$239="*",ISNUMBER(FIND(";"&amp;$L$239&amp;";",";"&amp;$E$239&amp;";"))),$L$239,IF(ISNUMBER(FIND(";"&amp;"balanced"&amp;";",";"&amp;$E$239&amp;";")),"balanced",LEFT($E$239,FIND(";",$E$239&amp;";")-1))))</f>
        <v/>
      </c>
      <c r="O239" t="inlineStr">
        <is>
          <t>balanced</t>
        </is>
      </c>
      <c r="P239">
        <f>IF(OR($E$239="",$G$239),"KHONG_CHIEN_THUAT",IF(NOT($J$239),IF($H$239="balanced","GIU","CHE_DO_BO_QUA"),IF($N$239=$H$239,"GIU","HO_SO_GHI_DE")))</f>
        <v/>
      </c>
      <c r="Q239" t="inlineStr">
        <is>
          <t>Sim/AI/ConquestAi.P28.cs TickLayered + Sim/AI/Commander.cs AllowedTactic (mode.Defend, varga)</t>
        </is>
      </c>
      <c r="R239" t="inlineStr"/>
    </row>
    <row r="240">
      <c r="A240" t="inlineStr">
        <is>
          <t>mode.Defend/venn</t>
        </is>
      </c>
      <c r="B240" t="inlineStr">
        <is>
          <t>mode.Defend</t>
        </is>
      </c>
      <c r="C240" t="inlineStr">
        <is>
          <t>venn</t>
        </is>
      </c>
      <c r="D240">
        <f>AI_ho_so_anh_xa!$D$21</f>
        <v/>
      </c>
      <c r="E240">
        <f>INDEX(AI_ho_so_che_do!$B$2:$B$21,MATCH($D$240,AI_ho_so_che_do!$A$2:$A$21,0))&amp;""</f>
        <v/>
      </c>
      <c r="F240">
        <f>INDEX(AI_ho_so_che_do!$P$2:$P$21,MATCH($D$240,AI_ho_so_che_do!$A$2:$A$21,0))=TRUE</f>
        <v/>
      </c>
      <c r="G240">
        <f>ISNUMBER(FIND(";noGeneralTactic;",";"&amp;INDEX(AI_ho_so_che_do!$O$2:$O$21,MATCH($D$240,AI_ho_so_che_do!$A$2:$A$21,0))&amp;";"))</f>
        <v/>
      </c>
      <c r="H240">
        <f>IF(AI_tuong!$B$12&amp;""&lt;&gt;"",AI_tuong!$B$12,IF(AI_tuong!$B$4&amp;""&lt;&gt;"",AI_tuong!$B$4,"balanced"))</f>
        <v/>
      </c>
      <c r="I240" t="inlineStr">
        <is>
          <t>dispersal</t>
        </is>
      </c>
      <c r="J240">
        <f>OR($F$240,AND(AI_ho_so_anh_xa!$B$21="mode",OR(AI_ho_so_anh_xa!$C$21="Weekly",AI_ho_so_anh_xa!$C$21="Operation")))</f>
        <v/>
      </c>
      <c r="K240" t="b">
        <v>0</v>
      </c>
      <c r="L240">
        <f>IF($J$240,$H$240,"balanced")</f>
        <v/>
      </c>
      <c r="M240" t="inlineStr">
        <is>
          <t>balanced</t>
        </is>
      </c>
      <c r="N240">
        <f>IF(OR($E$240="",$G$240),"balanced",IF(OR($E$240="*",ISNUMBER(FIND(";"&amp;$L$240&amp;";",";"&amp;$E$240&amp;";"))),$L$240,IF(ISNUMBER(FIND(";"&amp;"balanced"&amp;";",";"&amp;$E$240&amp;";")),"balanced",LEFT($E$240,FIND(";",$E$240&amp;";")-1))))</f>
        <v/>
      </c>
      <c r="O240" t="inlineStr">
        <is>
          <t>balanced</t>
        </is>
      </c>
      <c r="P240">
        <f>IF(OR($E$240="",$G$240),"KHONG_CHIEN_THUAT",IF(NOT($J$240),IF($H$240="balanced","GIU","CHE_DO_BO_QUA"),IF($N$240=$H$240,"GIU","HO_SO_GHI_DE")))</f>
        <v/>
      </c>
      <c r="Q240" t="inlineStr">
        <is>
          <t>Sim/AI/ConquestAi.P28.cs TickLayered + Sim/AI/Commander.cs AllowedTactic (mode.Defend, venn)</t>
        </is>
      </c>
      <c r="R240" t="inlineStr"/>
    </row>
    <row r="241">
      <c r="A241" t="inlineStr">
        <is>
          <t>mode.Defend/wolff</t>
        </is>
      </c>
      <c r="B241" t="inlineStr">
        <is>
          <t>mode.Defend</t>
        </is>
      </c>
      <c r="C241" t="inlineStr">
        <is>
          <t>wolff</t>
        </is>
      </c>
      <c r="D241">
        <f>AI_ho_so_anh_xa!$D$21</f>
        <v/>
      </c>
      <c r="E241">
        <f>INDEX(AI_ho_so_che_do!$B$2:$B$21,MATCH($D$241,AI_ho_so_che_do!$A$2:$A$21,0))&amp;""</f>
        <v/>
      </c>
      <c r="F241">
        <f>INDEX(AI_ho_so_che_do!$P$2:$P$21,MATCH($D$241,AI_ho_so_che_do!$A$2:$A$21,0))=TRUE</f>
        <v/>
      </c>
      <c r="G241">
        <f>ISNUMBER(FIND(";noGeneralTactic;",";"&amp;INDEX(AI_ho_so_che_do!$O$2:$O$21,MATCH($D$241,AI_ho_so_che_do!$A$2:$A$21,0))&amp;";"))</f>
        <v/>
      </c>
      <c r="H241">
        <f>IF(AI_tuong!$B$13&amp;""&lt;&gt;"",AI_tuong!$B$13,IF(AI_tuong!$B$4&amp;""&lt;&gt;"",AI_tuong!$B$4,"balanced"))</f>
        <v/>
      </c>
      <c r="I241" t="inlineStr">
        <is>
          <t>air_superiority</t>
        </is>
      </c>
      <c r="J241">
        <f>OR($F$241,AND(AI_ho_so_anh_xa!$B$21="mode",OR(AI_ho_so_anh_xa!$C$21="Weekly",AI_ho_so_anh_xa!$C$21="Operation")))</f>
        <v/>
      </c>
      <c r="K241" t="b">
        <v>0</v>
      </c>
      <c r="L241">
        <f>IF($J$241,$H$241,"balanced")</f>
        <v/>
      </c>
      <c r="M241" t="inlineStr">
        <is>
          <t>balanced</t>
        </is>
      </c>
      <c r="N241">
        <f>IF(OR($E$241="",$G$241),"balanced",IF(OR($E$241="*",ISNUMBER(FIND(";"&amp;$L$241&amp;";",";"&amp;$E$241&amp;";"))),$L$241,IF(ISNUMBER(FIND(";"&amp;"balanced"&amp;";",";"&amp;$E$241&amp;";")),"balanced",LEFT($E$241,FIND(";",$E$241&amp;";")-1))))</f>
        <v/>
      </c>
      <c r="O241" t="inlineStr">
        <is>
          <t>balanced</t>
        </is>
      </c>
      <c r="P241">
        <f>IF(OR($E$241="",$G$241),"KHONG_CHIEN_THUAT",IF(NOT($J$241),IF($H$241="balanced","GIU","CHE_DO_BO_QUA"),IF($N$241=$H$241,"GIU","HO_SO_GHI_DE")))</f>
        <v/>
      </c>
      <c r="Q241" t="inlineStr">
        <is>
          <t>Sim/AI/ConquestAi.P28.cs TickLayered + Sim/AI/Commander.cs AllowedTactic (mode.Defend, wolff)</t>
        </is>
      </c>
      <c r="R241" t="inlineStr"/>
    </row>
    <row r="242">
      <c r="A242" t="inlineStr">
        <is>
          <t>mode.Endless/aurel</t>
        </is>
      </c>
      <c r="B242" t="inlineStr">
        <is>
          <t>mode.Endless</t>
        </is>
      </c>
      <c r="C242" t="inlineStr">
        <is>
          <t>aurel</t>
        </is>
      </c>
      <c r="D242">
        <f>AI_ho_so_anh_xa!$D$22</f>
        <v/>
      </c>
      <c r="E242">
        <f>INDEX(AI_ho_so_che_do!$B$2:$B$21,MATCH($D$242,AI_ho_so_che_do!$A$2:$A$21,0))&amp;""</f>
        <v/>
      </c>
      <c r="F242">
        <f>INDEX(AI_ho_so_che_do!$P$2:$P$21,MATCH($D$242,AI_ho_so_che_do!$A$2:$A$21,0))=TRUE</f>
        <v/>
      </c>
      <c r="G242">
        <f>ISNUMBER(FIND(";noGeneralTactic;",";"&amp;INDEX(AI_ho_so_che_do!$O$2:$O$21,MATCH($D$242,AI_ho_so_che_do!$A$2:$A$21,0))&amp;";"))</f>
        <v/>
      </c>
      <c r="H242">
        <f>IF(AI_tuong!$B$2&amp;""&lt;&gt;"",AI_tuong!$B$2,IF(AI_tuong!$B$4&amp;""&lt;&gt;"",AI_tuong!$B$4,"balanced"))</f>
        <v/>
      </c>
      <c r="I242" t="inlineStr">
        <is>
          <t>all_out</t>
        </is>
      </c>
      <c r="J242">
        <f>OR($F$242,AND(AI_ho_so_anh_xa!$B$22="mode",OR(AI_ho_so_anh_xa!$C$22="Weekly",AI_ho_so_anh_xa!$C$22="Operation")))</f>
        <v/>
      </c>
      <c r="K242" t="b">
        <v>0</v>
      </c>
      <c r="L242">
        <f>IF($J$242,$H$242,"balanced")</f>
        <v/>
      </c>
      <c r="M242" t="inlineStr">
        <is>
          <t>balanced</t>
        </is>
      </c>
      <c r="N242">
        <f>IF(OR($E$242="",$G$242),"balanced",IF(OR($E$242="*",ISNUMBER(FIND(";"&amp;$L$242&amp;";",";"&amp;$E$242&amp;";"))),$L$242,IF(ISNUMBER(FIND(";"&amp;"balanced"&amp;";",";"&amp;$E$242&amp;";")),"balanced",LEFT($E$242,FIND(";",$E$242&amp;";")-1))))</f>
        <v/>
      </c>
      <c r="O242" t="inlineStr">
        <is>
          <t>balanced</t>
        </is>
      </c>
      <c r="P242">
        <f>IF(OR($E$242="",$G$242),"KHONG_CHIEN_THUAT",IF(NOT($J$242),IF($H$242="balanced","GIU","CHE_DO_BO_QUA"),IF($N$242=$H$242,"GIU","HO_SO_GHI_DE")))</f>
        <v/>
      </c>
      <c r="Q242" t="inlineStr">
        <is>
          <t>Sim/AI/ConquestAi.P28.cs TickLayered + Sim/AI/Commander.cs AllowedTactic (mode.Endless, aurel)</t>
        </is>
      </c>
      <c r="R242" t="inlineStr"/>
    </row>
    <row r="243">
      <c r="A243" t="inlineStr">
        <is>
          <t>mode.Endless/brandt</t>
        </is>
      </c>
      <c r="B243" t="inlineStr">
        <is>
          <t>mode.Endless</t>
        </is>
      </c>
      <c r="C243" t="inlineStr">
        <is>
          <t>brandt</t>
        </is>
      </c>
      <c r="D243">
        <f>AI_ho_so_anh_xa!$D$22</f>
        <v/>
      </c>
      <c r="E243">
        <f>INDEX(AI_ho_so_che_do!$B$2:$B$21,MATCH($D$243,AI_ho_so_che_do!$A$2:$A$21,0))&amp;""</f>
        <v/>
      </c>
      <c r="F243">
        <f>INDEX(AI_ho_so_che_do!$P$2:$P$21,MATCH($D$243,AI_ho_so_che_do!$A$2:$A$21,0))=TRUE</f>
        <v/>
      </c>
      <c r="G243">
        <f>ISNUMBER(FIND(";noGeneralTactic;",";"&amp;INDEX(AI_ho_so_che_do!$O$2:$O$21,MATCH($D$243,AI_ho_so_che_do!$A$2:$A$21,0))&amp;";"))</f>
        <v/>
      </c>
      <c r="H243">
        <f>IF(AI_tuong!$B$3&amp;""&lt;&gt;"",AI_tuong!$B$3,IF(AI_tuong!$B$4&amp;""&lt;&gt;"",AI_tuong!$B$4,"balanced"))</f>
        <v/>
      </c>
      <c r="I243" t="inlineStr">
        <is>
          <t>depth</t>
        </is>
      </c>
      <c r="J243">
        <f>OR($F$243,AND(AI_ho_so_anh_xa!$B$22="mode",OR(AI_ho_so_anh_xa!$C$22="Weekly",AI_ho_so_anh_xa!$C$22="Operation")))</f>
        <v/>
      </c>
      <c r="K243" t="b">
        <v>0</v>
      </c>
      <c r="L243">
        <f>IF($J$243,$H$243,"balanced")</f>
        <v/>
      </c>
      <c r="M243" t="inlineStr">
        <is>
          <t>balanced</t>
        </is>
      </c>
      <c r="N243">
        <f>IF(OR($E$243="",$G$243),"balanced",IF(OR($E$243="*",ISNUMBER(FIND(";"&amp;$L$243&amp;";",";"&amp;$E$243&amp;";"))),$L$243,IF(ISNUMBER(FIND(";"&amp;"balanced"&amp;";",";"&amp;$E$243&amp;";")),"balanced",LEFT($E$243,FIND(";",$E$243&amp;";")-1))))</f>
        <v/>
      </c>
      <c r="O243" t="inlineStr">
        <is>
          <t>balanced</t>
        </is>
      </c>
      <c r="P243">
        <f>IF(OR($E$243="",$G$243),"KHONG_CHIEN_THUAT",IF(NOT($J$243),IF($H$243="balanced","GIU","CHE_DO_BO_QUA"),IF($N$243=$H$243,"GIU","HO_SO_GHI_DE")))</f>
        <v/>
      </c>
      <c r="Q243" t="inlineStr">
        <is>
          <t>Sim/AI/ConquestAi.P28.cs TickLayered + Sim/AI/Commander.cs AllowedTactic (mode.Endless, brandt)</t>
        </is>
      </c>
      <c r="R243" t="inlineStr"/>
    </row>
    <row r="244">
      <c r="A244" t="inlineStr">
        <is>
          <t>mode.Endless/default</t>
        </is>
      </c>
      <c r="B244" t="inlineStr">
        <is>
          <t>mode.Endless</t>
        </is>
      </c>
      <c r="C244" t="inlineStr">
        <is>
          <t>default</t>
        </is>
      </c>
      <c r="D244">
        <f>AI_ho_so_anh_xa!$D$22</f>
        <v/>
      </c>
      <c r="E244">
        <f>INDEX(AI_ho_so_che_do!$B$2:$B$21,MATCH($D$244,AI_ho_so_che_do!$A$2:$A$21,0))&amp;""</f>
        <v/>
      </c>
      <c r="F244">
        <f>INDEX(AI_ho_so_che_do!$P$2:$P$21,MATCH($D$244,AI_ho_so_che_do!$A$2:$A$21,0))=TRUE</f>
        <v/>
      </c>
      <c r="G244">
        <f>ISNUMBER(FIND(";noGeneralTactic;",";"&amp;INDEX(AI_ho_so_che_do!$O$2:$O$21,MATCH($D$244,AI_ho_so_che_do!$A$2:$A$21,0))&amp;";"))</f>
        <v/>
      </c>
      <c r="H244">
        <f>IF(AI_tuong!$B$4&amp;""&lt;&gt;"",AI_tuong!$B$4,IF(AI_tuong!$B$4&amp;""&lt;&gt;"",AI_tuong!$B$4,"balanced"))</f>
        <v/>
      </c>
      <c r="I244" t="inlineStr">
        <is>
          <t>balanced</t>
        </is>
      </c>
      <c r="J244">
        <f>OR($F$244,AND(AI_ho_so_anh_xa!$B$22="mode",OR(AI_ho_so_anh_xa!$C$22="Weekly",AI_ho_so_anh_xa!$C$22="Operation")))</f>
        <v/>
      </c>
      <c r="K244" t="b">
        <v>0</v>
      </c>
      <c r="L244">
        <f>IF($J$244,$H$244,"balanced")</f>
        <v/>
      </c>
      <c r="M244" t="inlineStr">
        <is>
          <t>balanced</t>
        </is>
      </c>
      <c r="N244">
        <f>IF(OR($E$244="",$G$244),"balanced",IF(OR($E$244="*",ISNUMBER(FIND(";"&amp;$L$244&amp;";",";"&amp;$E$244&amp;";"))),$L$244,IF(ISNUMBER(FIND(";"&amp;"balanced"&amp;";",";"&amp;$E$244&amp;";")),"balanced",LEFT($E$244,FIND(";",$E$244&amp;";")-1))))</f>
        <v/>
      </c>
      <c r="O244" t="inlineStr">
        <is>
          <t>balanced</t>
        </is>
      </c>
      <c r="P244">
        <f>IF(OR($E$244="",$G$244),"KHONG_CHIEN_THUAT",IF(NOT($J$244),IF($H$244="balanced","GIU","CHE_DO_BO_QUA"),IF($N$244=$H$244,"GIU","HO_SO_GHI_DE")))</f>
        <v/>
      </c>
      <c r="Q244" t="inlineStr">
        <is>
          <t>Sim/AI/ConquestAi.P28.cs TickLayered + Sim/AI/Commander.cs AllowedTactic (mode.Endless, default)</t>
        </is>
      </c>
      <c r="R244" t="inlineStr"/>
    </row>
    <row r="245">
      <c r="A245" t="inlineStr">
        <is>
          <t>mode.Endless/hung</t>
        </is>
      </c>
      <c r="B245" t="inlineStr">
        <is>
          <t>mode.Endless</t>
        </is>
      </c>
      <c r="C245" t="inlineStr">
        <is>
          <t>hung</t>
        </is>
      </c>
      <c r="D245">
        <f>AI_ho_so_anh_xa!$D$22</f>
        <v/>
      </c>
      <c r="E245">
        <f>INDEX(AI_ho_so_che_do!$B$2:$B$21,MATCH($D$245,AI_ho_so_che_do!$A$2:$A$21,0))&amp;""</f>
        <v/>
      </c>
      <c r="F245">
        <f>INDEX(AI_ho_so_che_do!$P$2:$P$21,MATCH($D$245,AI_ho_so_che_do!$A$2:$A$21,0))=TRUE</f>
        <v/>
      </c>
      <c r="G245">
        <f>ISNUMBER(FIND(";noGeneralTactic;",";"&amp;INDEX(AI_ho_so_che_do!$O$2:$O$21,MATCH($D$245,AI_ho_so_che_do!$A$2:$A$21,0))&amp;";"))</f>
        <v/>
      </c>
      <c r="H245">
        <f>IF(AI_tuong!$B$5&amp;""&lt;&gt;"",AI_tuong!$B$5,IF(AI_tuong!$B$4&amp;""&lt;&gt;"",AI_tuong!$B$4,"balanced"))</f>
        <v/>
      </c>
      <c r="I245" t="inlineStr">
        <is>
          <t>balanced</t>
        </is>
      </c>
      <c r="J245">
        <f>OR($F$245,AND(AI_ho_so_anh_xa!$B$22="mode",OR(AI_ho_so_anh_xa!$C$22="Weekly",AI_ho_so_anh_xa!$C$22="Operation")))</f>
        <v/>
      </c>
      <c r="K245" t="b">
        <v>0</v>
      </c>
      <c r="L245">
        <f>IF($J$245,$H$245,"balanced")</f>
        <v/>
      </c>
      <c r="M245" t="inlineStr">
        <is>
          <t>balanced</t>
        </is>
      </c>
      <c r="N245">
        <f>IF(OR($E$245="",$G$245),"balanced",IF(OR($E$245="*",ISNUMBER(FIND(";"&amp;$L$245&amp;";",";"&amp;$E$245&amp;";"))),$L$245,IF(ISNUMBER(FIND(";"&amp;"balanced"&amp;";",";"&amp;$E$245&amp;";")),"balanced",LEFT($E$245,FIND(";",$E$245&amp;";")-1))))</f>
        <v/>
      </c>
      <c r="O245" t="inlineStr">
        <is>
          <t>balanced</t>
        </is>
      </c>
      <c r="P245">
        <f>IF(OR($E$245="",$G$245),"KHONG_CHIEN_THUAT",IF(NOT($J$245),IF($H$245="balanced","GIU","CHE_DO_BO_QUA"),IF($N$245=$H$245,"GIU","HO_SO_GHI_DE")))</f>
        <v/>
      </c>
      <c r="Q245" t="inlineStr">
        <is>
          <t>Sim/AI/ConquestAi.P28.cs TickLayered + Sim/AI/Commander.cs AllowedTactic (mode.Endless, hung)</t>
        </is>
      </c>
      <c r="R245" t="inlineStr"/>
    </row>
    <row r="246">
      <c r="A246" t="inlineStr">
        <is>
          <t>mode.Endless/kessler</t>
        </is>
      </c>
      <c r="B246" t="inlineStr">
        <is>
          <t>mode.Endless</t>
        </is>
      </c>
      <c r="C246" t="inlineStr">
        <is>
          <t>kessler</t>
        </is>
      </c>
      <c r="D246">
        <f>AI_ho_so_anh_xa!$D$22</f>
        <v/>
      </c>
      <c r="E246">
        <f>INDEX(AI_ho_so_che_do!$B$2:$B$21,MATCH($D$246,AI_ho_so_che_do!$A$2:$A$21,0))&amp;""</f>
        <v/>
      </c>
      <c r="F246">
        <f>INDEX(AI_ho_so_che_do!$P$2:$P$21,MATCH($D$246,AI_ho_so_che_do!$A$2:$A$21,0))=TRUE</f>
        <v/>
      </c>
      <c r="G246">
        <f>ISNUMBER(FIND(";noGeneralTactic;",";"&amp;INDEX(AI_ho_so_che_do!$O$2:$O$21,MATCH($D$246,AI_ho_so_che_do!$A$2:$A$21,0))&amp;";"))</f>
        <v/>
      </c>
      <c r="H246">
        <f>IF(AI_tuong!$B$6&amp;""&lt;&gt;"",AI_tuong!$B$6,IF(AI_tuong!$B$4&amp;""&lt;&gt;"",AI_tuong!$B$4,"balanced"))</f>
        <v/>
      </c>
      <c r="I246" t="inlineStr">
        <is>
          <t>attrition</t>
        </is>
      </c>
      <c r="J246">
        <f>OR($F$246,AND(AI_ho_so_anh_xa!$B$22="mode",OR(AI_ho_so_anh_xa!$C$22="Weekly",AI_ho_so_anh_xa!$C$22="Operation")))</f>
        <v/>
      </c>
      <c r="K246" t="b">
        <v>0</v>
      </c>
      <c r="L246">
        <f>IF($J$246,$H$246,"balanced")</f>
        <v/>
      </c>
      <c r="M246" t="inlineStr">
        <is>
          <t>balanced</t>
        </is>
      </c>
      <c r="N246">
        <f>IF(OR($E$246="",$G$246),"balanced",IF(OR($E$246="*",ISNUMBER(FIND(";"&amp;$L$246&amp;";",";"&amp;$E$246&amp;";"))),$L$246,IF(ISNUMBER(FIND(";"&amp;"balanced"&amp;";",";"&amp;$E$246&amp;";")),"balanced",LEFT($E$246,FIND(";",$E$246&amp;";")-1))))</f>
        <v/>
      </c>
      <c r="O246" t="inlineStr">
        <is>
          <t>balanced</t>
        </is>
      </c>
      <c r="P246">
        <f>IF(OR($E$246="",$G$246),"KHONG_CHIEN_THUAT",IF(NOT($J$246),IF($H$246="balanced","GIU","CHE_DO_BO_QUA"),IF($N$246=$H$246,"GIU","HO_SO_GHI_DE")))</f>
        <v/>
      </c>
      <c r="Q246" t="inlineStr">
        <is>
          <t>Sim/AI/ConquestAi.P28.cs TickLayered + Sim/AI/Commander.cs AllowedTactic (mode.Endless, kessler)</t>
        </is>
      </c>
      <c r="R246" t="inlineStr"/>
    </row>
    <row r="247">
      <c r="A247" t="inlineStr">
        <is>
          <t>mode.Endless/orlov</t>
        </is>
      </c>
      <c r="B247" t="inlineStr">
        <is>
          <t>mode.Endless</t>
        </is>
      </c>
      <c r="C247" t="inlineStr">
        <is>
          <t>orlov</t>
        </is>
      </c>
      <c r="D247">
        <f>AI_ho_so_anh_xa!$D$22</f>
        <v/>
      </c>
      <c r="E247">
        <f>INDEX(AI_ho_so_che_do!$B$2:$B$21,MATCH($D$247,AI_ho_so_che_do!$A$2:$A$21,0))&amp;""</f>
        <v/>
      </c>
      <c r="F247">
        <f>INDEX(AI_ho_so_che_do!$P$2:$P$21,MATCH($D$247,AI_ho_so_che_do!$A$2:$A$21,0))=TRUE</f>
        <v/>
      </c>
      <c r="G247">
        <f>ISNUMBER(FIND(";noGeneralTactic;",";"&amp;INDEX(AI_ho_so_che_do!$O$2:$O$21,MATCH($D$247,AI_ho_so_che_do!$A$2:$A$21,0))&amp;";"))</f>
        <v/>
      </c>
      <c r="H247">
        <f>IF(AI_tuong!$B$7&amp;""&lt;&gt;"",AI_tuong!$B$7,IF(AI_tuong!$B$4&amp;""&lt;&gt;"",AI_tuong!$B$4,"balanced"))</f>
        <v/>
      </c>
      <c r="I247" t="inlineStr">
        <is>
          <t>firepower</t>
        </is>
      </c>
      <c r="J247">
        <f>OR($F$247,AND(AI_ho_so_anh_xa!$B$22="mode",OR(AI_ho_so_anh_xa!$C$22="Weekly",AI_ho_so_anh_xa!$C$22="Operation")))</f>
        <v/>
      </c>
      <c r="K247" t="b">
        <v>0</v>
      </c>
      <c r="L247">
        <f>IF($J$247,$H$247,"balanced")</f>
        <v/>
      </c>
      <c r="M247" t="inlineStr">
        <is>
          <t>balanced</t>
        </is>
      </c>
      <c r="N247">
        <f>IF(OR($E$247="",$G$247),"balanced",IF(OR($E$247="*",ISNUMBER(FIND(";"&amp;$L$247&amp;";",";"&amp;$E$247&amp;";"))),$L$247,IF(ISNUMBER(FIND(";"&amp;"balanced"&amp;";",";"&amp;$E$247&amp;";")),"balanced",LEFT($E$247,FIND(";",$E$247&amp;";")-1))))</f>
        <v/>
      </c>
      <c r="O247" t="inlineStr">
        <is>
          <t>balanced</t>
        </is>
      </c>
      <c r="P247">
        <f>IF(OR($E$247="",$G$247),"KHONG_CHIEN_THUAT",IF(NOT($J$247),IF($H$247="balanced","GIU","CHE_DO_BO_QUA"),IF($N$247=$H$247,"GIU","HO_SO_GHI_DE")))</f>
        <v/>
      </c>
      <c r="Q247" t="inlineStr">
        <is>
          <t>Sim/AI/ConquestAi.P28.cs TickLayered + Sim/AI/Commander.cs AllowedTactic (mode.Endless, orlov)</t>
        </is>
      </c>
      <c r="R247" t="inlineStr"/>
    </row>
    <row r="248">
      <c r="A248" t="inlineStr">
        <is>
          <t>mode.Endless/quaden</t>
        </is>
      </c>
      <c r="B248" t="inlineStr">
        <is>
          <t>mode.Endless</t>
        </is>
      </c>
      <c r="C248" t="inlineStr">
        <is>
          <t>quaden</t>
        </is>
      </c>
      <c r="D248">
        <f>AI_ho_so_anh_xa!$D$22</f>
        <v/>
      </c>
      <c r="E248">
        <f>INDEX(AI_ho_so_che_do!$B$2:$B$21,MATCH($D$248,AI_ho_so_che_do!$A$2:$A$21,0))&amp;""</f>
        <v/>
      </c>
      <c r="F248">
        <f>INDEX(AI_ho_so_che_do!$P$2:$P$21,MATCH($D$248,AI_ho_so_che_do!$A$2:$A$21,0))=TRUE</f>
        <v/>
      </c>
      <c r="G248">
        <f>ISNUMBER(FIND(";noGeneralTactic;",";"&amp;INDEX(AI_ho_so_che_do!$O$2:$O$21,MATCH($D$248,AI_ho_so_che_do!$A$2:$A$21,0))&amp;";"))</f>
        <v/>
      </c>
      <c r="H248">
        <f>IF(AI_tuong!$B$8&amp;""&lt;&gt;"",AI_tuong!$B$8,IF(AI_tuong!$B$4&amp;""&lt;&gt;"",AI_tuong!$B$4,"balanced"))</f>
        <v/>
      </c>
      <c r="I248" t="inlineStr">
        <is>
          <t>balanced</t>
        </is>
      </c>
      <c r="J248">
        <f>OR($F$248,AND(AI_ho_so_anh_xa!$B$22="mode",OR(AI_ho_so_anh_xa!$C$22="Weekly",AI_ho_so_anh_xa!$C$22="Operation")))</f>
        <v/>
      </c>
      <c r="K248" t="b">
        <v>0</v>
      </c>
      <c r="L248">
        <f>IF($J$248,$H$248,"balanced")</f>
        <v/>
      </c>
      <c r="M248" t="inlineStr">
        <is>
          <t>balanced</t>
        </is>
      </c>
      <c r="N248">
        <f>IF(OR($E$248="",$G$248),"balanced",IF(OR($E$248="*",ISNUMBER(FIND(";"&amp;$L$248&amp;";",";"&amp;$E$248&amp;";"))),$L$248,IF(ISNUMBER(FIND(";"&amp;"balanced"&amp;";",";"&amp;$E$248&amp;";")),"balanced",LEFT($E$248,FIND(";",$E$248&amp;";")-1))))</f>
        <v/>
      </c>
      <c r="O248" t="inlineStr">
        <is>
          <t>balanced</t>
        </is>
      </c>
      <c r="P248">
        <f>IF(OR($E$248="",$G$248),"KHONG_CHIEN_THUAT",IF(NOT($J$248),IF($H$248="balanced","GIU","CHE_DO_BO_QUA"),IF($N$248=$H$248,"GIU","HO_SO_GHI_DE")))</f>
        <v/>
      </c>
      <c r="Q248" t="inlineStr">
        <is>
          <t>Sim/AI/ConquestAi.P28.cs TickLayered + Sim/AI/Commander.cs AllowedTactic (mode.Endless, quaden)</t>
        </is>
      </c>
      <c r="R248" t="inlineStr"/>
    </row>
    <row r="249">
      <c r="A249" t="inlineStr">
        <is>
          <t>mode.Endless/sen</t>
        </is>
      </c>
      <c r="B249" t="inlineStr">
        <is>
          <t>mode.Endless</t>
        </is>
      </c>
      <c r="C249" t="inlineStr">
        <is>
          <t>sen</t>
        </is>
      </c>
      <c r="D249">
        <f>AI_ho_so_anh_xa!$D$22</f>
        <v/>
      </c>
      <c r="E249">
        <f>INDEX(AI_ho_so_che_do!$B$2:$B$21,MATCH($D$249,AI_ho_so_che_do!$A$2:$A$21,0))&amp;""</f>
        <v/>
      </c>
      <c r="F249">
        <f>INDEX(AI_ho_so_che_do!$P$2:$P$21,MATCH($D$249,AI_ho_so_che_do!$A$2:$A$21,0))=TRUE</f>
        <v/>
      </c>
      <c r="G249">
        <f>ISNUMBER(FIND(";noGeneralTactic;",";"&amp;INDEX(AI_ho_so_che_do!$O$2:$O$21,MATCH($D$249,AI_ho_so_che_do!$A$2:$A$21,0))&amp;";"))</f>
        <v/>
      </c>
      <c r="H249">
        <f>IF(AI_tuong!$B$9&amp;""&lt;&gt;"",AI_tuong!$B$9,IF(AI_tuong!$B$4&amp;""&lt;&gt;"",AI_tuong!$B$4,"balanced"))</f>
        <v/>
      </c>
      <c r="I249" t="inlineStr">
        <is>
          <t>balanced</t>
        </is>
      </c>
      <c r="J249">
        <f>OR($F$249,AND(AI_ho_so_anh_xa!$B$22="mode",OR(AI_ho_so_anh_xa!$C$22="Weekly",AI_ho_so_anh_xa!$C$22="Operation")))</f>
        <v/>
      </c>
      <c r="K249" t="b">
        <v>0</v>
      </c>
      <c r="L249">
        <f>IF($J$249,$H$249,"balanced")</f>
        <v/>
      </c>
      <c r="M249" t="inlineStr">
        <is>
          <t>balanced</t>
        </is>
      </c>
      <c r="N249">
        <f>IF(OR($E$249="",$G$249),"balanced",IF(OR($E$249="*",ISNUMBER(FIND(";"&amp;$L$249&amp;";",";"&amp;$E$249&amp;";"))),$L$249,IF(ISNUMBER(FIND(";"&amp;"balanced"&amp;";",";"&amp;$E$249&amp;";")),"balanced",LEFT($E$249,FIND(";",$E$249&amp;";")-1))))</f>
        <v/>
      </c>
      <c r="O249" t="inlineStr">
        <is>
          <t>balanced</t>
        </is>
      </c>
      <c r="P249">
        <f>IF(OR($E$249="",$G$249),"KHONG_CHIEN_THUAT",IF(NOT($J$249),IF($H$249="balanced","GIU","CHE_DO_BO_QUA"),IF($N$249=$H$249,"GIU","HO_SO_GHI_DE")))</f>
        <v/>
      </c>
      <c r="Q249" t="inlineStr">
        <is>
          <t>Sim/AI/ConquestAi.P28.cs TickLayered + Sim/AI/Commander.cs AllowedTactic (mode.Endless, sen)</t>
        </is>
      </c>
      <c r="R249" t="inlineStr"/>
    </row>
    <row r="250">
      <c r="A250" t="inlineStr">
        <is>
          <t>mode.Endless/thorne</t>
        </is>
      </c>
      <c r="B250" t="inlineStr">
        <is>
          <t>mode.Endless</t>
        </is>
      </c>
      <c r="C250" t="inlineStr">
        <is>
          <t>thorne</t>
        </is>
      </c>
      <c r="D250">
        <f>AI_ho_so_anh_xa!$D$22</f>
        <v/>
      </c>
      <c r="E250">
        <f>INDEX(AI_ho_so_che_do!$B$2:$B$21,MATCH($D$250,AI_ho_so_che_do!$A$2:$A$21,0))&amp;""</f>
        <v/>
      </c>
      <c r="F250">
        <f>INDEX(AI_ho_so_che_do!$P$2:$P$21,MATCH($D$250,AI_ho_so_che_do!$A$2:$A$21,0))=TRUE</f>
        <v/>
      </c>
      <c r="G250">
        <f>ISNUMBER(FIND(";noGeneralTactic;",";"&amp;INDEX(AI_ho_so_che_do!$O$2:$O$21,MATCH($D$250,AI_ho_so_che_do!$A$2:$A$21,0))&amp;";"))</f>
        <v/>
      </c>
      <c r="H250">
        <f>IF(AI_tuong!$B$10&amp;""&lt;&gt;"",AI_tuong!$B$10,IF(AI_tuong!$B$4&amp;""&lt;&gt;"",AI_tuong!$B$4,"balanced"))</f>
        <v/>
      </c>
      <c r="I250" t="inlineStr">
        <is>
          <t>balanced</t>
        </is>
      </c>
      <c r="J250">
        <f>OR($F$250,AND(AI_ho_so_anh_xa!$B$22="mode",OR(AI_ho_so_anh_xa!$C$22="Weekly",AI_ho_so_anh_xa!$C$22="Operation")))</f>
        <v/>
      </c>
      <c r="K250" t="b">
        <v>0</v>
      </c>
      <c r="L250">
        <f>IF($J$250,$H$250,"balanced")</f>
        <v/>
      </c>
      <c r="M250" t="inlineStr">
        <is>
          <t>balanced</t>
        </is>
      </c>
      <c r="N250">
        <f>IF(OR($E$250="",$G$250),"balanced",IF(OR($E$250="*",ISNUMBER(FIND(";"&amp;$L$250&amp;";",";"&amp;$E$250&amp;";"))),$L$250,IF(ISNUMBER(FIND(";"&amp;"balanced"&amp;";",";"&amp;$E$250&amp;";")),"balanced",LEFT($E$250,FIND(";",$E$250&amp;";")-1))))</f>
        <v/>
      </c>
      <c r="O250" t="inlineStr">
        <is>
          <t>balanced</t>
        </is>
      </c>
      <c r="P250">
        <f>IF(OR($E$250="",$G$250),"KHONG_CHIEN_THUAT",IF(NOT($J$250),IF($H$250="balanced","GIU","CHE_DO_BO_QUA"),IF($N$250=$H$250,"GIU","HO_SO_GHI_DE")))</f>
        <v/>
      </c>
      <c r="Q250" t="inlineStr">
        <is>
          <t>Sim/AI/ConquestAi.P28.cs TickLayered + Sim/AI/Commander.cs AllowedTactic (mode.Endless, thorne)</t>
        </is>
      </c>
      <c r="R250" t="inlineStr"/>
    </row>
    <row r="251">
      <c r="A251" t="inlineStr">
        <is>
          <t>mode.Endless/varga</t>
        </is>
      </c>
      <c r="B251" t="inlineStr">
        <is>
          <t>mode.Endless</t>
        </is>
      </c>
      <c r="C251" t="inlineStr">
        <is>
          <t>varga</t>
        </is>
      </c>
      <c r="D251">
        <f>AI_ho_so_anh_xa!$D$22</f>
        <v/>
      </c>
      <c r="E251">
        <f>INDEX(AI_ho_so_che_do!$B$2:$B$21,MATCH($D$251,AI_ho_so_che_do!$A$2:$A$21,0))&amp;""</f>
        <v/>
      </c>
      <c r="F251">
        <f>INDEX(AI_ho_so_che_do!$P$2:$P$21,MATCH($D$251,AI_ho_so_che_do!$A$2:$A$21,0))=TRUE</f>
        <v/>
      </c>
      <c r="G251">
        <f>ISNUMBER(FIND(";noGeneralTactic;",";"&amp;INDEX(AI_ho_so_che_do!$O$2:$O$21,MATCH($D$251,AI_ho_so_che_do!$A$2:$A$21,0))&amp;";"))</f>
        <v/>
      </c>
      <c r="H251">
        <f>IF(AI_tuong!$B$11&amp;""&lt;&gt;"",AI_tuong!$B$11,IF(AI_tuong!$B$4&amp;""&lt;&gt;"",AI_tuong!$B$4,"balanced"))</f>
        <v/>
      </c>
      <c r="I251" t="inlineStr">
        <is>
          <t>breakthrough</t>
        </is>
      </c>
      <c r="J251">
        <f>OR($F$251,AND(AI_ho_so_anh_xa!$B$22="mode",OR(AI_ho_so_anh_xa!$C$22="Weekly",AI_ho_so_anh_xa!$C$22="Operation")))</f>
        <v/>
      </c>
      <c r="K251" t="b">
        <v>0</v>
      </c>
      <c r="L251">
        <f>IF($J$251,$H$251,"balanced")</f>
        <v/>
      </c>
      <c r="M251" t="inlineStr">
        <is>
          <t>balanced</t>
        </is>
      </c>
      <c r="N251">
        <f>IF(OR($E$251="",$G$251),"balanced",IF(OR($E$251="*",ISNUMBER(FIND(";"&amp;$L$251&amp;";",";"&amp;$E$251&amp;";"))),$L$251,IF(ISNUMBER(FIND(";"&amp;"balanced"&amp;";",";"&amp;$E$251&amp;";")),"balanced",LEFT($E$251,FIND(";",$E$251&amp;";")-1))))</f>
        <v/>
      </c>
      <c r="O251" t="inlineStr">
        <is>
          <t>balanced</t>
        </is>
      </c>
      <c r="P251">
        <f>IF(OR($E$251="",$G$251),"KHONG_CHIEN_THUAT",IF(NOT($J$251),IF($H$251="balanced","GIU","CHE_DO_BO_QUA"),IF($N$251=$H$251,"GIU","HO_SO_GHI_DE")))</f>
        <v/>
      </c>
      <c r="Q251" t="inlineStr">
        <is>
          <t>Sim/AI/ConquestAi.P28.cs TickLayered + Sim/AI/Commander.cs AllowedTactic (mode.Endless, varga)</t>
        </is>
      </c>
      <c r="R251" t="inlineStr"/>
    </row>
    <row r="252">
      <c r="A252" t="inlineStr">
        <is>
          <t>mode.Endless/venn</t>
        </is>
      </c>
      <c r="B252" t="inlineStr">
        <is>
          <t>mode.Endless</t>
        </is>
      </c>
      <c r="C252" t="inlineStr">
        <is>
          <t>venn</t>
        </is>
      </c>
      <c r="D252">
        <f>AI_ho_so_anh_xa!$D$22</f>
        <v/>
      </c>
      <c r="E252">
        <f>INDEX(AI_ho_so_che_do!$B$2:$B$21,MATCH($D$252,AI_ho_so_che_do!$A$2:$A$21,0))&amp;""</f>
        <v/>
      </c>
      <c r="F252">
        <f>INDEX(AI_ho_so_che_do!$P$2:$P$21,MATCH($D$252,AI_ho_so_che_do!$A$2:$A$21,0))=TRUE</f>
        <v/>
      </c>
      <c r="G252">
        <f>ISNUMBER(FIND(";noGeneralTactic;",";"&amp;INDEX(AI_ho_so_che_do!$O$2:$O$21,MATCH($D$252,AI_ho_so_che_do!$A$2:$A$21,0))&amp;";"))</f>
        <v/>
      </c>
      <c r="H252">
        <f>IF(AI_tuong!$B$12&amp;""&lt;&gt;"",AI_tuong!$B$12,IF(AI_tuong!$B$4&amp;""&lt;&gt;"",AI_tuong!$B$4,"balanced"))</f>
        <v/>
      </c>
      <c r="I252" t="inlineStr">
        <is>
          <t>dispersal</t>
        </is>
      </c>
      <c r="J252">
        <f>OR($F$252,AND(AI_ho_so_anh_xa!$B$22="mode",OR(AI_ho_so_anh_xa!$C$22="Weekly",AI_ho_so_anh_xa!$C$22="Operation")))</f>
        <v/>
      </c>
      <c r="K252" t="b">
        <v>0</v>
      </c>
      <c r="L252">
        <f>IF($J$252,$H$252,"balanced")</f>
        <v/>
      </c>
      <c r="M252" t="inlineStr">
        <is>
          <t>balanced</t>
        </is>
      </c>
      <c r="N252">
        <f>IF(OR($E$252="",$G$252),"balanced",IF(OR($E$252="*",ISNUMBER(FIND(";"&amp;$L$252&amp;";",";"&amp;$E$252&amp;";"))),$L$252,IF(ISNUMBER(FIND(";"&amp;"balanced"&amp;";",";"&amp;$E$252&amp;";")),"balanced",LEFT($E$252,FIND(";",$E$252&amp;";")-1))))</f>
        <v/>
      </c>
      <c r="O252" t="inlineStr">
        <is>
          <t>balanced</t>
        </is>
      </c>
      <c r="P252">
        <f>IF(OR($E$252="",$G$252),"KHONG_CHIEN_THUAT",IF(NOT($J$252),IF($H$252="balanced","GIU","CHE_DO_BO_QUA"),IF($N$252=$H$252,"GIU","HO_SO_GHI_DE")))</f>
        <v/>
      </c>
      <c r="Q252" t="inlineStr">
        <is>
          <t>Sim/AI/ConquestAi.P28.cs TickLayered + Sim/AI/Commander.cs AllowedTactic (mode.Endless, venn)</t>
        </is>
      </c>
      <c r="R252" t="inlineStr"/>
    </row>
    <row r="253">
      <c r="A253" t="inlineStr">
        <is>
          <t>mode.Endless/wolff</t>
        </is>
      </c>
      <c r="B253" t="inlineStr">
        <is>
          <t>mode.Endless</t>
        </is>
      </c>
      <c r="C253" t="inlineStr">
        <is>
          <t>wolff</t>
        </is>
      </c>
      <c r="D253">
        <f>AI_ho_so_anh_xa!$D$22</f>
        <v/>
      </c>
      <c r="E253">
        <f>INDEX(AI_ho_so_che_do!$B$2:$B$21,MATCH($D$253,AI_ho_so_che_do!$A$2:$A$21,0))&amp;""</f>
        <v/>
      </c>
      <c r="F253">
        <f>INDEX(AI_ho_so_che_do!$P$2:$P$21,MATCH($D$253,AI_ho_so_che_do!$A$2:$A$21,0))=TRUE</f>
        <v/>
      </c>
      <c r="G253">
        <f>ISNUMBER(FIND(";noGeneralTactic;",";"&amp;INDEX(AI_ho_so_che_do!$O$2:$O$21,MATCH($D$253,AI_ho_so_che_do!$A$2:$A$21,0))&amp;";"))</f>
        <v/>
      </c>
      <c r="H253">
        <f>IF(AI_tuong!$B$13&amp;""&lt;&gt;"",AI_tuong!$B$13,IF(AI_tuong!$B$4&amp;""&lt;&gt;"",AI_tuong!$B$4,"balanced"))</f>
        <v/>
      </c>
      <c r="I253" t="inlineStr">
        <is>
          <t>air_superiority</t>
        </is>
      </c>
      <c r="J253">
        <f>OR($F$253,AND(AI_ho_so_anh_xa!$B$22="mode",OR(AI_ho_so_anh_xa!$C$22="Weekly",AI_ho_so_anh_xa!$C$22="Operation")))</f>
        <v/>
      </c>
      <c r="K253" t="b">
        <v>0</v>
      </c>
      <c r="L253">
        <f>IF($J$253,$H$253,"balanced")</f>
        <v/>
      </c>
      <c r="M253" t="inlineStr">
        <is>
          <t>balanced</t>
        </is>
      </c>
      <c r="N253">
        <f>IF(OR($E$253="",$G$253),"balanced",IF(OR($E$253="*",ISNUMBER(FIND(";"&amp;$L$253&amp;";",";"&amp;$E$253&amp;";"))),$L$253,IF(ISNUMBER(FIND(";"&amp;"balanced"&amp;";",";"&amp;$E$253&amp;";")),"balanced",LEFT($E$253,FIND(";",$E$253&amp;";")-1))))</f>
        <v/>
      </c>
      <c r="O253" t="inlineStr">
        <is>
          <t>balanced</t>
        </is>
      </c>
      <c r="P253">
        <f>IF(OR($E$253="",$G$253),"KHONG_CHIEN_THUAT",IF(NOT($J$253),IF($H$253="balanced","GIU","CHE_DO_BO_QUA"),IF($N$253=$H$253,"GIU","HO_SO_GHI_DE")))</f>
        <v/>
      </c>
      <c r="Q253" t="inlineStr">
        <is>
          <t>Sim/AI/ConquestAi.P28.cs TickLayered + Sim/AI/Commander.cs AllowedTactic (mode.Endless, wolff)</t>
        </is>
      </c>
      <c r="R253" t="inlineStr"/>
    </row>
    <row r="254">
      <c r="A254" t="inlineStr">
        <is>
          <t>mode.FixedDeck/aurel</t>
        </is>
      </c>
      <c r="B254" t="inlineStr">
        <is>
          <t>mode.FixedDeck</t>
        </is>
      </c>
      <c r="C254" t="inlineStr">
        <is>
          <t>aurel</t>
        </is>
      </c>
      <c r="D254">
        <f>AI_ho_so_anh_xa!$D$23</f>
        <v/>
      </c>
      <c r="E254">
        <f>INDEX(AI_ho_so_che_do!$B$2:$B$21,MATCH($D$254,AI_ho_so_che_do!$A$2:$A$21,0))&amp;""</f>
        <v/>
      </c>
      <c r="F254">
        <f>INDEX(AI_ho_so_che_do!$P$2:$P$21,MATCH($D$254,AI_ho_so_che_do!$A$2:$A$21,0))=TRUE</f>
        <v/>
      </c>
      <c r="G254">
        <f>ISNUMBER(FIND(";noGeneralTactic;",";"&amp;INDEX(AI_ho_so_che_do!$O$2:$O$21,MATCH($D$254,AI_ho_so_che_do!$A$2:$A$21,0))&amp;";"))</f>
        <v/>
      </c>
      <c r="H254">
        <f>IF(AI_tuong!$B$2&amp;""&lt;&gt;"",AI_tuong!$B$2,IF(AI_tuong!$B$4&amp;""&lt;&gt;"",AI_tuong!$B$4,"balanced"))</f>
        <v/>
      </c>
      <c r="I254" t="inlineStr">
        <is>
          <t>all_out</t>
        </is>
      </c>
      <c r="J254">
        <f>OR($F$254,AND(AI_ho_so_anh_xa!$B$23="mode",OR(AI_ho_so_anh_xa!$C$23="Weekly",AI_ho_so_anh_xa!$C$23="Operation")))</f>
        <v/>
      </c>
      <c r="K254" t="b">
        <v>0</v>
      </c>
      <c r="L254">
        <f>IF($J$254,$H$254,"balanced")</f>
        <v/>
      </c>
      <c r="M254" t="inlineStr">
        <is>
          <t>balanced</t>
        </is>
      </c>
      <c r="N254">
        <f>IF(OR($E$254="",$G$254),"balanced",IF(OR($E$254="*",ISNUMBER(FIND(";"&amp;$L$254&amp;";",";"&amp;$E$254&amp;";"))),$L$254,IF(ISNUMBER(FIND(";"&amp;"balanced"&amp;";",";"&amp;$E$254&amp;";")),"balanced",LEFT($E$254,FIND(";",$E$254&amp;";")-1))))</f>
        <v/>
      </c>
      <c r="O254" t="inlineStr">
        <is>
          <t>balanced</t>
        </is>
      </c>
      <c r="P254">
        <f>IF(OR($E$254="",$G$254),"KHONG_CHIEN_THUAT",IF(NOT($J$254),IF($H$254="balanced","GIU","CHE_DO_BO_QUA"),IF($N$254=$H$254,"GIU","HO_SO_GHI_DE")))</f>
        <v/>
      </c>
      <c r="Q254" t="inlineStr">
        <is>
          <t>Sim/AI/ConquestAi.P28.cs TickLayered + Sim/AI/Commander.cs AllowedTactic (mode.FixedDeck, aurel)</t>
        </is>
      </c>
      <c r="R254" t="inlineStr"/>
    </row>
    <row r="255">
      <c r="A255" t="inlineStr">
        <is>
          <t>mode.FixedDeck/brandt</t>
        </is>
      </c>
      <c r="B255" t="inlineStr">
        <is>
          <t>mode.FixedDeck</t>
        </is>
      </c>
      <c r="C255" t="inlineStr">
        <is>
          <t>brandt</t>
        </is>
      </c>
      <c r="D255">
        <f>AI_ho_so_anh_xa!$D$23</f>
        <v/>
      </c>
      <c r="E255">
        <f>INDEX(AI_ho_so_che_do!$B$2:$B$21,MATCH($D$255,AI_ho_so_che_do!$A$2:$A$21,0))&amp;""</f>
        <v/>
      </c>
      <c r="F255">
        <f>INDEX(AI_ho_so_che_do!$P$2:$P$21,MATCH($D$255,AI_ho_so_che_do!$A$2:$A$21,0))=TRUE</f>
        <v/>
      </c>
      <c r="G255">
        <f>ISNUMBER(FIND(";noGeneralTactic;",";"&amp;INDEX(AI_ho_so_che_do!$O$2:$O$21,MATCH($D$255,AI_ho_so_che_do!$A$2:$A$21,0))&amp;";"))</f>
        <v/>
      </c>
      <c r="H255">
        <f>IF(AI_tuong!$B$3&amp;""&lt;&gt;"",AI_tuong!$B$3,IF(AI_tuong!$B$4&amp;""&lt;&gt;"",AI_tuong!$B$4,"balanced"))</f>
        <v/>
      </c>
      <c r="I255" t="inlineStr">
        <is>
          <t>depth</t>
        </is>
      </c>
      <c r="J255">
        <f>OR($F$255,AND(AI_ho_so_anh_xa!$B$23="mode",OR(AI_ho_so_anh_xa!$C$23="Weekly",AI_ho_so_anh_xa!$C$23="Operation")))</f>
        <v/>
      </c>
      <c r="K255" t="b">
        <v>0</v>
      </c>
      <c r="L255">
        <f>IF($J$255,$H$255,"balanced")</f>
        <v/>
      </c>
      <c r="M255" t="inlineStr">
        <is>
          <t>balanced</t>
        </is>
      </c>
      <c r="N255">
        <f>IF(OR($E$255="",$G$255),"balanced",IF(OR($E$255="*",ISNUMBER(FIND(";"&amp;$L$255&amp;";",";"&amp;$E$255&amp;";"))),$L$255,IF(ISNUMBER(FIND(";"&amp;"balanced"&amp;";",";"&amp;$E$255&amp;";")),"balanced",LEFT($E$255,FIND(";",$E$255&amp;";")-1))))</f>
        <v/>
      </c>
      <c r="O255" t="inlineStr">
        <is>
          <t>balanced</t>
        </is>
      </c>
      <c r="P255">
        <f>IF(OR($E$255="",$G$255),"KHONG_CHIEN_THUAT",IF(NOT($J$255),IF($H$255="balanced","GIU","CHE_DO_BO_QUA"),IF($N$255=$H$255,"GIU","HO_SO_GHI_DE")))</f>
        <v/>
      </c>
      <c r="Q255" t="inlineStr">
        <is>
          <t>Sim/AI/ConquestAi.P28.cs TickLayered + Sim/AI/Commander.cs AllowedTactic (mode.FixedDeck, brandt)</t>
        </is>
      </c>
      <c r="R255" t="inlineStr"/>
    </row>
    <row r="256">
      <c r="A256" t="inlineStr">
        <is>
          <t>mode.FixedDeck/default</t>
        </is>
      </c>
      <c r="B256" t="inlineStr">
        <is>
          <t>mode.FixedDeck</t>
        </is>
      </c>
      <c r="C256" t="inlineStr">
        <is>
          <t>default</t>
        </is>
      </c>
      <c r="D256">
        <f>AI_ho_so_anh_xa!$D$23</f>
        <v/>
      </c>
      <c r="E256">
        <f>INDEX(AI_ho_so_che_do!$B$2:$B$21,MATCH($D$256,AI_ho_so_che_do!$A$2:$A$21,0))&amp;""</f>
        <v/>
      </c>
      <c r="F256">
        <f>INDEX(AI_ho_so_che_do!$P$2:$P$21,MATCH($D$256,AI_ho_so_che_do!$A$2:$A$21,0))=TRUE</f>
        <v/>
      </c>
      <c r="G256">
        <f>ISNUMBER(FIND(";noGeneralTactic;",";"&amp;INDEX(AI_ho_so_che_do!$O$2:$O$21,MATCH($D$256,AI_ho_so_che_do!$A$2:$A$21,0))&amp;";"))</f>
        <v/>
      </c>
      <c r="H256">
        <f>IF(AI_tuong!$B$4&amp;""&lt;&gt;"",AI_tuong!$B$4,IF(AI_tuong!$B$4&amp;""&lt;&gt;"",AI_tuong!$B$4,"balanced"))</f>
        <v/>
      </c>
      <c r="I256" t="inlineStr">
        <is>
          <t>balanced</t>
        </is>
      </c>
      <c r="J256">
        <f>OR($F$256,AND(AI_ho_so_anh_xa!$B$23="mode",OR(AI_ho_so_anh_xa!$C$23="Weekly",AI_ho_so_anh_xa!$C$23="Operation")))</f>
        <v/>
      </c>
      <c r="K256" t="b">
        <v>0</v>
      </c>
      <c r="L256">
        <f>IF($J$256,$H$256,"balanced")</f>
        <v/>
      </c>
      <c r="M256" t="inlineStr">
        <is>
          <t>balanced</t>
        </is>
      </c>
      <c r="N256">
        <f>IF(OR($E$256="",$G$256),"balanced",IF(OR($E$256="*",ISNUMBER(FIND(";"&amp;$L$256&amp;";",";"&amp;$E$256&amp;";"))),$L$256,IF(ISNUMBER(FIND(";"&amp;"balanced"&amp;";",";"&amp;$E$256&amp;";")),"balanced",LEFT($E$256,FIND(";",$E$256&amp;";")-1))))</f>
        <v/>
      </c>
      <c r="O256" t="inlineStr">
        <is>
          <t>balanced</t>
        </is>
      </c>
      <c r="P256">
        <f>IF(OR($E$256="",$G$256),"KHONG_CHIEN_THUAT",IF(NOT($J$256),IF($H$256="balanced","GIU","CHE_DO_BO_QUA"),IF($N$256=$H$256,"GIU","HO_SO_GHI_DE")))</f>
        <v/>
      </c>
      <c r="Q256" t="inlineStr">
        <is>
          <t>Sim/AI/ConquestAi.P28.cs TickLayered + Sim/AI/Commander.cs AllowedTactic (mode.FixedDeck, default)</t>
        </is>
      </c>
      <c r="R256" t="inlineStr"/>
    </row>
    <row r="257">
      <c r="A257" t="inlineStr">
        <is>
          <t>mode.FixedDeck/hung</t>
        </is>
      </c>
      <c r="B257" t="inlineStr">
        <is>
          <t>mode.FixedDeck</t>
        </is>
      </c>
      <c r="C257" t="inlineStr">
        <is>
          <t>hung</t>
        </is>
      </c>
      <c r="D257">
        <f>AI_ho_so_anh_xa!$D$23</f>
        <v/>
      </c>
      <c r="E257">
        <f>INDEX(AI_ho_so_che_do!$B$2:$B$21,MATCH($D$257,AI_ho_so_che_do!$A$2:$A$21,0))&amp;""</f>
        <v/>
      </c>
      <c r="F257">
        <f>INDEX(AI_ho_so_che_do!$P$2:$P$21,MATCH($D$257,AI_ho_so_che_do!$A$2:$A$21,0))=TRUE</f>
        <v/>
      </c>
      <c r="G257">
        <f>ISNUMBER(FIND(";noGeneralTactic;",";"&amp;INDEX(AI_ho_so_che_do!$O$2:$O$21,MATCH($D$257,AI_ho_so_che_do!$A$2:$A$21,0))&amp;";"))</f>
        <v/>
      </c>
      <c r="H257">
        <f>IF(AI_tuong!$B$5&amp;""&lt;&gt;"",AI_tuong!$B$5,IF(AI_tuong!$B$4&amp;""&lt;&gt;"",AI_tuong!$B$4,"balanced"))</f>
        <v/>
      </c>
      <c r="I257" t="inlineStr">
        <is>
          <t>balanced</t>
        </is>
      </c>
      <c r="J257">
        <f>OR($F$257,AND(AI_ho_so_anh_xa!$B$23="mode",OR(AI_ho_so_anh_xa!$C$23="Weekly",AI_ho_so_anh_xa!$C$23="Operation")))</f>
        <v/>
      </c>
      <c r="K257" t="b">
        <v>0</v>
      </c>
      <c r="L257">
        <f>IF($J$257,$H$257,"balanced")</f>
        <v/>
      </c>
      <c r="M257" t="inlineStr">
        <is>
          <t>balanced</t>
        </is>
      </c>
      <c r="N257">
        <f>IF(OR($E$257="",$G$257),"balanced",IF(OR($E$257="*",ISNUMBER(FIND(";"&amp;$L$257&amp;";",";"&amp;$E$257&amp;";"))),$L$257,IF(ISNUMBER(FIND(";"&amp;"balanced"&amp;";",";"&amp;$E$257&amp;";")),"balanced",LEFT($E$257,FIND(";",$E$257&amp;";")-1))))</f>
        <v/>
      </c>
      <c r="O257" t="inlineStr">
        <is>
          <t>balanced</t>
        </is>
      </c>
      <c r="P257">
        <f>IF(OR($E$257="",$G$257),"KHONG_CHIEN_THUAT",IF(NOT($J$257),IF($H$257="balanced","GIU","CHE_DO_BO_QUA"),IF($N$257=$H$257,"GIU","HO_SO_GHI_DE")))</f>
        <v/>
      </c>
      <c r="Q257" t="inlineStr">
        <is>
          <t>Sim/AI/ConquestAi.P28.cs TickLayered + Sim/AI/Commander.cs AllowedTactic (mode.FixedDeck, hung)</t>
        </is>
      </c>
      <c r="R257" t="inlineStr"/>
    </row>
    <row r="258">
      <c r="A258" t="inlineStr">
        <is>
          <t>mode.FixedDeck/kessler</t>
        </is>
      </c>
      <c r="B258" t="inlineStr">
        <is>
          <t>mode.FixedDeck</t>
        </is>
      </c>
      <c r="C258" t="inlineStr">
        <is>
          <t>kessler</t>
        </is>
      </c>
      <c r="D258">
        <f>AI_ho_so_anh_xa!$D$23</f>
        <v/>
      </c>
      <c r="E258">
        <f>INDEX(AI_ho_so_che_do!$B$2:$B$21,MATCH($D$258,AI_ho_so_che_do!$A$2:$A$21,0))&amp;""</f>
        <v/>
      </c>
      <c r="F258">
        <f>INDEX(AI_ho_so_che_do!$P$2:$P$21,MATCH($D$258,AI_ho_so_che_do!$A$2:$A$21,0))=TRUE</f>
        <v/>
      </c>
      <c r="G258">
        <f>ISNUMBER(FIND(";noGeneralTactic;",";"&amp;INDEX(AI_ho_so_che_do!$O$2:$O$21,MATCH($D$258,AI_ho_so_che_do!$A$2:$A$21,0))&amp;";"))</f>
        <v/>
      </c>
      <c r="H258">
        <f>IF(AI_tuong!$B$6&amp;""&lt;&gt;"",AI_tuong!$B$6,IF(AI_tuong!$B$4&amp;""&lt;&gt;"",AI_tuong!$B$4,"balanced"))</f>
        <v/>
      </c>
      <c r="I258" t="inlineStr">
        <is>
          <t>attrition</t>
        </is>
      </c>
      <c r="J258">
        <f>OR($F$258,AND(AI_ho_so_anh_xa!$B$23="mode",OR(AI_ho_so_anh_xa!$C$23="Weekly",AI_ho_so_anh_xa!$C$23="Operation")))</f>
        <v/>
      </c>
      <c r="K258" t="b">
        <v>0</v>
      </c>
      <c r="L258">
        <f>IF($J$258,$H$258,"balanced")</f>
        <v/>
      </c>
      <c r="M258" t="inlineStr">
        <is>
          <t>balanced</t>
        </is>
      </c>
      <c r="N258">
        <f>IF(OR($E$258="",$G$258),"balanced",IF(OR($E$258="*",ISNUMBER(FIND(";"&amp;$L$258&amp;";",";"&amp;$E$258&amp;";"))),$L$258,IF(ISNUMBER(FIND(";"&amp;"balanced"&amp;";",";"&amp;$E$258&amp;";")),"balanced",LEFT($E$258,FIND(";",$E$258&amp;";")-1))))</f>
        <v/>
      </c>
      <c r="O258" t="inlineStr">
        <is>
          <t>balanced</t>
        </is>
      </c>
      <c r="P258">
        <f>IF(OR($E$258="",$G$258),"KHONG_CHIEN_THUAT",IF(NOT($J$258),IF($H$258="balanced","GIU","CHE_DO_BO_QUA"),IF($N$258=$H$258,"GIU","HO_SO_GHI_DE")))</f>
        <v/>
      </c>
      <c r="Q258" t="inlineStr">
        <is>
          <t>Sim/AI/ConquestAi.P28.cs TickLayered + Sim/AI/Commander.cs AllowedTactic (mode.FixedDeck, kessler)</t>
        </is>
      </c>
      <c r="R258" t="inlineStr"/>
    </row>
    <row r="259">
      <c r="A259" t="inlineStr">
        <is>
          <t>mode.FixedDeck/orlov</t>
        </is>
      </c>
      <c r="B259" t="inlineStr">
        <is>
          <t>mode.FixedDeck</t>
        </is>
      </c>
      <c r="C259" t="inlineStr">
        <is>
          <t>orlov</t>
        </is>
      </c>
      <c r="D259">
        <f>AI_ho_so_anh_xa!$D$23</f>
        <v/>
      </c>
      <c r="E259">
        <f>INDEX(AI_ho_so_che_do!$B$2:$B$21,MATCH($D$259,AI_ho_so_che_do!$A$2:$A$21,0))&amp;""</f>
        <v/>
      </c>
      <c r="F259">
        <f>INDEX(AI_ho_so_che_do!$P$2:$P$21,MATCH($D$259,AI_ho_so_che_do!$A$2:$A$21,0))=TRUE</f>
        <v/>
      </c>
      <c r="G259">
        <f>ISNUMBER(FIND(";noGeneralTactic;",";"&amp;INDEX(AI_ho_so_che_do!$O$2:$O$21,MATCH($D$259,AI_ho_so_che_do!$A$2:$A$21,0))&amp;";"))</f>
        <v/>
      </c>
      <c r="H259">
        <f>IF(AI_tuong!$B$7&amp;""&lt;&gt;"",AI_tuong!$B$7,IF(AI_tuong!$B$4&amp;""&lt;&gt;"",AI_tuong!$B$4,"balanced"))</f>
        <v/>
      </c>
      <c r="I259" t="inlineStr">
        <is>
          <t>firepower</t>
        </is>
      </c>
      <c r="J259">
        <f>OR($F$259,AND(AI_ho_so_anh_xa!$B$23="mode",OR(AI_ho_so_anh_xa!$C$23="Weekly",AI_ho_so_anh_xa!$C$23="Operation")))</f>
        <v/>
      </c>
      <c r="K259" t="b">
        <v>0</v>
      </c>
      <c r="L259">
        <f>IF($J$259,$H$259,"balanced")</f>
        <v/>
      </c>
      <c r="M259" t="inlineStr">
        <is>
          <t>balanced</t>
        </is>
      </c>
      <c r="N259">
        <f>IF(OR($E$259="",$G$259),"balanced",IF(OR($E$259="*",ISNUMBER(FIND(";"&amp;$L$259&amp;";",";"&amp;$E$259&amp;";"))),$L$259,IF(ISNUMBER(FIND(";"&amp;"balanced"&amp;";",";"&amp;$E$259&amp;";")),"balanced",LEFT($E$259,FIND(";",$E$259&amp;";")-1))))</f>
        <v/>
      </c>
      <c r="O259" t="inlineStr">
        <is>
          <t>balanced</t>
        </is>
      </c>
      <c r="P259">
        <f>IF(OR($E$259="",$G$259),"KHONG_CHIEN_THUAT",IF(NOT($J$259),IF($H$259="balanced","GIU","CHE_DO_BO_QUA"),IF($N$259=$H$259,"GIU","HO_SO_GHI_DE")))</f>
        <v/>
      </c>
      <c r="Q259" t="inlineStr">
        <is>
          <t>Sim/AI/ConquestAi.P28.cs TickLayered + Sim/AI/Commander.cs AllowedTactic (mode.FixedDeck, orlov)</t>
        </is>
      </c>
      <c r="R259" t="inlineStr"/>
    </row>
    <row r="260">
      <c r="A260" t="inlineStr">
        <is>
          <t>mode.FixedDeck/quaden</t>
        </is>
      </c>
      <c r="B260" t="inlineStr">
        <is>
          <t>mode.FixedDeck</t>
        </is>
      </c>
      <c r="C260" t="inlineStr">
        <is>
          <t>quaden</t>
        </is>
      </c>
      <c r="D260">
        <f>AI_ho_so_anh_xa!$D$23</f>
        <v/>
      </c>
      <c r="E260">
        <f>INDEX(AI_ho_so_che_do!$B$2:$B$21,MATCH($D$260,AI_ho_so_che_do!$A$2:$A$21,0))&amp;""</f>
        <v/>
      </c>
      <c r="F260">
        <f>INDEX(AI_ho_so_che_do!$P$2:$P$21,MATCH($D$260,AI_ho_so_che_do!$A$2:$A$21,0))=TRUE</f>
        <v/>
      </c>
      <c r="G260">
        <f>ISNUMBER(FIND(";noGeneralTactic;",";"&amp;INDEX(AI_ho_so_che_do!$O$2:$O$21,MATCH($D$260,AI_ho_so_che_do!$A$2:$A$21,0))&amp;";"))</f>
        <v/>
      </c>
      <c r="H260">
        <f>IF(AI_tuong!$B$8&amp;""&lt;&gt;"",AI_tuong!$B$8,IF(AI_tuong!$B$4&amp;""&lt;&gt;"",AI_tuong!$B$4,"balanced"))</f>
        <v/>
      </c>
      <c r="I260" t="inlineStr">
        <is>
          <t>balanced</t>
        </is>
      </c>
      <c r="J260">
        <f>OR($F$260,AND(AI_ho_so_anh_xa!$B$23="mode",OR(AI_ho_so_anh_xa!$C$23="Weekly",AI_ho_so_anh_xa!$C$23="Operation")))</f>
        <v/>
      </c>
      <c r="K260" t="b">
        <v>0</v>
      </c>
      <c r="L260">
        <f>IF($J$260,$H$260,"balanced")</f>
        <v/>
      </c>
      <c r="M260" t="inlineStr">
        <is>
          <t>balanced</t>
        </is>
      </c>
      <c r="N260">
        <f>IF(OR($E$260="",$G$260),"balanced",IF(OR($E$260="*",ISNUMBER(FIND(";"&amp;$L$260&amp;";",";"&amp;$E$260&amp;";"))),$L$260,IF(ISNUMBER(FIND(";"&amp;"balanced"&amp;";",";"&amp;$E$260&amp;";")),"balanced",LEFT($E$260,FIND(";",$E$260&amp;";")-1))))</f>
        <v/>
      </c>
      <c r="O260" t="inlineStr">
        <is>
          <t>balanced</t>
        </is>
      </c>
      <c r="P260">
        <f>IF(OR($E$260="",$G$260),"KHONG_CHIEN_THUAT",IF(NOT($J$260),IF($H$260="balanced","GIU","CHE_DO_BO_QUA"),IF($N$260=$H$260,"GIU","HO_SO_GHI_DE")))</f>
        <v/>
      </c>
      <c r="Q260" t="inlineStr">
        <is>
          <t>Sim/AI/ConquestAi.P28.cs TickLayered + Sim/AI/Commander.cs AllowedTactic (mode.FixedDeck, quaden)</t>
        </is>
      </c>
      <c r="R260" t="inlineStr"/>
    </row>
    <row r="261">
      <c r="A261" t="inlineStr">
        <is>
          <t>mode.FixedDeck/sen</t>
        </is>
      </c>
      <c r="B261" t="inlineStr">
        <is>
          <t>mode.FixedDeck</t>
        </is>
      </c>
      <c r="C261" t="inlineStr">
        <is>
          <t>sen</t>
        </is>
      </c>
      <c r="D261">
        <f>AI_ho_so_anh_xa!$D$23</f>
        <v/>
      </c>
      <c r="E261">
        <f>INDEX(AI_ho_so_che_do!$B$2:$B$21,MATCH($D$261,AI_ho_so_che_do!$A$2:$A$21,0))&amp;""</f>
        <v/>
      </c>
      <c r="F261">
        <f>INDEX(AI_ho_so_che_do!$P$2:$P$21,MATCH($D$261,AI_ho_so_che_do!$A$2:$A$21,0))=TRUE</f>
        <v/>
      </c>
      <c r="G261">
        <f>ISNUMBER(FIND(";noGeneralTactic;",";"&amp;INDEX(AI_ho_so_che_do!$O$2:$O$21,MATCH($D$261,AI_ho_so_che_do!$A$2:$A$21,0))&amp;";"))</f>
        <v/>
      </c>
      <c r="H261">
        <f>IF(AI_tuong!$B$9&amp;""&lt;&gt;"",AI_tuong!$B$9,IF(AI_tuong!$B$4&amp;""&lt;&gt;"",AI_tuong!$B$4,"balanced"))</f>
        <v/>
      </c>
      <c r="I261" t="inlineStr">
        <is>
          <t>balanced</t>
        </is>
      </c>
      <c r="J261">
        <f>OR($F$261,AND(AI_ho_so_anh_xa!$B$23="mode",OR(AI_ho_so_anh_xa!$C$23="Weekly",AI_ho_so_anh_xa!$C$23="Operation")))</f>
        <v/>
      </c>
      <c r="K261" t="b">
        <v>0</v>
      </c>
      <c r="L261">
        <f>IF($J$261,$H$261,"balanced")</f>
        <v/>
      </c>
      <c r="M261" t="inlineStr">
        <is>
          <t>balanced</t>
        </is>
      </c>
      <c r="N261">
        <f>IF(OR($E$261="",$G$261),"balanced",IF(OR($E$261="*",ISNUMBER(FIND(";"&amp;$L$261&amp;";",";"&amp;$E$261&amp;";"))),$L$261,IF(ISNUMBER(FIND(";"&amp;"balanced"&amp;";",";"&amp;$E$261&amp;";")),"balanced",LEFT($E$261,FIND(";",$E$261&amp;";")-1))))</f>
        <v/>
      </c>
      <c r="O261" t="inlineStr">
        <is>
          <t>balanced</t>
        </is>
      </c>
      <c r="P261">
        <f>IF(OR($E$261="",$G$261),"KHONG_CHIEN_THUAT",IF(NOT($J$261),IF($H$261="balanced","GIU","CHE_DO_BO_QUA"),IF($N$261=$H$261,"GIU","HO_SO_GHI_DE")))</f>
        <v/>
      </c>
      <c r="Q261" t="inlineStr">
        <is>
          <t>Sim/AI/ConquestAi.P28.cs TickLayered + Sim/AI/Commander.cs AllowedTactic (mode.FixedDeck, sen)</t>
        </is>
      </c>
      <c r="R261" t="inlineStr"/>
    </row>
    <row r="262">
      <c r="A262" t="inlineStr">
        <is>
          <t>mode.FixedDeck/thorne</t>
        </is>
      </c>
      <c r="B262" t="inlineStr">
        <is>
          <t>mode.FixedDeck</t>
        </is>
      </c>
      <c r="C262" t="inlineStr">
        <is>
          <t>thorne</t>
        </is>
      </c>
      <c r="D262">
        <f>AI_ho_so_anh_xa!$D$23</f>
        <v/>
      </c>
      <c r="E262">
        <f>INDEX(AI_ho_so_che_do!$B$2:$B$21,MATCH($D$262,AI_ho_so_che_do!$A$2:$A$21,0))&amp;""</f>
        <v/>
      </c>
      <c r="F262">
        <f>INDEX(AI_ho_so_che_do!$P$2:$P$21,MATCH($D$262,AI_ho_so_che_do!$A$2:$A$21,0))=TRUE</f>
        <v/>
      </c>
      <c r="G262">
        <f>ISNUMBER(FIND(";noGeneralTactic;",";"&amp;INDEX(AI_ho_so_che_do!$O$2:$O$21,MATCH($D$262,AI_ho_so_che_do!$A$2:$A$21,0))&amp;";"))</f>
        <v/>
      </c>
      <c r="H262">
        <f>IF(AI_tuong!$B$10&amp;""&lt;&gt;"",AI_tuong!$B$10,IF(AI_tuong!$B$4&amp;""&lt;&gt;"",AI_tuong!$B$4,"balanced"))</f>
        <v/>
      </c>
      <c r="I262" t="inlineStr">
        <is>
          <t>balanced</t>
        </is>
      </c>
      <c r="J262">
        <f>OR($F$262,AND(AI_ho_so_anh_xa!$B$23="mode",OR(AI_ho_so_anh_xa!$C$23="Weekly",AI_ho_so_anh_xa!$C$23="Operation")))</f>
        <v/>
      </c>
      <c r="K262" t="b">
        <v>0</v>
      </c>
      <c r="L262">
        <f>IF($J$262,$H$262,"balanced")</f>
        <v/>
      </c>
      <c r="M262" t="inlineStr">
        <is>
          <t>balanced</t>
        </is>
      </c>
      <c r="N262">
        <f>IF(OR($E$262="",$G$262),"balanced",IF(OR($E$262="*",ISNUMBER(FIND(";"&amp;$L$262&amp;";",";"&amp;$E$262&amp;";"))),$L$262,IF(ISNUMBER(FIND(";"&amp;"balanced"&amp;";",";"&amp;$E$262&amp;";")),"balanced",LEFT($E$262,FIND(";",$E$262&amp;";")-1))))</f>
        <v/>
      </c>
      <c r="O262" t="inlineStr">
        <is>
          <t>balanced</t>
        </is>
      </c>
      <c r="P262">
        <f>IF(OR($E$262="",$G$262),"KHONG_CHIEN_THUAT",IF(NOT($J$262),IF($H$262="balanced","GIU","CHE_DO_BO_QUA"),IF($N$262=$H$262,"GIU","HO_SO_GHI_DE")))</f>
        <v/>
      </c>
      <c r="Q262" t="inlineStr">
        <is>
          <t>Sim/AI/ConquestAi.P28.cs TickLayered + Sim/AI/Commander.cs AllowedTactic (mode.FixedDeck, thorne)</t>
        </is>
      </c>
      <c r="R262" t="inlineStr"/>
    </row>
    <row r="263">
      <c r="A263" t="inlineStr">
        <is>
          <t>mode.FixedDeck/varga</t>
        </is>
      </c>
      <c r="B263" t="inlineStr">
        <is>
          <t>mode.FixedDeck</t>
        </is>
      </c>
      <c r="C263" t="inlineStr">
        <is>
          <t>varga</t>
        </is>
      </c>
      <c r="D263">
        <f>AI_ho_so_anh_xa!$D$23</f>
        <v/>
      </c>
      <c r="E263">
        <f>INDEX(AI_ho_so_che_do!$B$2:$B$21,MATCH($D$263,AI_ho_so_che_do!$A$2:$A$21,0))&amp;""</f>
        <v/>
      </c>
      <c r="F263">
        <f>INDEX(AI_ho_so_che_do!$P$2:$P$21,MATCH($D$263,AI_ho_so_che_do!$A$2:$A$21,0))=TRUE</f>
        <v/>
      </c>
      <c r="G263">
        <f>ISNUMBER(FIND(";noGeneralTactic;",";"&amp;INDEX(AI_ho_so_che_do!$O$2:$O$21,MATCH($D$263,AI_ho_so_che_do!$A$2:$A$21,0))&amp;";"))</f>
        <v/>
      </c>
      <c r="H263">
        <f>IF(AI_tuong!$B$11&amp;""&lt;&gt;"",AI_tuong!$B$11,IF(AI_tuong!$B$4&amp;""&lt;&gt;"",AI_tuong!$B$4,"balanced"))</f>
        <v/>
      </c>
      <c r="I263" t="inlineStr">
        <is>
          <t>breakthrough</t>
        </is>
      </c>
      <c r="J263">
        <f>OR($F$263,AND(AI_ho_so_anh_xa!$B$23="mode",OR(AI_ho_so_anh_xa!$C$23="Weekly",AI_ho_so_anh_xa!$C$23="Operation")))</f>
        <v/>
      </c>
      <c r="K263" t="b">
        <v>0</v>
      </c>
      <c r="L263">
        <f>IF($J$263,$H$263,"balanced")</f>
        <v/>
      </c>
      <c r="M263" t="inlineStr">
        <is>
          <t>balanced</t>
        </is>
      </c>
      <c r="N263">
        <f>IF(OR($E$263="",$G$263),"balanced",IF(OR($E$263="*",ISNUMBER(FIND(";"&amp;$L$263&amp;";",";"&amp;$E$263&amp;";"))),$L$263,IF(ISNUMBER(FIND(";"&amp;"balanced"&amp;";",";"&amp;$E$263&amp;";")),"balanced",LEFT($E$263,FIND(";",$E$263&amp;";")-1))))</f>
        <v/>
      </c>
      <c r="O263" t="inlineStr">
        <is>
          <t>balanced</t>
        </is>
      </c>
      <c r="P263">
        <f>IF(OR($E$263="",$G$263),"KHONG_CHIEN_THUAT",IF(NOT($J$263),IF($H$263="balanced","GIU","CHE_DO_BO_QUA"),IF($N$263=$H$263,"GIU","HO_SO_GHI_DE")))</f>
        <v/>
      </c>
      <c r="Q263" t="inlineStr">
        <is>
          <t>Sim/AI/ConquestAi.P28.cs TickLayered + Sim/AI/Commander.cs AllowedTactic (mode.FixedDeck, varga)</t>
        </is>
      </c>
      <c r="R263" t="inlineStr"/>
    </row>
    <row r="264">
      <c r="A264" t="inlineStr">
        <is>
          <t>mode.FixedDeck/venn</t>
        </is>
      </c>
      <c r="B264" t="inlineStr">
        <is>
          <t>mode.FixedDeck</t>
        </is>
      </c>
      <c r="C264" t="inlineStr">
        <is>
          <t>venn</t>
        </is>
      </c>
      <c r="D264">
        <f>AI_ho_so_anh_xa!$D$23</f>
        <v/>
      </c>
      <c r="E264">
        <f>INDEX(AI_ho_so_che_do!$B$2:$B$21,MATCH($D$264,AI_ho_so_che_do!$A$2:$A$21,0))&amp;""</f>
        <v/>
      </c>
      <c r="F264">
        <f>INDEX(AI_ho_so_che_do!$P$2:$P$21,MATCH($D$264,AI_ho_so_che_do!$A$2:$A$21,0))=TRUE</f>
        <v/>
      </c>
      <c r="G264">
        <f>ISNUMBER(FIND(";noGeneralTactic;",";"&amp;INDEX(AI_ho_so_che_do!$O$2:$O$21,MATCH($D$264,AI_ho_so_che_do!$A$2:$A$21,0))&amp;";"))</f>
        <v/>
      </c>
      <c r="H264">
        <f>IF(AI_tuong!$B$12&amp;""&lt;&gt;"",AI_tuong!$B$12,IF(AI_tuong!$B$4&amp;""&lt;&gt;"",AI_tuong!$B$4,"balanced"))</f>
        <v/>
      </c>
      <c r="I264" t="inlineStr">
        <is>
          <t>dispersal</t>
        </is>
      </c>
      <c r="J264">
        <f>OR($F$264,AND(AI_ho_so_anh_xa!$B$23="mode",OR(AI_ho_so_anh_xa!$C$23="Weekly",AI_ho_so_anh_xa!$C$23="Operation")))</f>
        <v/>
      </c>
      <c r="K264" t="b">
        <v>0</v>
      </c>
      <c r="L264">
        <f>IF($J$264,$H$264,"balanced")</f>
        <v/>
      </c>
      <c r="M264" t="inlineStr">
        <is>
          <t>balanced</t>
        </is>
      </c>
      <c r="N264">
        <f>IF(OR($E$264="",$G$264),"balanced",IF(OR($E$264="*",ISNUMBER(FIND(";"&amp;$L$264&amp;";",";"&amp;$E$264&amp;";"))),$L$264,IF(ISNUMBER(FIND(";"&amp;"balanced"&amp;";",";"&amp;$E$264&amp;";")),"balanced",LEFT($E$264,FIND(";",$E$264&amp;";")-1))))</f>
        <v/>
      </c>
      <c r="O264" t="inlineStr">
        <is>
          <t>balanced</t>
        </is>
      </c>
      <c r="P264">
        <f>IF(OR($E$264="",$G$264),"KHONG_CHIEN_THUAT",IF(NOT($J$264),IF($H$264="balanced","GIU","CHE_DO_BO_QUA"),IF($N$264=$H$264,"GIU","HO_SO_GHI_DE")))</f>
        <v/>
      </c>
      <c r="Q264" t="inlineStr">
        <is>
          <t>Sim/AI/ConquestAi.P28.cs TickLayered + Sim/AI/Commander.cs AllowedTactic (mode.FixedDeck, venn)</t>
        </is>
      </c>
      <c r="R264" t="inlineStr"/>
    </row>
    <row r="265">
      <c r="A265" t="inlineStr">
        <is>
          <t>mode.FixedDeck/wolff</t>
        </is>
      </c>
      <c r="B265" t="inlineStr">
        <is>
          <t>mode.FixedDeck</t>
        </is>
      </c>
      <c r="C265" t="inlineStr">
        <is>
          <t>wolff</t>
        </is>
      </c>
      <c r="D265">
        <f>AI_ho_so_anh_xa!$D$23</f>
        <v/>
      </c>
      <c r="E265">
        <f>INDEX(AI_ho_so_che_do!$B$2:$B$21,MATCH($D$265,AI_ho_so_che_do!$A$2:$A$21,0))&amp;""</f>
        <v/>
      </c>
      <c r="F265">
        <f>INDEX(AI_ho_so_che_do!$P$2:$P$21,MATCH($D$265,AI_ho_so_che_do!$A$2:$A$21,0))=TRUE</f>
        <v/>
      </c>
      <c r="G265">
        <f>ISNUMBER(FIND(";noGeneralTactic;",";"&amp;INDEX(AI_ho_so_che_do!$O$2:$O$21,MATCH($D$265,AI_ho_so_che_do!$A$2:$A$21,0))&amp;";"))</f>
        <v/>
      </c>
      <c r="H265">
        <f>IF(AI_tuong!$B$13&amp;""&lt;&gt;"",AI_tuong!$B$13,IF(AI_tuong!$B$4&amp;""&lt;&gt;"",AI_tuong!$B$4,"balanced"))</f>
        <v/>
      </c>
      <c r="I265" t="inlineStr">
        <is>
          <t>air_superiority</t>
        </is>
      </c>
      <c r="J265">
        <f>OR($F$265,AND(AI_ho_so_anh_xa!$B$23="mode",OR(AI_ho_so_anh_xa!$C$23="Weekly",AI_ho_so_anh_xa!$C$23="Operation")))</f>
        <v/>
      </c>
      <c r="K265" t="b">
        <v>0</v>
      </c>
      <c r="L265">
        <f>IF($J$265,$H$265,"balanced")</f>
        <v/>
      </c>
      <c r="M265" t="inlineStr">
        <is>
          <t>balanced</t>
        </is>
      </c>
      <c r="N265">
        <f>IF(OR($E$265="",$G$265),"balanced",IF(OR($E$265="*",ISNUMBER(FIND(";"&amp;$L$265&amp;";",";"&amp;$E$265&amp;";"))),$L$265,IF(ISNUMBER(FIND(";"&amp;"balanced"&amp;";",";"&amp;$E$265&amp;";")),"balanced",LEFT($E$265,FIND(";",$E$265&amp;";")-1))))</f>
        <v/>
      </c>
      <c r="O265" t="inlineStr">
        <is>
          <t>balanced</t>
        </is>
      </c>
      <c r="P265">
        <f>IF(OR($E$265="",$G$265),"KHONG_CHIEN_THUAT",IF(NOT($J$265),IF($H$265="balanced","GIU","CHE_DO_BO_QUA"),IF($N$265=$H$265,"GIU","HO_SO_GHI_DE")))</f>
        <v/>
      </c>
      <c r="Q265" t="inlineStr">
        <is>
          <t>Sim/AI/ConquestAi.P28.cs TickLayered + Sim/AI/Commander.cs AllowedTactic (mode.FixedDeck, wolff)</t>
        </is>
      </c>
      <c r="R265" t="inlineStr"/>
    </row>
    <row r="266">
      <c r="A266" t="inlineStr">
        <is>
          <t>mode.KingOfTheHill/aurel</t>
        </is>
      </c>
      <c r="B266" t="inlineStr">
        <is>
          <t>mode.KingOfTheHill</t>
        </is>
      </c>
      <c r="C266" t="inlineStr">
        <is>
          <t>aurel</t>
        </is>
      </c>
      <c r="D266">
        <f>AI_ho_so_anh_xa!$D$24</f>
        <v/>
      </c>
      <c r="E266">
        <f>INDEX(AI_ho_so_che_do!$B$2:$B$21,MATCH($D$266,AI_ho_so_che_do!$A$2:$A$21,0))&amp;""</f>
        <v/>
      </c>
      <c r="F266">
        <f>INDEX(AI_ho_so_che_do!$P$2:$P$21,MATCH($D$266,AI_ho_so_che_do!$A$2:$A$21,0))=TRUE</f>
        <v/>
      </c>
      <c r="G266">
        <f>ISNUMBER(FIND(";noGeneralTactic;",";"&amp;INDEX(AI_ho_so_che_do!$O$2:$O$21,MATCH($D$266,AI_ho_so_che_do!$A$2:$A$21,0))&amp;";"))</f>
        <v/>
      </c>
      <c r="H266">
        <f>IF(AI_tuong!$B$2&amp;""&lt;&gt;"",AI_tuong!$B$2,IF(AI_tuong!$B$4&amp;""&lt;&gt;"",AI_tuong!$B$4,"balanced"))</f>
        <v/>
      </c>
      <c r="I266" t="inlineStr">
        <is>
          <t>all_out</t>
        </is>
      </c>
      <c r="J266">
        <f>OR($F$266,AND(AI_ho_so_anh_xa!$B$24="mode",OR(AI_ho_so_anh_xa!$C$24="Weekly",AI_ho_so_anh_xa!$C$24="Operation")))</f>
        <v/>
      </c>
      <c r="K266" t="b">
        <v>0</v>
      </c>
      <c r="L266">
        <f>IF($J$266,$H$266,"balanced")</f>
        <v/>
      </c>
      <c r="M266" t="inlineStr">
        <is>
          <t>balanced</t>
        </is>
      </c>
      <c r="N266">
        <f>IF(OR($E$266="",$G$266),"balanced",IF(OR($E$266="*",ISNUMBER(FIND(";"&amp;$L$266&amp;";",";"&amp;$E$266&amp;";"))),$L$266,IF(ISNUMBER(FIND(";"&amp;"balanced"&amp;";",";"&amp;$E$266&amp;";")),"balanced",LEFT($E$266,FIND(";",$E$266&amp;";")-1))))</f>
        <v/>
      </c>
      <c r="O266" t="inlineStr">
        <is>
          <t>balanced</t>
        </is>
      </c>
      <c r="P266">
        <f>IF(OR($E$266="",$G$266),"KHONG_CHIEN_THUAT",IF(NOT($J$266),IF($H$266="balanced","GIU","CHE_DO_BO_QUA"),IF($N$266=$H$266,"GIU","HO_SO_GHI_DE")))</f>
        <v/>
      </c>
      <c r="Q266" t="inlineStr">
        <is>
          <t>Sim/AI/ConquestAi.P28.cs TickLayered + Sim/AI/Commander.cs AllowedTactic (mode.KingOfTheHill, aurel)</t>
        </is>
      </c>
      <c r="R266" t="inlineStr"/>
    </row>
    <row r="267">
      <c r="A267" t="inlineStr">
        <is>
          <t>mode.KingOfTheHill/brandt</t>
        </is>
      </c>
      <c r="B267" t="inlineStr">
        <is>
          <t>mode.KingOfTheHill</t>
        </is>
      </c>
      <c r="C267" t="inlineStr">
        <is>
          <t>brandt</t>
        </is>
      </c>
      <c r="D267">
        <f>AI_ho_so_anh_xa!$D$24</f>
        <v/>
      </c>
      <c r="E267">
        <f>INDEX(AI_ho_so_che_do!$B$2:$B$21,MATCH($D$267,AI_ho_so_che_do!$A$2:$A$21,0))&amp;""</f>
        <v/>
      </c>
      <c r="F267">
        <f>INDEX(AI_ho_so_che_do!$P$2:$P$21,MATCH($D$267,AI_ho_so_che_do!$A$2:$A$21,0))=TRUE</f>
        <v/>
      </c>
      <c r="G267">
        <f>ISNUMBER(FIND(";noGeneralTactic;",";"&amp;INDEX(AI_ho_so_che_do!$O$2:$O$21,MATCH($D$267,AI_ho_so_che_do!$A$2:$A$21,0))&amp;";"))</f>
        <v/>
      </c>
      <c r="H267">
        <f>IF(AI_tuong!$B$3&amp;""&lt;&gt;"",AI_tuong!$B$3,IF(AI_tuong!$B$4&amp;""&lt;&gt;"",AI_tuong!$B$4,"balanced"))</f>
        <v/>
      </c>
      <c r="I267" t="inlineStr">
        <is>
          <t>depth</t>
        </is>
      </c>
      <c r="J267">
        <f>OR($F$267,AND(AI_ho_so_anh_xa!$B$24="mode",OR(AI_ho_so_anh_xa!$C$24="Weekly",AI_ho_so_anh_xa!$C$24="Operation")))</f>
        <v/>
      </c>
      <c r="K267" t="b">
        <v>0</v>
      </c>
      <c r="L267">
        <f>IF($J$267,$H$267,"balanced")</f>
        <v/>
      </c>
      <c r="M267" t="inlineStr">
        <is>
          <t>balanced</t>
        </is>
      </c>
      <c r="N267">
        <f>IF(OR($E$267="",$G$267),"balanced",IF(OR($E$267="*",ISNUMBER(FIND(";"&amp;$L$267&amp;";",";"&amp;$E$267&amp;";"))),$L$267,IF(ISNUMBER(FIND(";"&amp;"balanced"&amp;";",";"&amp;$E$267&amp;";")),"balanced",LEFT($E$267,FIND(";",$E$267&amp;";")-1))))</f>
        <v/>
      </c>
      <c r="O267" t="inlineStr">
        <is>
          <t>balanced</t>
        </is>
      </c>
      <c r="P267">
        <f>IF(OR($E$267="",$G$267),"KHONG_CHIEN_THUAT",IF(NOT($J$267),IF($H$267="balanced","GIU","CHE_DO_BO_QUA"),IF($N$267=$H$267,"GIU","HO_SO_GHI_DE")))</f>
        <v/>
      </c>
      <c r="Q267" t="inlineStr">
        <is>
          <t>Sim/AI/ConquestAi.P28.cs TickLayered + Sim/AI/Commander.cs AllowedTactic (mode.KingOfTheHill, brandt)</t>
        </is>
      </c>
      <c r="R267" t="inlineStr"/>
    </row>
    <row r="268">
      <c r="A268" t="inlineStr">
        <is>
          <t>mode.KingOfTheHill/default</t>
        </is>
      </c>
      <c r="B268" t="inlineStr">
        <is>
          <t>mode.KingOfTheHill</t>
        </is>
      </c>
      <c r="C268" t="inlineStr">
        <is>
          <t>default</t>
        </is>
      </c>
      <c r="D268">
        <f>AI_ho_so_anh_xa!$D$24</f>
        <v/>
      </c>
      <c r="E268">
        <f>INDEX(AI_ho_so_che_do!$B$2:$B$21,MATCH($D$268,AI_ho_so_che_do!$A$2:$A$21,0))&amp;""</f>
        <v/>
      </c>
      <c r="F268">
        <f>INDEX(AI_ho_so_che_do!$P$2:$P$21,MATCH($D$268,AI_ho_so_che_do!$A$2:$A$21,0))=TRUE</f>
        <v/>
      </c>
      <c r="G268">
        <f>ISNUMBER(FIND(";noGeneralTactic;",";"&amp;INDEX(AI_ho_so_che_do!$O$2:$O$21,MATCH($D$268,AI_ho_so_che_do!$A$2:$A$21,0))&amp;";"))</f>
        <v/>
      </c>
      <c r="H268">
        <f>IF(AI_tuong!$B$4&amp;""&lt;&gt;"",AI_tuong!$B$4,IF(AI_tuong!$B$4&amp;""&lt;&gt;"",AI_tuong!$B$4,"balanced"))</f>
        <v/>
      </c>
      <c r="I268" t="inlineStr">
        <is>
          <t>balanced</t>
        </is>
      </c>
      <c r="J268">
        <f>OR($F$268,AND(AI_ho_so_anh_xa!$B$24="mode",OR(AI_ho_so_anh_xa!$C$24="Weekly",AI_ho_so_anh_xa!$C$24="Operation")))</f>
        <v/>
      </c>
      <c r="K268" t="b">
        <v>0</v>
      </c>
      <c r="L268">
        <f>IF($J$268,$H$268,"balanced")</f>
        <v/>
      </c>
      <c r="M268" t="inlineStr">
        <is>
          <t>balanced</t>
        </is>
      </c>
      <c r="N268">
        <f>IF(OR($E$268="",$G$268),"balanced",IF(OR($E$268="*",ISNUMBER(FIND(";"&amp;$L$268&amp;";",";"&amp;$E$268&amp;";"))),$L$268,IF(ISNUMBER(FIND(";"&amp;"balanced"&amp;";",";"&amp;$E$268&amp;";")),"balanced",LEFT($E$268,FIND(";",$E$268&amp;";")-1))))</f>
        <v/>
      </c>
      <c r="O268" t="inlineStr">
        <is>
          <t>balanced</t>
        </is>
      </c>
      <c r="P268">
        <f>IF(OR($E$268="",$G$268),"KHONG_CHIEN_THUAT",IF(NOT($J$268),IF($H$268="balanced","GIU","CHE_DO_BO_QUA"),IF($N$268=$H$268,"GIU","HO_SO_GHI_DE")))</f>
        <v/>
      </c>
      <c r="Q268" t="inlineStr">
        <is>
          <t>Sim/AI/ConquestAi.P28.cs TickLayered + Sim/AI/Commander.cs AllowedTactic (mode.KingOfTheHill, default)</t>
        </is>
      </c>
      <c r="R268" t="inlineStr"/>
    </row>
    <row r="269">
      <c r="A269" t="inlineStr">
        <is>
          <t>mode.KingOfTheHill/hung</t>
        </is>
      </c>
      <c r="B269" t="inlineStr">
        <is>
          <t>mode.KingOfTheHill</t>
        </is>
      </c>
      <c r="C269" t="inlineStr">
        <is>
          <t>hung</t>
        </is>
      </c>
      <c r="D269">
        <f>AI_ho_so_anh_xa!$D$24</f>
        <v/>
      </c>
      <c r="E269">
        <f>INDEX(AI_ho_so_che_do!$B$2:$B$21,MATCH($D$269,AI_ho_so_che_do!$A$2:$A$21,0))&amp;""</f>
        <v/>
      </c>
      <c r="F269">
        <f>INDEX(AI_ho_so_che_do!$P$2:$P$21,MATCH($D$269,AI_ho_so_che_do!$A$2:$A$21,0))=TRUE</f>
        <v/>
      </c>
      <c r="G269">
        <f>ISNUMBER(FIND(";noGeneralTactic;",";"&amp;INDEX(AI_ho_so_che_do!$O$2:$O$21,MATCH($D$269,AI_ho_so_che_do!$A$2:$A$21,0))&amp;";"))</f>
        <v/>
      </c>
      <c r="H269">
        <f>IF(AI_tuong!$B$5&amp;""&lt;&gt;"",AI_tuong!$B$5,IF(AI_tuong!$B$4&amp;""&lt;&gt;"",AI_tuong!$B$4,"balanced"))</f>
        <v/>
      </c>
      <c r="I269" t="inlineStr">
        <is>
          <t>balanced</t>
        </is>
      </c>
      <c r="J269">
        <f>OR($F$269,AND(AI_ho_so_anh_xa!$B$24="mode",OR(AI_ho_so_anh_xa!$C$24="Weekly",AI_ho_so_anh_xa!$C$24="Operation")))</f>
        <v/>
      </c>
      <c r="K269" t="b">
        <v>0</v>
      </c>
      <c r="L269">
        <f>IF($J$269,$H$269,"balanced")</f>
        <v/>
      </c>
      <c r="M269" t="inlineStr">
        <is>
          <t>balanced</t>
        </is>
      </c>
      <c r="N269">
        <f>IF(OR($E$269="",$G$269),"balanced",IF(OR($E$269="*",ISNUMBER(FIND(";"&amp;$L$269&amp;";",";"&amp;$E$269&amp;";"))),$L$269,IF(ISNUMBER(FIND(";"&amp;"balanced"&amp;";",";"&amp;$E$269&amp;";")),"balanced",LEFT($E$269,FIND(";",$E$269&amp;";")-1))))</f>
        <v/>
      </c>
      <c r="O269" t="inlineStr">
        <is>
          <t>balanced</t>
        </is>
      </c>
      <c r="P269">
        <f>IF(OR($E$269="",$G$269),"KHONG_CHIEN_THUAT",IF(NOT($J$269),IF($H$269="balanced","GIU","CHE_DO_BO_QUA"),IF($N$269=$H$269,"GIU","HO_SO_GHI_DE")))</f>
        <v/>
      </c>
      <c r="Q269" t="inlineStr">
        <is>
          <t>Sim/AI/ConquestAi.P28.cs TickLayered + Sim/AI/Commander.cs AllowedTactic (mode.KingOfTheHill, hung)</t>
        </is>
      </c>
      <c r="R269" t="inlineStr"/>
    </row>
    <row r="270">
      <c r="A270" t="inlineStr">
        <is>
          <t>mode.KingOfTheHill/kessler</t>
        </is>
      </c>
      <c r="B270" t="inlineStr">
        <is>
          <t>mode.KingOfTheHill</t>
        </is>
      </c>
      <c r="C270" t="inlineStr">
        <is>
          <t>kessler</t>
        </is>
      </c>
      <c r="D270">
        <f>AI_ho_so_anh_xa!$D$24</f>
        <v/>
      </c>
      <c r="E270">
        <f>INDEX(AI_ho_so_che_do!$B$2:$B$21,MATCH($D$270,AI_ho_so_che_do!$A$2:$A$21,0))&amp;""</f>
        <v/>
      </c>
      <c r="F270">
        <f>INDEX(AI_ho_so_che_do!$P$2:$P$21,MATCH($D$270,AI_ho_so_che_do!$A$2:$A$21,0))=TRUE</f>
        <v/>
      </c>
      <c r="G270">
        <f>ISNUMBER(FIND(";noGeneralTactic;",";"&amp;INDEX(AI_ho_so_che_do!$O$2:$O$21,MATCH($D$270,AI_ho_so_che_do!$A$2:$A$21,0))&amp;";"))</f>
        <v/>
      </c>
      <c r="H270">
        <f>IF(AI_tuong!$B$6&amp;""&lt;&gt;"",AI_tuong!$B$6,IF(AI_tuong!$B$4&amp;""&lt;&gt;"",AI_tuong!$B$4,"balanced"))</f>
        <v/>
      </c>
      <c r="I270" t="inlineStr">
        <is>
          <t>attrition</t>
        </is>
      </c>
      <c r="J270">
        <f>OR($F$270,AND(AI_ho_so_anh_xa!$B$24="mode",OR(AI_ho_so_anh_xa!$C$24="Weekly",AI_ho_so_anh_xa!$C$24="Operation")))</f>
        <v/>
      </c>
      <c r="K270" t="b">
        <v>0</v>
      </c>
      <c r="L270">
        <f>IF($J$270,$H$270,"balanced")</f>
        <v/>
      </c>
      <c r="M270" t="inlineStr">
        <is>
          <t>balanced</t>
        </is>
      </c>
      <c r="N270">
        <f>IF(OR($E$270="",$G$270),"balanced",IF(OR($E$270="*",ISNUMBER(FIND(";"&amp;$L$270&amp;";",";"&amp;$E$270&amp;";"))),$L$270,IF(ISNUMBER(FIND(";"&amp;"balanced"&amp;";",";"&amp;$E$270&amp;";")),"balanced",LEFT($E$270,FIND(";",$E$270&amp;";")-1))))</f>
        <v/>
      </c>
      <c r="O270" t="inlineStr">
        <is>
          <t>balanced</t>
        </is>
      </c>
      <c r="P270">
        <f>IF(OR($E$270="",$G$270),"KHONG_CHIEN_THUAT",IF(NOT($J$270),IF($H$270="balanced","GIU","CHE_DO_BO_QUA"),IF($N$270=$H$270,"GIU","HO_SO_GHI_DE")))</f>
        <v/>
      </c>
      <c r="Q270" t="inlineStr">
        <is>
          <t>Sim/AI/ConquestAi.P28.cs TickLayered + Sim/AI/Commander.cs AllowedTactic (mode.KingOfTheHill, kessler)</t>
        </is>
      </c>
      <c r="R270" t="inlineStr"/>
    </row>
    <row r="271">
      <c r="A271" t="inlineStr">
        <is>
          <t>mode.KingOfTheHill/orlov</t>
        </is>
      </c>
      <c r="B271" t="inlineStr">
        <is>
          <t>mode.KingOfTheHill</t>
        </is>
      </c>
      <c r="C271" t="inlineStr">
        <is>
          <t>orlov</t>
        </is>
      </c>
      <c r="D271">
        <f>AI_ho_so_anh_xa!$D$24</f>
        <v/>
      </c>
      <c r="E271">
        <f>INDEX(AI_ho_so_che_do!$B$2:$B$21,MATCH($D$271,AI_ho_so_che_do!$A$2:$A$21,0))&amp;""</f>
        <v/>
      </c>
      <c r="F271">
        <f>INDEX(AI_ho_so_che_do!$P$2:$P$21,MATCH($D$271,AI_ho_so_che_do!$A$2:$A$21,0))=TRUE</f>
        <v/>
      </c>
      <c r="G271">
        <f>ISNUMBER(FIND(";noGeneralTactic;",";"&amp;INDEX(AI_ho_so_che_do!$O$2:$O$21,MATCH($D$271,AI_ho_so_che_do!$A$2:$A$21,0))&amp;";"))</f>
        <v/>
      </c>
      <c r="H271">
        <f>IF(AI_tuong!$B$7&amp;""&lt;&gt;"",AI_tuong!$B$7,IF(AI_tuong!$B$4&amp;""&lt;&gt;"",AI_tuong!$B$4,"balanced"))</f>
        <v/>
      </c>
      <c r="I271" t="inlineStr">
        <is>
          <t>firepower</t>
        </is>
      </c>
      <c r="J271">
        <f>OR($F$271,AND(AI_ho_so_anh_xa!$B$24="mode",OR(AI_ho_so_anh_xa!$C$24="Weekly",AI_ho_so_anh_xa!$C$24="Operation")))</f>
        <v/>
      </c>
      <c r="K271" t="b">
        <v>0</v>
      </c>
      <c r="L271">
        <f>IF($J$271,$H$271,"balanced")</f>
        <v/>
      </c>
      <c r="M271" t="inlineStr">
        <is>
          <t>balanced</t>
        </is>
      </c>
      <c r="N271">
        <f>IF(OR($E$271="",$G$271),"balanced",IF(OR($E$271="*",ISNUMBER(FIND(";"&amp;$L$271&amp;";",";"&amp;$E$271&amp;";"))),$L$271,IF(ISNUMBER(FIND(";"&amp;"balanced"&amp;";",";"&amp;$E$271&amp;";")),"balanced",LEFT($E$271,FIND(";",$E$271&amp;";")-1))))</f>
        <v/>
      </c>
      <c r="O271" t="inlineStr">
        <is>
          <t>balanced</t>
        </is>
      </c>
      <c r="P271">
        <f>IF(OR($E$271="",$G$271),"KHONG_CHIEN_THUAT",IF(NOT($J$271),IF($H$271="balanced","GIU","CHE_DO_BO_QUA"),IF($N$271=$H$271,"GIU","HO_SO_GHI_DE")))</f>
        <v/>
      </c>
      <c r="Q271" t="inlineStr">
        <is>
          <t>Sim/AI/ConquestAi.P28.cs TickLayered + Sim/AI/Commander.cs AllowedTactic (mode.KingOfTheHill, orlov)</t>
        </is>
      </c>
      <c r="R271" t="inlineStr"/>
    </row>
    <row r="272">
      <c r="A272" t="inlineStr">
        <is>
          <t>mode.KingOfTheHill/quaden</t>
        </is>
      </c>
      <c r="B272" t="inlineStr">
        <is>
          <t>mode.KingOfTheHill</t>
        </is>
      </c>
      <c r="C272" t="inlineStr">
        <is>
          <t>quaden</t>
        </is>
      </c>
      <c r="D272">
        <f>AI_ho_so_anh_xa!$D$24</f>
        <v/>
      </c>
      <c r="E272">
        <f>INDEX(AI_ho_so_che_do!$B$2:$B$21,MATCH($D$272,AI_ho_so_che_do!$A$2:$A$21,0))&amp;""</f>
        <v/>
      </c>
      <c r="F272">
        <f>INDEX(AI_ho_so_che_do!$P$2:$P$21,MATCH($D$272,AI_ho_so_che_do!$A$2:$A$21,0))=TRUE</f>
        <v/>
      </c>
      <c r="G272">
        <f>ISNUMBER(FIND(";noGeneralTactic;",";"&amp;INDEX(AI_ho_so_che_do!$O$2:$O$21,MATCH($D$272,AI_ho_so_che_do!$A$2:$A$21,0))&amp;";"))</f>
        <v/>
      </c>
      <c r="H272">
        <f>IF(AI_tuong!$B$8&amp;""&lt;&gt;"",AI_tuong!$B$8,IF(AI_tuong!$B$4&amp;""&lt;&gt;"",AI_tuong!$B$4,"balanced"))</f>
        <v/>
      </c>
      <c r="I272" t="inlineStr">
        <is>
          <t>balanced</t>
        </is>
      </c>
      <c r="J272">
        <f>OR($F$272,AND(AI_ho_so_anh_xa!$B$24="mode",OR(AI_ho_so_anh_xa!$C$24="Weekly",AI_ho_so_anh_xa!$C$24="Operation")))</f>
        <v/>
      </c>
      <c r="K272" t="b">
        <v>0</v>
      </c>
      <c r="L272">
        <f>IF($J$272,$H$272,"balanced")</f>
        <v/>
      </c>
      <c r="M272" t="inlineStr">
        <is>
          <t>balanced</t>
        </is>
      </c>
      <c r="N272">
        <f>IF(OR($E$272="",$G$272),"balanced",IF(OR($E$272="*",ISNUMBER(FIND(";"&amp;$L$272&amp;";",";"&amp;$E$272&amp;";"))),$L$272,IF(ISNUMBER(FIND(";"&amp;"balanced"&amp;";",";"&amp;$E$272&amp;";")),"balanced",LEFT($E$272,FIND(";",$E$272&amp;";")-1))))</f>
        <v/>
      </c>
      <c r="O272" t="inlineStr">
        <is>
          <t>balanced</t>
        </is>
      </c>
      <c r="P272">
        <f>IF(OR($E$272="",$G$272),"KHONG_CHIEN_THUAT",IF(NOT($J$272),IF($H$272="balanced","GIU","CHE_DO_BO_QUA"),IF($N$272=$H$272,"GIU","HO_SO_GHI_DE")))</f>
        <v/>
      </c>
      <c r="Q272" t="inlineStr">
        <is>
          <t>Sim/AI/ConquestAi.P28.cs TickLayered + Sim/AI/Commander.cs AllowedTactic (mode.KingOfTheHill, quaden)</t>
        </is>
      </c>
      <c r="R272" t="inlineStr"/>
    </row>
    <row r="273">
      <c r="A273" t="inlineStr">
        <is>
          <t>mode.KingOfTheHill/sen</t>
        </is>
      </c>
      <c r="B273" t="inlineStr">
        <is>
          <t>mode.KingOfTheHill</t>
        </is>
      </c>
      <c r="C273" t="inlineStr">
        <is>
          <t>sen</t>
        </is>
      </c>
      <c r="D273">
        <f>AI_ho_so_anh_xa!$D$24</f>
        <v/>
      </c>
      <c r="E273">
        <f>INDEX(AI_ho_so_che_do!$B$2:$B$21,MATCH($D$273,AI_ho_so_che_do!$A$2:$A$21,0))&amp;""</f>
        <v/>
      </c>
      <c r="F273">
        <f>INDEX(AI_ho_so_che_do!$P$2:$P$21,MATCH($D$273,AI_ho_so_che_do!$A$2:$A$21,0))=TRUE</f>
        <v/>
      </c>
      <c r="G273">
        <f>ISNUMBER(FIND(";noGeneralTactic;",";"&amp;INDEX(AI_ho_so_che_do!$O$2:$O$21,MATCH($D$273,AI_ho_so_che_do!$A$2:$A$21,0))&amp;";"))</f>
        <v/>
      </c>
      <c r="H273">
        <f>IF(AI_tuong!$B$9&amp;""&lt;&gt;"",AI_tuong!$B$9,IF(AI_tuong!$B$4&amp;""&lt;&gt;"",AI_tuong!$B$4,"balanced"))</f>
        <v/>
      </c>
      <c r="I273" t="inlineStr">
        <is>
          <t>balanced</t>
        </is>
      </c>
      <c r="J273">
        <f>OR($F$273,AND(AI_ho_so_anh_xa!$B$24="mode",OR(AI_ho_so_anh_xa!$C$24="Weekly",AI_ho_so_anh_xa!$C$24="Operation")))</f>
        <v/>
      </c>
      <c r="K273" t="b">
        <v>0</v>
      </c>
      <c r="L273">
        <f>IF($J$273,$H$273,"balanced")</f>
        <v/>
      </c>
      <c r="M273" t="inlineStr">
        <is>
          <t>balanced</t>
        </is>
      </c>
      <c r="N273">
        <f>IF(OR($E$273="",$G$273),"balanced",IF(OR($E$273="*",ISNUMBER(FIND(";"&amp;$L$273&amp;";",";"&amp;$E$273&amp;";"))),$L$273,IF(ISNUMBER(FIND(";"&amp;"balanced"&amp;";",";"&amp;$E$273&amp;";")),"balanced",LEFT($E$273,FIND(";",$E$273&amp;";")-1))))</f>
        <v/>
      </c>
      <c r="O273" t="inlineStr">
        <is>
          <t>balanced</t>
        </is>
      </c>
      <c r="P273">
        <f>IF(OR($E$273="",$G$273),"KHONG_CHIEN_THUAT",IF(NOT($J$273),IF($H$273="balanced","GIU","CHE_DO_BO_QUA"),IF($N$273=$H$273,"GIU","HO_SO_GHI_DE")))</f>
        <v/>
      </c>
      <c r="Q273" t="inlineStr">
        <is>
          <t>Sim/AI/ConquestAi.P28.cs TickLayered + Sim/AI/Commander.cs AllowedTactic (mode.KingOfTheHill, sen)</t>
        </is>
      </c>
      <c r="R273" t="inlineStr"/>
    </row>
    <row r="274">
      <c r="A274" t="inlineStr">
        <is>
          <t>mode.KingOfTheHill/thorne</t>
        </is>
      </c>
      <c r="B274" t="inlineStr">
        <is>
          <t>mode.KingOfTheHill</t>
        </is>
      </c>
      <c r="C274" t="inlineStr">
        <is>
          <t>thorne</t>
        </is>
      </c>
      <c r="D274">
        <f>AI_ho_so_anh_xa!$D$24</f>
        <v/>
      </c>
      <c r="E274">
        <f>INDEX(AI_ho_so_che_do!$B$2:$B$21,MATCH($D$274,AI_ho_so_che_do!$A$2:$A$21,0))&amp;""</f>
        <v/>
      </c>
      <c r="F274">
        <f>INDEX(AI_ho_so_che_do!$P$2:$P$21,MATCH($D$274,AI_ho_so_che_do!$A$2:$A$21,0))=TRUE</f>
        <v/>
      </c>
      <c r="G274">
        <f>ISNUMBER(FIND(";noGeneralTactic;",";"&amp;INDEX(AI_ho_so_che_do!$O$2:$O$21,MATCH($D$274,AI_ho_so_che_do!$A$2:$A$21,0))&amp;";"))</f>
        <v/>
      </c>
      <c r="H274">
        <f>IF(AI_tuong!$B$10&amp;""&lt;&gt;"",AI_tuong!$B$10,IF(AI_tuong!$B$4&amp;""&lt;&gt;"",AI_tuong!$B$4,"balanced"))</f>
        <v/>
      </c>
      <c r="I274" t="inlineStr">
        <is>
          <t>balanced</t>
        </is>
      </c>
      <c r="J274">
        <f>OR($F$274,AND(AI_ho_so_anh_xa!$B$24="mode",OR(AI_ho_so_anh_xa!$C$24="Weekly",AI_ho_so_anh_xa!$C$24="Operation")))</f>
        <v/>
      </c>
      <c r="K274" t="b">
        <v>0</v>
      </c>
      <c r="L274">
        <f>IF($J$274,$H$274,"balanced")</f>
        <v/>
      </c>
      <c r="M274" t="inlineStr">
        <is>
          <t>balanced</t>
        </is>
      </c>
      <c r="N274">
        <f>IF(OR($E$274="",$G$274),"balanced",IF(OR($E$274="*",ISNUMBER(FIND(";"&amp;$L$274&amp;";",";"&amp;$E$274&amp;";"))),$L$274,IF(ISNUMBER(FIND(";"&amp;"balanced"&amp;";",";"&amp;$E$274&amp;";")),"balanced",LEFT($E$274,FIND(";",$E$274&amp;";")-1))))</f>
        <v/>
      </c>
      <c r="O274" t="inlineStr">
        <is>
          <t>balanced</t>
        </is>
      </c>
      <c r="P274">
        <f>IF(OR($E$274="",$G$274),"KHONG_CHIEN_THUAT",IF(NOT($J$274),IF($H$274="balanced","GIU","CHE_DO_BO_QUA"),IF($N$274=$H$274,"GIU","HO_SO_GHI_DE")))</f>
        <v/>
      </c>
      <c r="Q274" t="inlineStr">
        <is>
          <t>Sim/AI/ConquestAi.P28.cs TickLayered + Sim/AI/Commander.cs AllowedTactic (mode.KingOfTheHill, thorne)</t>
        </is>
      </c>
      <c r="R274" t="inlineStr"/>
    </row>
    <row r="275">
      <c r="A275" t="inlineStr">
        <is>
          <t>mode.KingOfTheHill/varga</t>
        </is>
      </c>
      <c r="B275" t="inlineStr">
        <is>
          <t>mode.KingOfTheHill</t>
        </is>
      </c>
      <c r="C275" t="inlineStr">
        <is>
          <t>varga</t>
        </is>
      </c>
      <c r="D275">
        <f>AI_ho_so_anh_xa!$D$24</f>
        <v/>
      </c>
      <c r="E275">
        <f>INDEX(AI_ho_so_che_do!$B$2:$B$21,MATCH($D$275,AI_ho_so_che_do!$A$2:$A$21,0))&amp;""</f>
        <v/>
      </c>
      <c r="F275">
        <f>INDEX(AI_ho_so_che_do!$P$2:$P$21,MATCH($D$275,AI_ho_so_che_do!$A$2:$A$21,0))=TRUE</f>
        <v/>
      </c>
      <c r="G275">
        <f>ISNUMBER(FIND(";noGeneralTactic;",";"&amp;INDEX(AI_ho_so_che_do!$O$2:$O$21,MATCH($D$275,AI_ho_so_che_do!$A$2:$A$21,0))&amp;";"))</f>
        <v/>
      </c>
      <c r="H275">
        <f>IF(AI_tuong!$B$11&amp;""&lt;&gt;"",AI_tuong!$B$11,IF(AI_tuong!$B$4&amp;""&lt;&gt;"",AI_tuong!$B$4,"balanced"))</f>
        <v/>
      </c>
      <c r="I275" t="inlineStr">
        <is>
          <t>breakthrough</t>
        </is>
      </c>
      <c r="J275">
        <f>OR($F$275,AND(AI_ho_so_anh_xa!$B$24="mode",OR(AI_ho_so_anh_xa!$C$24="Weekly",AI_ho_so_anh_xa!$C$24="Operation")))</f>
        <v/>
      </c>
      <c r="K275" t="b">
        <v>0</v>
      </c>
      <c r="L275">
        <f>IF($J$275,$H$275,"balanced")</f>
        <v/>
      </c>
      <c r="M275" t="inlineStr">
        <is>
          <t>balanced</t>
        </is>
      </c>
      <c r="N275">
        <f>IF(OR($E$275="",$G$275),"balanced",IF(OR($E$275="*",ISNUMBER(FIND(";"&amp;$L$275&amp;";",";"&amp;$E$275&amp;";"))),$L$275,IF(ISNUMBER(FIND(";"&amp;"balanced"&amp;";",";"&amp;$E$275&amp;";")),"balanced",LEFT($E$275,FIND(";",$E$275&amp;";")-1))))</f>
        <v/>
      </c>
      <c r="O275" t="inlineStr">
        <is>
          <t>balanced</t>
        </is>
      </c>
      <c r="P275">
        <f>IF(OR($E$275="",$G$275),"KHONG_CHIEN_THUAT",IF(NOT($J$275),IF($H$275="balanced","GIU","CHE_DO_BO_QUA"),IF($N$275=$H$275,"GIU","HO_SO_GHI_DE")))</f>
        <v/>
      </c>
      <c r="Q275" t="inlineStr">
        <is>
          <t>Sim/AI/ConquestAi.P28.cs TickLayered + Sim/AI/Commander.cs AllowedTactic (mode.KingOfTheHill, varga)</t>
        </is>
      </c>
      <c r="R275" t="inlineStr"/>
    </row>
    <row r="276">
      <c r="A276" t="inlineStr">
        <is>
          <t>mode.KingOfTheHill/venn</t>
        </is>
      </c>
      <c r="B276" t="inlineStr">
        <is>
          <t>mode.KingOfTheHill</t>
        </is>
      </c>
      <c r="C276" t="inlineStr">
        <is>
          <t>venn</t>
        </is>
      </c>
      <c r="D276">
        <f>AI_ho_so_anh_xa!$D$24</f>
        <v/>
      </c>
      <c r="E276">
        <f>INDEX(AI_ho_so_che_do!$B$2:$B$21,MATCH($D$276,AI_ho_so_che_do!$A$2:$A$21,0))&amp;""</f>
        <v/>
      </c>
      <c r="F276">
        <f>INDEX(AI_ho_so_che_do!$P$2:$P$21,MATCH($D$276,AI_ho_so_che_do!$A$2:$A$21,0))=TRUE</f>
        <v/>
      </c>
      <c r="G276">
        <f>ISNUMBER(FIND(";noGeneralTactic;",";"&amp;INDEX(AI_ho_so_che_do!$O$2:$O$21,MATCH($D$276,AI_ho_so_che_do!$A$2:$A$21,0))&amp;";"))</f>
        <v/>
      </c>
      <c r="H276">
        <f>IF(AI_tuong!$B$12&amp;""&lt;&gt;"",AI_tuong!$B$12,IF(AI_tuong!$B$4&amp;""&lt;&gt;"",AI_tuong!$B$4,"balanced"))</f>
        <v/>
      </c>
      <c r="I276" t="inlineStr">
        <is>
          <t>dispersal</t>
        </is>
      </c>
      <c r="J276">
        <f>OR($F$276,AND(AI_ho_so_anh_xa!$B$24="mode",OR(AI_ho_so_anh_xa!$C$24="Weekly",AI_ho_so_anh_xa!$C$24="Operation")))</f>
        <v/>
      </c>
      <c r="K276" t="b">
        <v>0</v>
      </c>
      <c r="L276">
        <f>IF($J$276,$H$276,"balanced")</f>
        <v/>
      </c>
      <c r="M276" t="inlineStr">
        <is>
          <t>balanced</t>
        </is>
      </c>
      <c r="N276">
        <f>IF(OR($E$276="",$G$276),"balanced",IF(OR($E$276="*",ISNUMBER(FIND(";"&amp;$L$276&amp;";",";"&amp;$E$276&amp;";"))),$L$276,IF(ISNUMBER(FIND(";"&amp;"balanced"&amp;";",";"&amp;$E$276&amp;";")),"balanced",LEFT($E$276,FIND(";",$E$276&amp;";")-1))))</f>
        <v/>
      </c>
      <c r="O276" t="inlineStr">
        <is>
          <t>balanced</t>
        </is>
      </c>
      <c r="P276">
        <f>IF(OR($E$276="",$G$276),"KHONG_CHIEN_THUAT",IF(NOT($J$276),IF($H$276="balanced","GIU","CHE_DO_BO_QUA"),IF($N$276=$H$276,"GIU","HO_SO_GHI_DE")))</f>
        <v/>
      </c>
      <c r="Q276" t="inlineStr">
        <is>
          <t>Sim/AI/ConquestAi.P28.cs TickLayered + Sim/AI/Commander.cs AllowedTactic (mode.KingOfTheHill, venn)</t>
        </is>
      </c>
      <c r="R276" t="inlineStr"/>
    </row>
    <row r="277">
      <c r="A277" t="inlineStr">
        <is>
          <t>mode.KingOfTheHill/wolff</t>
        </is>
      </c>
      <c r="B277" t="inlineStr">
        <is>
          <t>mode.KingOfTheHill</t>
        </is>
      </c>
      <c r="C277" t="inlineStr">
        <is>
          <t>wolff</t>
        </is>
      </c>
      <c r="D277">
        <f>AI_ho_so_anh_xa!$D$24</f>
        <v/>
      </c>
      <c r="E277">
        <f>INDEX(AI_ho_so_che_do!$B$2:$B$21,MATCH($D$277,AI_ho_so_che_do!$A$2:$A$21,0))&amp;""</f>
        <v/>
      </c>
      <c r="F277">
        <f>INDEX(AI_ho_so_che_do!$P$2:$P$21,MATCH($D$277,AI_ho_so_che_do!$A$2:$A$21,0))=TRUE</f>
        <v/>
      </c>
      <c r="G277">
        <f>ISNUMBER(FIND(";noGeneralTactic;",";"&amp;INDEX(AI_ho_so_che_do!$O$2:$O$21,MATCH($D$277,AI_ho_so_che_do!$A$2:$A$21,0))&amp;";"))</f>
        <v/>
      </c>
      <c r="H277">
        <f>IF(AI_tuong!$B$13&amp;""&lt;&gt;"",AI_tuong!$B$13,IF(AI_tuong!$B$4&amp;""&lt;&gt;"",AI_tuong!$B$4,"balanced"))</f>
        <v/>
      </c>
      <c r="I277" t="inlineStr">
        <is>
          <t>air_superiority</t>
        </is>
      </c>
      <c r="J277">
        <f>OR($F$277,AND(AI_ho_so_anh_xa!$B$24="mode",OR(AI_ho_so_anh_xa!$C$24="Weekly",AI_ho_so_anh_xa!$C$24="Operation")))</f>
        <v/>
      </c>
      <c r="K277" t="b">
        <v>0</v>
      </c>
      <c r="L277">
        <f>IF($J$277,$H$277,"balanced")</f>
        <v/>
      </c>
      <c r="M277" t="inlineStr">
        <is>
          <t>balanced</t>
        </is>
      </c>
      <c r="N277">
        <f>IF(OR($E$277="",$G$277),"balanced",IF(OR($E$277="*",ISNUMBER(FIND(";"&amp;$L$277&amp;";",";"&amp;$E$277&amp;";"))),$L$277,IF(ISNUMBER(FIND(";"&amp;"balanced"&amp;";",";"&amp;$E$277&amp;";")),"balanced",LEFT($E$277,FIND(";",$E$277&amp;";")-1))))</f>
        <v/>
      </c>
      <c r="O277" t="inlineStr">
        <is>
          <t>balanced</t>
        </is>
      </c>
      <c r="P277">
        <f>IF(OR($E$277="",$G$277),"KHONG_CHIEN_THUAT",IF(NOT($J$277),IF($H$277="balanced","GIU","CHE_DO_BO_QUA"),IF($N$277=$H$277,"GIU","HO_SO_GHI_DE")))</f>
        <v/>
      </c>
      <c r="Q277" t="inlineStr">
        <is>
          <t>Sim/AI/ConquestAi.P28.cs TickLayered + Sim/AI/Commander.cs AllowedTactic (mode.KingOfTheHill, wolff)</t>
        </is>
      </c>
      <c r="R277" t="inlineStr"/>
    </row>
    <row r="278">
      <c r="A278" t="inlineStr">
        <is>
          <t>mode.Operation/aurel</t>
        </is>
      </c>
      <c r="B278" t="inlineStr">
        <is>
          <t>mode.Operation</t>
        </is>
      </c>
      <c r="C278" t="inlineStr">
        <is>
          <t>aurel</t>
        </is>
      </c>
      <c r="D278">
        <f>AI_ho_so_anh_xa!$D$25</f>
        <v/>
      </c>
      <c r="E278">
        <f>INDEX(AI_ho_so_che_do!$B$2:$B$21,MATCH($D$278,AI_ho_so_che_do!$A$2:$A$21,0))&amp;""</f>
        <v/>
      </c>
      <c r="F278">
        <f>INDEX(AI_ho_so_che_do!$P$2:$P$21,MATCH($D$278,AI_ho_so_che_do!$A$2:$A$21,0))=TRUE</f>
        <v/>
      </c>
      <c r="G278">
        <f>ISNUMBER(FIND(";noGeneralTactic;",";"&amp;INDEX(AI_ho_so_che_do!$O$2:$O$21,MATCH($D$278,AI_ho_so_che_do!$A$2:$A$21,0))&amp;";"))</f>
        <v/>
      </c>
      <c r="H278">
        <f>IF(AI_tuong!$B$2&amp;""&lt;&gt;"",AI_tuong!$B$2,IF(AI_tuong!$B$4&amp;""&lt;&gt;"",AI_tuong!$B$4,"balanced"))</f>
        <v/>
      </c>
      <c r="I278" t="inlineStr">
        <is>
          <t>all_out</t>
        </is>
      </c>
      <c r="J278">
        <f>OR($F$278,AND(AI_ho_so_anh_xa!$B$25="mode",OR(AI_ho_so_anh_xa!$C$25="Weekly",AI_ho_so_anh_xa!$C$25="Operation")))</f>
        <v/>
      </c>
      <c r="K278" t="b">
        <v>1</v>
      </c>
      <c r="L278">
        <f>IF($J$278,$H$278,"balanced")</f>
        <v/>
      </c>
      <c r="M278" t="inlineStr">
        <is>
          <t>all_out</t>
        </is>
      </c>
      <c r="N278">
        <f>IF(OR($E$278="",$G$278),"balanced",IF(OR($E$278="*",ISNUMBER(FIND(";"&amp;$L$278&amp;";",";"&amp;$E$278&amp;";"))),$L$278,IF(ISNUMBER(FIND(";"&amp;"balanced"&amp;";",";"&amp;$E$278&amp;";")),"balanced",LEFT($E$278,FIND(";",$E$278&amp;";")-1))))</f>
        <v/>
      </c>
      <c r="O278" t="inlineStr">
        <is>
          <t>all_out</t>
        </is>
      </c>
      <c r="P278">
        <f>IF(OR($E$278="",$G$278),"KHONG_CHIEN_THUAT",IF(NOT($J$278),IF($H$278="balanced","GIU","CHE_DO_BO_QUA"),IF($N$278=$H$278,"GIU","HO_SO_GHI_DE")))</f>
        <v/>
      </c>
      <c r="Q278" t="inlineStr">
        <is>
          <t>Sim/AI/ConquestAi.P28.cs TickLayered + Sim/AI/Commander.cs AllowedTactic (mode.Operation, aurel)</t>
        </is>
      </c>
      <c r="R278" t="inlineStr"/>
    </row>
    <row r="279">
      <c r="A279" t="inlineStr">
        <is>
          <t>mode.Operation/brandt</t>
        </is>
      </c>
      <c r="B279" t="inlineStr">
        <is>
          <t>mode.Operation</t>
        </is>
      </c>
      <c r="C279" t="inlineStr">
        <is>
          <t>brandt</t>
        </is>
      </c>
      <c r="D279">
        <f>AI_ho_so_anh_xa!$D$25</f>
        <v/>
      </c>
      <c r="E279">
        <f>INDEX(AI_ho_so_che_do!$B$2:$B$21,MATCH($D$279,AI_ho_so_che_do!$A$2:$A$21,0))&amp;""</f>
        <v/>
      </c>
      <c r="F279">
        <f>INDEX(AI_ho_so_che_do!$P$2:$P$21,MATCH($D$279,AI_ho_so_che_do!$A$2:$A$21,0))=TRUE</f>
        <v/>
      </c>
      <c r="G279">
        <f>ISNUMBER(FIND(";noGeneralTactic;",";"&amp;INDEX(AI_ho_so_che_do!$O$2:$O$21,MATCH($D$279,AI_ho_so_che_do!$A$2:$A$21,0))&amp;";"))</f>
        <v/>
      </c>
      <c r="H279">
        <f>IF(AI_tuong!$B$3&amp;""&lt;&gt;"",AI_tuong!$B$3,IF(AI_tuong!$B$4&amp;""&lt;&gt;"",AI_tuong!$B$4,"balanced"))</f>
        <v/>
      </c>
      <c r="I279" t="inlineStr">
        <is>
          <t>depth</t>
        </is>
      </c>
      <c r="J279">
        <f>OR($F$279,AND(AI_ho_so_anh_xa!$B$25="mode",OR(AI_ho_so_anh_xa!$C$25="Weekly",AI_ho_so_anh_xa!$C$25="Operation")))</f>
        <v/>
      </c>
      <c r="K279" t="b">
        <v>1</v>
      </c>
      <c r="L279">
        <f>IF($J$279,$H$279,"balanced")</f>
        <v/>
      </c>
      <c r="M279" t="inlineStr">
        <is>
          <t>depth</t>
        </is>
      </c>
      <c r="N279">
        <f>IF(OR($E$279="",$G$279),"balanced",IF(OR($E$279="*",ISNUMBER(FIND(";"&amp;$L$279&amp;";",";"&amp;$E$279&amp;";"))),$L$279,IF(ISNUMBER(FIND(";"&amp;"balanced"&amp;";",";"&amp;$E$279&amp;";")),"balanced",LEFT($E$279,FIND(";",$E$279&amp;";")-1))))</f>
        <v/>
      </c>
      <c r="O279" t="inlineStr">
        <is>
          <t>depth</t>
        </is>
      </c>
      <c r="P279">
        <f>IF(OR($E$279="",$G$279),"KHONG_CHIEN_THUAT",IF(NOT($J$279),IF($H$279="balanced","GIU","CHE_DO_BO_QUA"),IF($N$279=$H$279,"GIU","HO_SO_GHI_DE")))</f>
        <v/>
      </c>
      <c r="Q279" t="inlineStr">
        <is>
          <t>Sim/AI/ConquestAi.P28.cs TickLayered + Sim/AI/Commander.cs AllowedTactic (mode.Operation, brandt)</t>
        </is>
      </c>
      <c r="R279" t="inlineStr"/>
    </row>
    <row r="280">
      <c r="A280" t="inlineStr">
        <is>
          <t>mode.Operation/default</t>
        </is>
      </c>
      <c r="B280" t="inlineStr">
        <is>
          <t>mode.Operation</t>
        </is>
      </c>
      <c r="C280" t="inlineStr">
        <is>
          <t>default</t>
        </is>
      </c>
      <c r="D280">
        <f>AI_ho_so_anh_xa!$D$25</f>
        <v/>
      </c>
      <c r="E280">
        <f>INDEX(AI_ho_so_che_do!$B$2:$B$21,MATCH($D$280,AI_ho_so_che_do!$A$2:$A$21,0))&amp;""</f>
        <v/>
      </c>
      <c r="F280">
        <f>INDEX(AI_ho_so_che_do!$P$2:$P$21,MATCH($D$280,AI_ho_so_che_do!$A$2:$A$21,0))=TRUE</f>
        <v/>
      </c>
      <c r="G280">
        <f>ISNUMBER(FIND(";noGeneralTactic;",";"&amp;INDEX(AI_ho_so_che_do!$O$2:$O$21,MATCH($D$280,AI_ho_so_che_do!$A$2:$A$21,0))&amp;";"))</f>
        <v/>
      </c>
      <c r="H280">
        <f>IF(AI_tuong!$B$4&amp;""&lt;&gt;"",AI_tuong!$B$4,IF(AI_tuong!$B$4&amp;""&lt;&gt;"",AI_tuong!$B$4,"balanced"))</f>
        <v/>
      </c>
      <c r="I280" t="inlineStr">
        <is>
          <t>balanced</t>
        </is>
      </c>
      <c r="J280">
        <f>OR($F$280,AND(AI_ho_so_anh_xa!$B$25="mode",OR(AI_ho_so_anh_xa!$C$25="Weekly",AI_ho_so_anh_xa!$C$25="Operation")))</f>
        <v/>
      </c>
      <c r="K280" t="b">
        <v>1</v>
      </c>
      <c r="L280">
        <f>IF($J$280,$H$280,"balanced")</f>
        <v/>
      </c>
      <c r="M280" t="inlineStr">
        <is>
          <t>balanced</t>
        </is>
      </c>
      <c r="N280">
        <f>IF(OR($E$280="",$G$280),"balanced",IF(OR($E$280="*",ISNUMBER(FIND(";"&amp;$L$280&amp;";",";"&amp;$E$280&amp;";"))),$L$280,IF(ISNUMBER(FIND(";"&amp;"balanced"&amp;";",";"&amp;$E$280&amp;";")),"balanced",LEFT($E$280,FIND(";",$E$280&amp;";")-1))))</f>
        <v/>
      </c>
      <c r="O280" t="inlineStr">
        <is>
          <t>balanced</t>
        </is>
      </c>
      <c r="P280">
        <f>IF(OR($E$280="",$G$280),"KHONG_CHIEN_THUAT",IF(NOT($J$280),IF($H$280="balanced","GIU","CHE_DO_BO_QUA"),IF($N$280=$H$280,"GIU","HO_SO_GHI_DE")))</f>
        <v/>
      </c>
      <c r="Q280" t="inlineStr">
        <is>
          <t>Sim/AI/ConquestAi.P28.cs TickLayered + Sim/AI/Commander.cs AllowedTactic (mode.Operation, default)</t>
        </is>
      </c>
      <c r="R280" t="inlineStr"/>
    </row>
    <row r="281">
      <c r="A281" t="inlineStr">
        <is>
          <t>mode.Operation/hung</t>
        </is>
      </c>
      <c r="B281" t="inlineStr">
        <is>
          <t>mode.Operation</t>
        </is>
      </c>
      <c r="C281" t="inlineStr">
        <is>
          <t>hung</t>
        </is>
      </c>
      <c r="D281">
        <f>AI_ho_so_anh_xa!$D$25</f>
        <v/>
      </c>
      <c r="E281">
        <f>INDEX(AI_ho_so_che_do!$B$2:$B$21,MATCH($D$281,AI_ho_so_che_do!$A$2:$A$21,0))&amp;""</f>
        <v/>
      </c>
      <c r="F281">
        <f>INDEX(AI_ho_so_che_do!$P$2:$P$21,MATCH($D$281,AI_ho_so_che_do!$A$2:$A$21,0))=TRUE</f>
        <v/>
      </c>
      <c r="G281">
        <f>ISNUMBER(FIND(";noGeneralTactic;",";"&amp;INDEX(AI_ho_so_che_do!$O$2:$O$21,MATCH($D$281,AI_ho_so_che_do!$A$2:$A$21,0))&amp;";"))</f>
        <v/>
      </c>
      <c r="H281">
        <f>IF(AI_tuong!$B$5&amp;""&lt;&gt;"",AI_tuong!$B$5,IF(AI_tuong!$B$4&amp;""&lt;&gt;"",AI_tuong!$B$4,"balanced"))</f>
        <v/>
      </c>
      <c r="I281" t="inlineStr">
        <is>
          <t>balanced</t>
        </is>
      </c>
      <c r="J281">
        <f>OR($F$281,AND(AI_ho_so_anh_xa!$B$25="mode",OR(AI_ho_so_anh_xa!$C$25="Weekly",AI_ho_so_anh_xa!$C$25="Operation")))</f>
        <v/>
      </c>
      <c r="K281" t="b">
        <v>1</v>
      </c>
      <c r="L281">
        <f>IF($J$281,$H$281,"balanced")</f>
        <v/>
      </c>
      <c r="M281" t="inlineStr">
        <is>
          <t>balanced</t>
        </is>
      </c>
      <c r="N281">
        <f>IF(OR($E$281="",$G$281),"balanced",IF(OR($E$281="*",ISNUMBER(FIND(";"&amp;$L$281&amp;";",";"&amp;$E$281&amp;";"))),$L$281,IF(ISNUMBER(FIND(";"&amp;"balanced"&amp;";",";"&amp;$E$281&amp;";")),"balanced",LEFT($E$281,FIND(";",$E$281&amp;";")-1))))</f>
        <v/>
      </c>
      <c r="O281" t="inlineStr">
        <is>
          <t>balanced</t>
        </is>
      </c>
      <c r="P281">
        <f>IF(OR($E$281="",$G$281),"KHONG_CHIEN_THUAT",IF(NOT($J$281),IF($H$281="balanced","GIU","CHE_DO_BO_QUA"),IF($N$281=$H$281,"GIU","HO_SO_GHI_DE")))</f>
        <v/>
      </c>
      <c r="Q281" t="inlineStr">
        <is>
          <t>Sim/AI/ConquestAi.P28.cs TickLayered + Sim/AI/Commander.cs AllowedTactic (mode.Operation, hung)</t>
        </is>
      </c>
      <c r="R281" t="inlineStr"/>
    </row>
    <row r="282">
      <c r="A282" t="inlineStr">
        <is>
          <t>mode.Operation/kessler</t>
        </is>
      </c>
      <c r="B282" t="inlineStr">
        <is>
          <t>mode.Operation</t>
        </is>
      </c>
      <c r="C282" t="inlineStr">
        <is>
          <t>kessler</t>
        </is>
      </c>
      <c r="D282">
        <f>AI_ho_so_anh_xa!$D$25</f>
        <v/>
      </c>
      <c r="E282">
        <f>INDEX(AI_ho_so_che_do!$B$2:$B$21,MATCH($D$282,AI_ho_so_che_do!$A$2:$A$21,0))&amp;""</f>
        <v/>
      </c>
      <c r="F282">
        <f>INDEX(AI_ho_so_che_do!$P$2:$P$21,MATCH($D$282,AI_ho_so_che_do!$A$2:$A$21,0))=TRUE</f>
        <v/>
      </c>
      <c r="G282">
        <f>ISNUMBER(FIND(";noGeneralTactic;",";"&amp;INDEX(AI_ho_so_che_do!$O$2:$O$21,MATCH($D$282,AI_ho_so_che_do!$A$2:$A$21,0))&amp;";"))</f>
        <v/>
      </c>
      <c r="H282">
        <f>IF(AI_tuong!$B$6&amp;""&lt;&gt;"",AI_tuong!$B$6,IF(AI_tuong!$B$4&amp;""&lt;&gt;"",AI_tuong!$B$4,"balanced"))</f>
        <v/>
      </c>
      <c r="I282" t="inlineStr">
        <is>
          <t>attrition</t>
        </is>
      </c>
      <c r="J282">
        <f>OR($F$282,AND(AI_ho_so_anh_xa!$B$25="mode",OR(AI_ho_so_anh_xa!$C$25="Weekly",AI_ho_so_anh_xa!$C$25="Operation")))</f>
        <v/>
      </c>
      <c r="K282" t="b">
        <v>1</v>
      </c>
      <c r="L282">
        <f>IF($J$282,$H$282,"balanced")</f>
        <v/>
      </c>
      <c r="M282" t="inlineStr">
        <is>
          <t>attrition</t>
        </is>
      </c>
      <c r="N282">
        <f>IF(OR($E$282="",$G$282),"balanced",IF(OR($E$282="*",ISNUMBER(FIND(";"&amp;$L$282&amp;";",";"&amp;$E$282&amp;";"))),$L$282,IF(ISNUMBER(FIND(";"&amp;"balanced"&amp;";",";"&amp;$E$282&amp;";")),"balanced",LEFT($E$282,FIND(";",$E$282&amp;";")-1))))</f>
        <v/>
      </c>
      <c r="O282" t="inlineStr">
        <is>
          <t>attrition</t>
        </is>
      </c>
      <c r="P282">
        <f>IF(OR($E$282="",$G$282),"KHONG_CHIEN_THUAT",IF(NOT($J$282),IF($H$282="balanced","GIU","CHE_DO_BO_QUA"),IF($N$282=$H$282,"GIU","HO_SO_GHI_DE")))</f>
        <v/>
      </c>
      <c r="Q282" t="inlineStr">
        <is>
          <t>Sim/AI/ConquestAi.P28.cs TickLayered + Sim/AI/Commander.cs AllowedTactic (mode.Operation, kessler)</t>
        </is>
      </c>
      <c r="R282" t="inlineStr"/>
    </row>
    <row r="283">
      <c r="A283" t="inlineStr">
        <is>
          <t>mode.Operation/orlov</t>
        </is>
      </c>
      <c r="B283" t="inlineStr">
        <is>
          <t>mode.Operation</t>
        </is>
      </c>
      <c r="C283" t="inlineStr">
        <is>
          <t>orlov</t>
        </is>
      </c>
      <c r="D283">
        <f>AI_ho_so_anh_xa!$D$25</f>
        <v/>
      </c>
      <c r="E283">
        <f>INDEX(AI_ho_so_che_do!$B$2:$B$21,MATCH($D$283,AI_ho_so_che_do!$A$2:$A$21,0))&amp;""</f>
        <v/>
      </c>
      <c r="F283">
        <f>INDEX(AI_ho_so_che_do!$P$2:$P$21,MATCH($D$283,AI_ho_so_che_do!$A$2:$A$21,0))=TRUE</f>
        <v/>
      </c>
      <c r="G283">
        <f>ISNUMBER(FIND(";noGeneralTactic;",";"&amp;INDEX(AI_ho_so_che_do!$O$2:$O$21,MATCH($D$283,AI_ho_so_che_do!$A$2:$A$21,0))&amp;";"))</f>
        <v/>
      </c>
      <c r="H283">
        <f>IF(AI_tuong!$B$7&amp;""&lt;&gt;"",AI_tuong!$B$7,IF(AI_tuong!$B$4&amp;""&lt;&gt;"",AI_tuong!$B$4,"balanced"))</f>
        <v/>
      </c>
      <c r="I283" t="inlineStr">
        <is>
          <t>firepower</t>
        </is>
      </c>
      <c r="J283">
        <f>OR($F$283,AND(AI_ho_so_anh_xa!$B$25="mode",OR(AI_ho_so_anh_xa!$C$25="Weekly",AI_ho_so_anh_xa!$C$25="Operation")))</f>
        <v/>
      </c>
      <c r="K283" t="b">
        <v>1</v>
      </c>
      <c r="L283">
        <f>IF($J$283,$H$283,"balanced")</f>
        <v/>
      </c>
      <c r="M283" t="inlineStr">
        <is>
          <t>firepower</t>
        </is>
      </c>
      <c r="N283">
        <f>IF(OR($E$283="",$G$283),"balanced",IF(OR($E$283="*",ISNUMBER(FIND(";"&amp;$L$283&amp;";",";"&amp;$E$283&amp;";"))),$L$283,IF(ISNUMBER(FIND(";"&amp;"balanced"&amp;";",";"&amp;$E$283&amp;";")),"balanced",LEFT($E$283,FIND(";",$E$283&amp;";")-1))))</f>
        <v/>
      </c>
      <c r="O283" t="inlineStr">
        <is>
          <t>firepower</t>
        </is>
      </c>
      <c r="P283">
        <f>IF(OR($E$283="",$G$283),"KHONG_CHIEN_THUAT",IF(NOT($J$283),IF($H$283="balanced","GIU","CHE_DO_BO_QUA"),IF($N$283=$H$283,"GIU","HO_SO_GHI_DE")))</f>
        <v/>
      </c>
      <c r="Q283" t="inlineStr">
        <is>
          <t>Sim/AI/ConquestAi.P28.cs TickLayered + Sim/AI/Commander.cs AllowedTactic (mode.Operation, orlov)</t>
        </is>
      </c>
      <c r="R283" t="inlineStr"/>
    </row>
    <row r="284">
      <c r="A284" t="inlineStr">
        <is>
          <t>mode.Operation/quaden</t>
        </is>
      </c>
      <c r="B284" t="inlineStr">
        <is>
          <t>mode.Operation</t>
        </is>
      </c>
      <c r="C284" t="inlineStr">
        <is>
          <t>quaden</t>
        </is>
      </c>
      <c r="D284">
        <f>AI_ho_so_anh_xa!$D$25</f>
        <v/>
      </c>
      <c r="E284">
        <f>INDEX(AI_ho_so_che_do!$B$2:$B$21,MATCH($D$284,AI_ho_so_che_do!$A$2:$A$21,0))&amp;""</f>
        <v/>
      </c>
      <c r="F284">
        <f>INDEX(AI_ho_so_che_do!$P$2:$P$21,MATCH($D$284,AI_ho_so_che_do!$A$2:$A$21,0))=TRUE</f>
        <v/>
      </c>
      <c r="G284">
        <f>ISNUMBER(FIND(";noGeneralTactic;",";"&amp;INDEX(AI_ho_so_che_do!$O$2:$O$21,MATCH($D$284,AI_ho_so_che_do!$A$2:$A$21,0))&amp;";"))</f>
        <v/>
      </c>
      <c r="H284">
        <f>IF(AI_tuong!$B$8&amp;""&lt;&gt;"",AI_tuong!$B$8,IF(AI_tuong!$B$4&amp;""&lt;&gt;"",AI_tuong!$B$4,"balanced"))</f>
        <v/>
      </c>
      <c r="I284" t="inlineStr">
        <is>
          <t>balanced</t>
        </is>
      </c>
      <c r="J284">
        <f>OR($F$284,AND(AI_ho_so_anh_xa!$B$25="mode",OR(AI_ho_so_anh_xa!$C$25="Weekly",AI_ho_so_anh_xa!$C$25="Operation")))</f>
        <v/>
      </c>
      <c r="K284" t="b">
        <v>1</v>
      </c>
      <c r="L284">
        <f>IF($J$284,$H$284,"balanced")</f>
        <v/>
      </c>
      <c r="M284" t="inlineStr">
        <is>
          <t>balanced</t>
        </is>
      </c>
      <c r="N284">
        <f>IF(OR($E$284="",$G$284),"balanced",IF(OR($E$284="*",ISNUMBER(FIND(";"&amp;$L$284&amp;";",";"&amp;$E$284&amp;";"))),$L$284,IF(ISNUMBER(FIND(";"&amp;"balanced"&amp;";",";"&amp;$E$284&amp;";")),"balanced",LEFT($E$284,FIND(";",$E$284&amp;";")-1))))</f>
        <v/>
      </c>
      <c r="O284" t="inlineStr">
        <is>
          <t>balanced</t>
        </is>
      </c>
      <c r="P284">
        <f>IF(OR($E$284="",$G$284),"KHONG_CHIEN_THUAT",IF(NOT($J$284),IF($H$284="balanced","GIU","CHE_DO_BO_QUA"),IF($N$284=$H$284,"GIU","HO_SO_GHI_DE")))</f>
        <v/>
      </c>
      <c r="Q284" t="inlineStr">
        <is>
          <t>Sim/AI/ConquestAi.P28.cs TickLayered + Sim/AI/Commander.cs AllowedTactic (mode.Operation, quaden)</t>
        </is>
      </c>
      <c r="R284" t="inlineStr"/>
    </row>
    <row r="285">
      <c r="A285" t="inlineStr">
        <is>
          <t>mode.Operation/sen</t>
        </is>
      </c>
      <c r="B285" t="inlineStr">
        <is>
          <t>mode.Operation</t>
        </is>
      </c>
      <c r="C285" t="inlineStr">
        <is>
          <t>sen</t>
        </is>
      </c>
      <c r="D285">
        <f>AI_ho_so_anh_xa!$D$25</f>
        <v/>
      </c>
      <c r="E285">
        <f>INDEX(AI_ho_so_che_do!$B$2:$B$21,MATCH($D$285,AI_ho_so_che_do!$A$2:$A$21,0))&amp;""</f>
        <v/>
      </c>
      <c r="F285">
        <f>INDEX(AI_ho_so_che_do!$P$2:$P$21,MATCH($D$285,AI_ho_so_che_do!$A$2:$A$21,0))=TRUE</f>
        <v/>
      </c>
      <c r="G285">
        <f>ISNUMBER(FIND(";noGeneralTactic;",";"&amp;INDEX(AI_ho_so_che_do!$O$2:$O$21,MATCH($D$285,AI_ho_so_che_do!$A$2:$A$21,0))&amp;";"))</f>
        <v/>
      </c>
      <c r="H285">
        <f>IF(AI_tuong!$B$9&amp;""&lt;&gt;"",AI_tuong!$B$9,IF(AI_tuong!$B$4&amp;""&lt;&gt;"",AI_tuong!$B$4,"balanced"))</f>
        <v/>
      </c>
      <c r="I285" t="inlineStr">
        <is>
          <t>balanced</t>
        </is>
      </c>
      <c r="J285">
        <f>OR($F$285,AND(AI_ho_so_anh_xa!$B$25="mode",OR(AI_ho_so_anh_xa!$C$25="Weekly",AI_ho_so_anh_xa!$C$25="Operation")))</f>
        <v/>
      </c>
      <c r="K285" t="b">
        <v>1</v>
      </c>
      <c r="L285">
        <f>IF($J$285,$H$285,"balanced")</f>
        <v/>
      </c>
      <c r="M285" t="inlineStr">
        <is>
          <t>balanced</t>
        </is>
      </c>
      <c r="N285">
        <f>IF(OR($E$285="",$G$285),"balanced",IF(OR($E$285="*",ISNUMBER(FIND(";"&amp;$L$285&amp;";",";"&amp;$E$285&amp;";"))),$L$285,IF(ISNUMBER(FIND(";"&amp;"balanced"&amp;";",";"&amp;$E$285&amp;";")),"balanced",LEFT($E$285,FIND(";",$E$285&amp;";")-1))))</f>
        <v/>
      </c>
      <c r="O285" t="inlineStr">
        <is>
          <t>balanced</t>
        </is>
      </c>
      <c r="P285">
        <f>IF(OR($E$285="",$G$285),"KHONG_CHIEN_THUAT",IF(NOT($J$285),IF($H$285="balanced","GIU","CHE_DO_BO_QUA"),IF($N$285=$H$285,"GIU","HO_SO_GHI_DE")))</f>
        <v/>
      </c>
      <c r="Q285" t="inlineStr">
        <is>
          <t>Sim/AI/ConquestAi.P28.cs TickLayered + Sim/AI/Commander.cs AllowedTactic (mode.Operation, sen)</t>
        </is>
      </c>
      <c r="R285" t="inlineStr"/>
    </row>
    <row r="286">
      <c r="A286" t="inlineStr">
        <is>
          <t>mode.Operation/thorne</t>
        </is>
      </c>
      <c r="B286" t="inlineStr">
        <is>
          <t>mode.Operation</t>
        </is>
      </c>
      <c r="C286" t="inlineStr">
        <is>
          <t>thorne</t>
        </is>
      </c>
      <c r="D286">
        <f>AI_ho_so_anh_xa!$D$25</f>
        <v/>
      </c>
      <c r="E286">
        <f>INDEX(AI_ho_so_che_do!$B$2:$B$21,MATCH($D$286,AI_ho_so_che_do!$A$2:$A$21,0))&amp;""</f>
        <v/>
      </c>
      <c r="F286">
        <f>INDEX(AI_ho_so_che_do!$P$2:$P$21,MATCH($D$286,AI_ho_so_che_do!$A$2:$A$21,0))=TRUE</f>
        <v/>
      </c>
      <c r="G286">
        <f>ISNUMBER(FIND(";noGeneralTactic;",";"&amp;INDEX(AI_ho_so_che_do!$O$2:$O$21,MATCH($D$286,AI_ho_so_che_do!$A$2:$A$21,0))&amp;";"))</f>
        <v/>
      </c>
      <c r="H286">
        <f>IF(AI_tuong!$B$10&amp;""&lt;&gt;"",AI_tuong!$B$10,IF(AI_tuong!$B$4&amp;""&lt;&gt;"",AI_tuong!$B$4,"balanced"))</f>
        <v/>
      </c>
      <c r="I286" t="inlineStr">
        <is>
          <t>balanced</t>
        </is>
      </c>
      <c r="J286">
        <f>OR($F$286,AND(AI_ho_so_anh_xa!$B$25="mode",OR(AI_ho_so_anh_xa!$C$25="Weekly",AI_ho_so_anh_xa!$C$25="Operation")))</f>
        <v/>
      </c>
      <c r="K286" t="b">
        <v>1</v>
      </c>
      <c r="L286">
        <f>IF($J$286,$H$286,"balanced")</f>
        <v/>
      </c>
      <c r="M286" t="inlineStr">
        <is>
          <t>balanced</t>
        </is>
      </c>
      <c r="N286">
        <f>IF(OR($E$286="",$G$286),"balanced",IF(OR($E$286="*",ISNUMBER(FIND(";"&amp;$L$286&amp;";",";"&amp;$E$286&amp;";"))),$L$286,IF(ISNUMBER(FIND(";"&amp;"balanced"&amp;";",";"&amp;$E$286&amp;";")),"balanced",LEFT($E$286,FIND(";",$E$286&amp;";")-1))))</f>
        <v/>
      </c>
      <c r="O286" t="inlineStr">
        <is>
          <t>balanced</t>
        </is>
      </c>
      <c r="P286">
        <f>IF(OR($E$286="",$G$286),"KHONG_CHIEN_THUAT",IF(NOT($J$286),IF($H$286="balanced","GIU","CHE_DO_BO_QUA"),IF($N$286=$H$286,"GIU","HO_SO_GHI_DE")))</f>
        <v/>
      </c>
      <c r="Q286" t="inlineStr">
        <is>
          <t>Sim/AI/ConquestAi.P28.cs TickLayered + Sim/AI/Commander.cs AllowedTactic (mode.Operation, thorne)</t>
        </is>
      </c>
      <c r="R286" t="inlineStr"/>
    </row>
    <row r="287">
      <c r="A287" t="inlineStr">
        <is>
          <t>mode.Operation/varga</t>
        </is>
      </c>
      <c r="B287" t="inlineStr">
        <is>
          <t>mode.Operation</t>
        </is>
      </c>
      <c r="C287" t="inlineStr">
        <is>
          <t>varga</t>
        </is>
      </c>
      <c r="D287">
        <f>AI_ho_so_anh_xa!$D$25</f>
        <v/>
      </c>
      <c r="E287">
        <f>INDEX(AI_ho_so_che_do!$B$2:$B$21,MATCH($D$287,AI_ho_so_che_do!$A$2:$A$21,0))&amp;""</f>
        <v/>
      </c>
      <c r="F287">
        <f>INDEX(AI_ho_so_che_do!$P$2:$P$21,MATCH($D$287,AI_ho_so_che_do!$A$2:$A$21,0))=TRUE</f>
        <v/>
      </c>
      <c r="G287">
        <f>ISNUMBER(FIND(";noGeneralTactic;",";"&amp;INDEX(AI_ho_so_che_do!$O$2:$O$21,MATCH($D$287,AI_ho_so_che_do!$A$2:$A$21,0))&amp;";"))</f>
        <v/>
      </c>
      <c r="H287">
        <f>IF(AI_tuong!$B$11&amp;""&lt;&gt;"",AI_tuong!$B$11,IF(AI_tuong!$B$4&amp;""&lt;&gt;"",AI_tuong!$B$4,"balanced"))</f>
        <v/>
      </c>
      <c r="I287" t="inlineStr">
        <is>
          <t>breakthrough</t>
        </is>
      </c>
      <c r="J287">
        <f>OR($F$287,AND(AI_ho_so_anh_xa!$B$25="mode",OR(AI_ho_so_anh_xa!$C$25="Weekly",AI_ho_so_anh_xa!$C$25="Operation")))</f>
        <v/>
      </c>
      <c r="K287" t="b">
        <v>1</v>
      </c>
      <c r="L287">
        <f>IF($J$287,$H$287,"balanced")</f>
        <v/>
      </c>
      <c r="M287" t="inlineStr">
        <is>
          <t>breakthrough</t>
        </is>
      </c>
      <c r="N287">
        <f>IF(OR($E$287="",$G$287),"balanced",IF(OR($E$287="*",ISNUMBER(FIND(";"&amp;$L$287&amp;";",";"&amp;$E$287&amp;";"))),$L$287,IF(ISNUMBER(FIND(";"&amp;"balanced"&amp;";",";"&amp;$E$287&amp;";")),"balanced",LEFT($E$287,FIND(";",$E$287&amp;";")-1))))</f>
        <v/>
      </c>
      <c r="O287" t="inlineStr">
        <is>
          <t>breakthrough</t>
        </is>
      </c>
      <c r="P287">
        <f>IF(OR($E$287="",$G$287),"KHONG_CHIEN_THUAT",IF(NOT($J$287),IF($H$287="balanced","GIU","CHE_DO_BO_QUA"),IF($N$287=$H$287,"GIU","HO_SO_GHI_DE")))</f>
        <v/>
      </c>
      <c r="Q287" t="inlineStr">
        <is>
          <t>Sim/AI/ConquestAi.P28.cs TickLayered + Sim/AI/Commander.cs AllowedTactic (mode.Operation, varga)</t>
        </is>
      </c>
      <c r="R287" t="inlineStr"/>
    </row>
    <row r="288">
      <c r="A288" t="inlineStr">
        <is>
          <t>mode.Operation/venn</t>
        </is>
      </c>
      <c r="B288" t="inlineStr">
        <is>
          <t>mode.Operation</t>
        </is>
      </c>
      <c r="C288" t="inlineStr">
        <is>
          <t>venn</t>
        </is>
      </c>
      <c r="D288">
        <f>AI_ho_so_anh_xa!$D$25</f>
        <v/>
      </c>
      <c r="E288">
        <f>INDEX(AI_ho_so_che_do!$B$2:$B$21,MATCH($D$288,AI_ho_so_che_do!$A$2:$A$21,0))&amp;""</f>
        <v/>
      </c>
      <c r="F288">
        <f>INDEX(AI_ho_so_che_do!$P$2:$P$21,MATCH($D$288,AI_ho_so_che_do!$A$2:$A$21,0))=TRUE</f>
        <v/>
      </c>
      <c r="G288">
        <f>ISNUMBER(FIND(";noGeneralTactic;",";"&amp;INDEX(AI_ho_so_che_do!$O$2:$O$21,MATCH($D$288,AI_ho_so_che_do!$A$2:$A$21,0))&amp;";"))</f>
        <v/>
      </c>
      <c r="H288">
        <f>IF(AI_tuong!$B$12&amp;""&lt;&gt;"",AI_tuong!$B$12,IF(AI_tuong!$B$4&amp;""&lt;&gt;"",AI_tuong!$B$4,"balanced"))</f>
        <v/>
      </c>
      <c r="I288" t="inlineStr">
        <is>
          <t>dispersal</t>
        </is>
      </c>
      <c r="J288">
        <f>OR($F$288,AND(AI_ho_so_anh_xa!$B$25="mode",OR(AI_ho_so_anh_xa!$C$25="Weekly",AI_ho_so_anh_xa!$C$25="Operation")))</f>
        <v/>
      </c>
      <c r="K288" t="b">
        <v>1</v>
      </c>
      <c r="L288">
        <f>IF($J$288,$H$288,"balanced")</f>
        <v/>
      </c>
      <c r="M288" t="inlineStr">
        <is>
          <t>dispersal</t>
        </is>
      </c>
      <c r="N288">
        <f>IF(OR($E$288="",$G$288),"balanced",IF(OR($E$288="*",ISNUMBER(FIND(";"&amp;$L$288&amp;";",";"&amp;$E$288&amp;";"))),$L$288,IF(ISNUMBER(FIND(";"&amp;"balanced"&amp;";",";"&amp;$E$288&amp;";")),"balanced",LEFT($E$288,FIND(";",$E$288&amp;";")-1))))</f>
        <v/>
      </c>
      <c r="O288" t="inlineStr">
        <is>
          <t>dispersal</t>
        </is>
      </c>
      <c r="P288">
        <f>IF(OR($E$288="",$G$288),"KHONG_CHIEN_THUAT",IF(NOT($J$288),IF($H$288="balanced","GIU","CHE_DO_BO_QUA"),IF($N$288=$H$288,"GIU","HO_SO_GHI_DE")))</f>
        <v/>
      </c>
      <c r="Q288" t="inlineStr">
        <is>
          <t>Sim/AI/ConquestAi.P28.cs TickLayered + Sim/AI/Commander.cs AllowedTactic (mode.Operation, venn)</t>
        </is>
      </c>
      <c r="R288" t="inlineStr"/>
    </row>
    <row r="289">
      <c r="A289" t="inlineStr">
        <is>
          <t>mode.Operation/wolff</t>
        </is>
      </c>
      <c r="B289" t="inlineStr">
        <is>
          <t>mode.Operation</t>
        </is>
      </c>
      <c r="C289" t="inlineStr">
        <is>
          <t>wolff</t>
        </is>
      </c>
      <c r="D289">
        <f>AI_ho_so_anh_xa!$D$25</f>
        <v/>
      </c>
      <c r="E289">
        <f>INDEX(AI_ho_so_che_do!$B$2:$B$21,MATCH($D$289,AI_ho_so_che_do!$A$2:$A$21,0))&amp;""</f>
        <v/>
      </c>
      <c r="F289">
        <f>INDEX(AI_ho_so_che_do!$P$2:$P$21,MATCH($D$289,AI_ho_so_che_do!$A$2:$A$21,0))=TRUE</f>
        <v/>
      </c>
      <c r="G289">
        <f>ISNUMBER(FIND(";noGeneralTactic;",";"&amp;INDEX(AI_ho_so_che_do!$O$2:$O$21,MATCH($D$289,AI_ho_so_che_do!$A$2:$A$21,0))&amp;";"))</f>
        <v/>
      </c>
      <c r="H289">
        <f>IF(AI_tuong!$B$13&amp;""&lt;&gt;"",AI_tuong!$B$13,IF(AI_tuong!$B$4&amp;""&lt;&gt;"",AI_tuong!$B$4,"balanced"))</f>
        <v/>
      </c>
      <c r="I289" t="inlineStr">
        <is>
          <t>air_superiority</t>
        </is>
      </c>
      <c r="J289">
        <f>OR($F$289,AND(AI_ho_so_anh_xa!$B$25="mode",OR(AI_ho_so_anh_xa!$C$25="Weekly",AI_ho_so_anh_xa!$C$25="Operation")))</f>
        <v/>
      </c>
      <c r="K289" t="b">
        <v>1</v>
      </c>
      <c r="L289">
        <f>IF($J$289,$H$289,"balanced")</f>
        <v/>
      </c>
      <c r="M289" t="inlineStr">
        <is>
          <t>air_superiority</t>
        </is>
      </c>
      <c r="N289">
        <f>IF(OR($E$289="",$G$289),"balanced",IF(OR($E$289="*",ISNUMBER(FIND(";"&amp;$L$289&amp;";",";"&amp;$E$289&amp;";"))),$L$289,IF(ISNUMBER(FIND(";"&amp;"balanced"&amp;";",";"&amp;$E$289&amp;";")),"balanced",LEFT($E$289,FIND(";",$E$289&amp;";")-1))))</f>
        <v/>
      </c>
      <c r="O289" t="inlineStr">
        <is>
          <t>air_superiority</t>
        </is>
      </c>
      <c r="P289">
        <f>IF(OR($E$289="",$G$289),"KHONG_CHIEN_THUAT",IF(NOT($J$289),IF($H$289="balanced","GIU","CHE_DO_BO_QUA"),IF($N$289=$H$289,"GIU","HO_SO_GHI_DE")))</f>
        <v/>
      </c>
      <c r="Q289" t="inlineStr">
        <is>
          <t>Sim/AI/ConquestAi.P28.cs TickLayered + Sim/AI/Commander.cs AllowedTactic (mode.Operation, wolff)</t>
        </is>
      </c>
      <c r="R289" t="inlineStr"/>
    </row>
    <row r="290">
      <c r="A290" t="inlineStr">
        <is>
          <t>mode.Sandbox/aurel</t>
        </is>
      </c>
      <c r="B290" t="inlineStr">
        <is>
          <t>mode.Sandbox</t>
        </is>
      </c>
      <c r="C290" t="inlineStr">
        <is>
          <t>aurel</t>
        </is>
      </c>
      <c r="D290">
        <f>AI_ho_so_anh_xa!$D$26</f>
        <v/>
      </c>
      <c r="E290">
        <f>INDEX(AI_ho_so_che_do!$B$2:$B$21,MATCH($D$290,AI_ho_so_che_do!$A$2:$A$21,0))&amp;""</f>
        <v/>
      </c>
      <c r="F290">
        <f>INDEX(AI_ho_so_che_do!$P$2:$P$21,MATCH($D$290,AI_ho_so_che_do!$A$2:$A$21,0))=TRUE</f>
        <v/>
      </c>
      <c r="G290">
        <f>ISNUMBER(FIND(";noGeneralTactic;",";"&amp;INDEX(AI_ho_so_che_do!$O$2:$O$21,MATCH($D$290,AI_ho_so_che_do!$A$2:$A$21,0))&amp;";"))</f>
        <v/>
      </c>
      <c r="H290">
        <f>IF(AI_tuong!$B$2&amp;""&lt;&gt;"",AI_tuong!$B$2,IF(AI_tuong!$B$4&amp;""&lt;&gt;"",AI_tuong!$B$4,"balanced"))</f>
        <v/>
      </c>
      <c r="I290" t="inlineStr">
        <is>
          <t>all_out</t>
        </is>
      </c>
      <c r="J290">
        <f>OR($F$290,AND(AI_ho_so_anh_xa!$B$26="mode",OR(AI_ho_so_anh_xa!$C$26="Weekly",AI_ho_so_anh_xa!$C$26="Operation")))</f>
        <v/>
      </c>
      <c r="K290" t="b">
        <v>0</v>
      </c>
      <c r="L290">
        <f>IF($J$290,$H$290,"balanced")</f>
        <v/>
      </c>
      <c r="M290" t="inlineStr">
        <is>
          <t>balanced</t>
        </is>
      </c>
      <c r="N290">
        <f>IF(OR($E$290="",$G$290),"balanced",IF(OR($E$290="*",ISNUMBER(FIND(";"&amp;$L$290&amp;";",";"&amp;$E$290&amp;";"))),$L$290,IF(ISNUMBER(FIND(";"&amp;"balanced"&amp;";",";"&amp;$E$290&amp;";")),"balanced",LEFT($E$290,FIND(";",$E$290&amp;";")-1))))</f>
        <v/>
      </c>
      <c r="O290" t="inlineStr">
        <is>
          <t>balanced</t>
        </is>
      </c>
      <c r="P290">
        <f>IF(OR($E$290="",$G$290),"KHONG_CHIEN_THUAT",IF(NOT($J$290),IF($H$290="balanced","GIU","CHE_DO_BO_QUA"),IF($N$290=$H$290,"GIU","HO_SO_GHI_DE")))</f>
        <v/>
      </c>
      <c r="Q290" t="inlineStr">
        <is>
          <t>Sim/AI/ConquestAi.P28.cs TickLayered + Sim/AI/Commander.cs AllowedTactic (mode.Sandbox, aurel)</t>
        </is>
      </c>
      <c r="R290" t="inlineStr"/>
    </row>
    <row r="291">
      <c r="A291" t="inlineStr">
        <is>
          <t>mode.Sandbox/brandt</t>
        </is>
      </c>
      <c r="B291" t="inlineStr">
        <is>
          <t>mode.Sandbox</t>
        </is>
      </c>
      <c r="C291" t="inlineStr">
        <is>
          <t>brandt</t>
        </is>
      </c>
      <c r="D291">
        <f>AI_ho_so_anh_xa!$D$26</f>
        <v/>
      </c>
      <c r="E291">
        <f>INDEX(AI_ho_so_che_do!$B$2:$B$21,MATCH($D$291,AI_ho_so_che_do!$A$2:$A$21,0))&amp;""</f>
        <v/>
      </c>
      <c r="F291">
        <f>INDEX(AI_ho_so_che_do!$P$2:$P$21,MATCH($D$291,AI_ho_so_che_do!$A$2:$A$21,0))=TRUE</f>
        <v/>
      </c>
      <c r="G291">
        <f>ISNUMBER(FIND(";noGeneralTactic;",";"&amp;INDEX(AI_ho_so_che_do!$O$2:$O$21,MATCH($D$291,AI_ho_so_che_do!$A$2:$A$21,0))&amp;";"))</f>
        <v/>
      </c>
      <c r="H291">
        <f>IF(AI_tuong!$B$3&amp;""&lt;&gt;"",AI_tuong!$B$3,IF(AI_tuong!$B$4&amp;""&lt;&gt;"",AI_tuong!$B$4,"balanced"))</f>
        <v/>
      </c>
      <c r="I291" t="inlineStr">
        <is>
          <t>depth</t>
        </is>
      </c>
      <c r="J291">
        <f>OR($F$291,AND(AI_ho_so_anh_xa!$B$26="mode",OR(AI_ho_so_anh_xa!$C$26="Weekly",AI_ho_so_anh_xa!$C$26="Operation")))</f>
        <v/>
      </c>
      <c r="K291" t="b">
        <v>0</v>
      </c>
      <c r="L291">
        <f>IF($J$291,$H$291,"balanced")</f>
        <v/>
      </c>
      <c r="M291" t="inlineStr">
        <is>
          <t>balanced</t>
        </is>
      </c>
      <c r="N291">
        <f>IF(OR($E$291="",$G$291),"balanced",IF(OR($E$291="*",ISNUMBER(FIND(";"&amp;$L$291&amp;";",";"&amp;$E$291&amp;";"))),$L$291,IF(ISNUMBER(FIND(";"&amp;"balanced"&amp;";",";"&amp;$E$291&amp;";")),"balanced",LEFT($E$291,FIND(";",$E$291&amp;";")-1))))</f>
        <v/>
      </c>
      <c r="O291" t="inlineStr">
        <is>
          <t>balanced</t>
        </is>
      </c>
      <c r="P291">
        <f>IF(OR($E$291="",$G$291),"KHONG_CHIEN_THUAT",IF(NOT($J$291),IF($H$291="balanced","GIU","CHE_DO_BO_QUA"),IF($N$291=$H$291,"GIU","HO_SO_GHI_DE")))</f>
        <v/>
      </c>
      <c r="Q291" t="inlineStr">
        <is>
          <t>Sim/AI/ConquestAi.P28.cs TickLayered + Sim/AI/Commander.cs AllowedTactic (mode.Sandbox, brandt)</t>
        </is>
      </c>
      <c r="R291" t="inlineStr"/>
    </row>
    <row r="292">
      <c r="A292" t="inlineStr">
        <is>
          <t>mode.Sandbox/default</t>
        </is>
      </c>
      <c r="B292" t="inlineStr">
        <is>
          <t>mode.Sandbox</t>
        </is>
      </c>
      <c r="C292" t="inlineStr">
        <is>
          <t>default</t>
        </is>
      </c>
      <c r="D292">
        <f>AI_ho_so_anh_xa!$D$26</f>
        <v/>
      </c>
      <c r="E292">
        <f>INDEX(AI_ho_so_che_do!$B$2:$B$21,MATCH($D$292,AI_ho_so_che_do!$A$2:$A$21,0))&amp;""</f>
        <v/>
      </c>
      <c r="F292">
        <f>INDEX(AI_ho_so_che_do!$P$2:$P$21,MATCH($D$292,AI_ho_so_che_do!$A$2:$A$21,0))=TRUE</f>
        <v/>
      </c>
      <c r="G292">
        <f>ISNUMBER(FIND(";noGeneralTactic;",";"&amp;INDEX(AI_ho_so_che_do!$O$2:$O$21,MATCH($D$292,AI_ho_so_che_do!$A$2:$A$21,0))&amp;";"))</f>
        <v/>
      </c>
      <c r="H292">
        <f>IF(AI_tuong!$B$4&amp;""&lt;&gt;"",AI_tuong!$B$4,IF(AI_tuong!$B$4&amp;""&lt;&gt;"",AI_tuong!$B$4,"balanced"))</f>
        <v/>
      </c>
      <c r="I292" t="inlineStr">
        <is>
          <t>balanced</t>
        </is>
      </c>
      <c r="J292">
        <f>OR($F$292,AND(AI_ho_so_anh_xa!$B$26="mode",OR(AI_ho_so_anh_xa!$C$26="Weekly",AI_ho_so_anh_xa!$C$26="Operation")))</f>
        <v/>
      </c>
      <c r="K292" t="b">
        <v>0</v>
      </c>
      <c r="L292">
        <f>IF($J$292,$H$292,"balanced")</f>
        <v/>
      </c>
      <c r="M292" t="inlineStr">
        <is>
          <t>balanced</t>
        </is>
      </c>
      <c r="N292">
        <f>IF(OR($E$292="",$G$292),"balanced",IF(OR($E$292="*",ISNUMBER(FIND(";"&amp;$L$292&amp;";",";"&amp;$E$292&amp;";"))),$L$292,IF(ISNUMBER(FIND(";"&amp;"balanced"&amp;";",";"&amp;$E$292&amp;";")),"balanced",LEFT($E$292,FIND(";",$E$292&amp;";")-1))))</f>
        <v/>
      </c>
      <c r="O292" t="inlineStr">
        <is>
          <t>balanced</t>
        </is>
      </c>
      <c r="P292">
        <f>IF(OR($E$292="",$G$292),"KHONG_CHIEN_THUAT",IF(NOT($J$292),IF($H$292="balanced","GIU","CHE_DO_BO_QUA"),IF($N$292=$H$292,"GIU","HO_SO_GHI_DE")))</f>
        <v/>
      </c>
      <c r="Q292" t="inlineStr">
        <is>
          <t>Sim/AI/ConquestAi.P28.cs TickLayered + Sim/AI/Commander.cs AllowedTactic (mode.Sandbox, default)</t>
        </is>
      </c>
      <c r="R292" t="inlineStr"/>
    </row>
    <row r="293">
      <c r="A293" t="inlineStr">
        <is>
          <t>mode.Sandbox/hung</t>
        </is>
      </c>
      <c r="B293" t="inlineStr">
        <is>
          <t>mode.Sandbox</t>
        </is>
      </c>
      <c r="C293" t="inlineStr">
        <is>
          <t>hung</t>
        </is>
      </c>
      <c r="D293">
        <f>AI_ho_so_anh_xa!$D$26</f>
        <v/>
      </c>
      <c r="E293">
        <f>INDEX(AI_ho_so_che_do!$B$2:$B$21,MATCH($D$293,AI_ho_so_che_do!$A$2:$A$21,0))&amp;""</f>
        <v/>
      </c>
      <c r="F293">
        <f>INDEX(AI_ho_so_che_do!$P$2:$P$21,MATCH($D$293,AI_ho_so_che_do!$A$2:$A$21,0))=TRUE</f>
        <v/>
      </c>
      <c r="G293">
        <f>ISNUMBER(FIND(";noGeneralTactic;",";"&amp;INDEX(AI_ho_so_che_do!$O$2:$O$21,MATCH($D$293,AI_ho_so_che_do!$A$2:$A$21,0))&amp;";"))</f>
        <v/>
      </c>
      <c r="H293">
        <f>IF(AI_tuong!$B$5&amp;""&lt;&gt;"",AI_tuong!$B$5,IF(AI_tuong!$B$4&amp;""&lt;&gt;"",AI_tuong!$B$4,"balanced"))</f>
        <v/>
      </c>
      <c r="I293" t="inlineStr">
        <is>
          <t>balanced</t>
        </is>
      </c>
      <c r="J293">
        <f>OR($F$293,AND(AI_ho_so_anh_xa!$B$26="mode",OR(AI_ho_so_anh_xa!$C$26="Weekly",AI_ho_so_anh_xa!$C$26="Operation")))</f>
        <v/>
      </c>
      <c r="K293" t="b">
        <v>0</v>
      </c>
      <c r="L293">
        <f>IF($J$293,$H$293,"balanced")</f>
        <v/>
      </c>
      <c r="M293" t="inlineStr">
        <is>
          <t>balanced</t>
        </is>
      </c>
      <c r="N293">
        <f>IF(OR($E$293="",$G$293),"balanced",IF(OR($E$293="*",ISNUMBER(FIND(";"&amp;$L$293&amp;";",";"&amp;$E$293&amp;";"))),$L$293,IF(ISNUMBER(FIND(";"&amp;"balanced"&amp;";",";"&amp;$E$293&amp;";")),"balanced",LEFT($E$293,FIND(";",$E$293&amp;";")-1))))</f>
        <v/>
      </c>
      <c r="O293" t="inlineStr">
        <is>
          <t>balanced</t>
        </is>
      </c>
      <c r="P293">
        <f>IF(OR($E$293="",$G$293),"KHONG_CHIEN_THUAT",IF(NOT($J$293),IF($H$293="balanced","GIU","CHE_DO_BO_QUA"),IF($N$293=$H$293,"GIU","HO_SO_GHI_DE")))</f>
        <v/>
      </c>
      <c r="Q293" t="inlineStr">
        <is>
          <t>Sim/AI/ConquestAi.P28.cs TickLayered + Sim/AI/Commander.cs AllowedTactic (mode.Sandbox, hung)</t>
        </is>
      </c>
      <c r="R293" t="inlineStr"/>
    </row>
    <row r="294">
      <c r="A294" t="inlineStr">
        <is>
          <t>mode.Sandbox/kessler</t>
        </is>
      </c>
      <c r="B294" t="inlineStr">
        <is>
          <t>mode.Sandbox</t>
        </is>
      </c>
      <c r="C294" t="inlineStr">
        <is>
          <t>kessler</t>
        </is>
      </c>
      <c r="D294">
        <f>AI_ho_so_anh_xa!$D$26</f>
        <v/>
      </c>
      <c r="E294">
        <f>INDEX(AI_ho_so_che_do!$B$2:$B$21,MATCH($D$294,AI_ho_so_che_do!$A$2:$A$21,0))&amp;""</f>
        <v/>
      </c>
      <c r="F294">
        <f>INDEX(AI_ho_so_che_do!$P$2:$P$21,MATCH($D$294,AI_ho_so_che_do!$A$2:$A$21,0))=TRUE</f>
        <v/>
      </c>
      <c r="G294">
        <f>ISNUMBER(FIND(";noGeneralTactic;",";"&amp;INDEX(AI_ho_so_che_do!$O$2:$O$21,MATCH($D$294,AI_ho_so_che_do!$A$2:$A$21,0))&amp;";"))</f>
        <v/>
      </c>
      <c r="H294">
        <f>IF(AI_tuong!$B$6&amp;""&lt;&gt;"",AI_tuong!$B$6,IF(AI_tuong!$B$4&amp;""&lt;&gt;"",AI_tuong!$B$4,"balanced"))</f>
        <v/>
      </c>
      <c r="I294" t="inlineStr">
        <is>
          <t>attrition</t>
        </is>
      </c>
      <c r="J294">
        <f>OR($F$294,AND(AI_ho_so_anh_xa!$B$26="mode",OR(AI_ho_so_anh_xa!$C$26="Weekly",AI_ho_so_anh_xa!$C$26="Operation")))</f>
        <v/>
      </c>
      <c r="K294" t="b">
        <v>0</v>
      </c>
      <c r="L294">
        <f>IF($J$294,$H$294,"balanced")</f>
        <v/>
      </c>
      <c r="M294" t="inlineStr">
        <is>
          <t>balanced</t>
        </is>
      </c>
      <c r="N294">
        <f>IF(OR($E$294="",$G$294),"balanced",IF(OR($E$294="*",ISNUMBER(FIND(";"&amp;$L$294&amp;";",";"&amp;$E$294&amp;";"))),$L$294,IF(ISNUMBER(FIND(";"&amp;"balanced"&amp;";",";"&amp;$E$294&amp;";")),"balanced",LEFT($E$294,FIND(";",$E$294&amp;";")-1))))</f>
        <v/>
      </c>
      <c r="O294" t="inlineStr">
        <is>
          <t>balanced</t>
        </is>
      </c>
      <c r="P294">
        <f>IF(OR($E$294="",$G$294),"KHONG_CHIEN_THUAT",IF(NOT($J$294),IF($H$294="balanced","GIU","CHE_DO_BO_QUA"),IF($N$294=$H$294,"GIU","HO_SO_GHI_DE")))</f>
        <v/>
      </c>
      <c r="Q294" t="inlineStr">
        <is>
          <t>Sim/AI/ConquestAi.P28.cs TickLayered + Sim/AI/Commander.cs AllowedTactic (mode.Sandbox, kessler)</t>
        </is>
      </c>
      <c r="R294" t="inlineStr"/>
    </row>
    <row r="295">
      <c r="A295" t="inlineStr">
        <is>
          <t>mode.Sandbox/orlov</t>
        </is>
      </c>
      <c r="B295" t="inlineStr">
        <is>
          <t>mode.Sandbox</t>
        </is>
      </c>
      <c r="C295" t="inlineStr">
        <is>
          <t>orlov</t>
        </is>
      </c>
      <c r="D295">
        <f>AI_ho_so_anh_xa!$D$26</f>
        <v/>
      </c>
      <c r="E295">
        <f>INDEX(AI_ho_so_che_do!$B$2:$B$21,MATCH($D$295,AI_ho_so_che_do!$A$2:$A$21,0))&amp;""</f>
        <v/>
      </c>
      <c r="F295">
        <f>INDEX(AI_ho_so_che_do!$P$2:$P$21,MATCH($D$295,AI_ho_so_che_do!$A$2:$A$21,0))=TRUE</f>
        <v/>
      </c>
      <c r="G295">
        <f>ISNUMBER(FIND(";noGeneralTactic;",";"&amp;INDEX(AI_ho_so_che_do!$O$2:$O$21,MATCH($D$295,AI_ho_so_che_do!$A$2:$A$21,0))&amp;";"))</f>
        <v/>
      </c>
      <c r="H295">
        <f>IF(AI_tuong!$B$7&amp;""&lt;&gt;"",AI_tuong!$B$7,IF(AI_tuong!$B$4&amp;""&lt;&gt;"",AI_tuong!$B$4,"balanced"))</f>
        <v/>
      </c>
      <c r="I295" t="inlineStr">
        <is>
          <t>firepower</t>
        </is>
      </c>
      <c r="J295">
        <f>OR($F$295,AND(AI_ho_so_anh_xa!$B$26="mode",OR(AI_ho_so_anh_xa!$C$26="Weekly",AI_ho_so_anh_xa!$C$26="Operation")))</f>
        <v/>
      </c>
      <c r="K295" t="b">
        <v>0</v>
      </c>
      <c r="L295">
        <f>IF($J$295,$H$295,"balanced")</f>
        <v/>
      </c>
      <c r="M295" t="inlineStr">
        <is>
          <t>balanced</t>
        </is>
      </c>
      <c r="N295">
        <f>IF(OR($E$295="",$G$295),"balanced",IF(OR($E$295="*",ISNUMBER(FIND(";"&amp;$L$295&amp;";",";"&amp;$E$295&amp;";"))),$L$295,IF(ISNUMBER(FIND(";"&amp;"balanced"&amp;";",";"&amp;$E$295&amp;";")),"balanced",LEFT($E$295,FIND(";",$E$295&amp;";")-1))))</f>
        <v/>
      </c>
      <c r="O295" t="inlineStr">
        <is>
          <t>balanced</t>
        </is>
      </c>
      <c r="P295">
        <f>IF(OR($E$295="",$G$295),"KHONG_CHIEN_THUAT",IF(NOT($J$295),IF($H$295="balanced","GIU","CHE_DO_BO_QUA"),IF($N$295=$H$295,"GIU","HO_SO_GHI_DE")))</f>
        <v/>
      </c>
      <c r="Q295" t="inlineStr">
        <is>
          <t>Sim/AI/ConquestAi.P28.cs TickLayered + Sim/AI/Commander.cs AllowedTactic (mode.Sandbox, orlov)</t>
        </is>
      </c>
      <c r="R295" t="inlineStr"/>
    </row>
    <row r="296">
      <c r="A296" t="inlineStr">
        <is>
          <t>mode.Sandbox/quaden</t>
        </is>
      </c>
      <c r="B296" t="inlineStr">
        <is>
          <t>mode.Sandbox</t>
        </is>
      </c>
      <c r="C296" t="inlineStr">
        <is>
          <t>quaden</t>
        </is>
      </c>
      <c r="D296">
        <f>AI_ho_so_anh_xa!$D$26</f>
        <v/>
      </c>
      <c r="E296">
        <f>INDEX(AI_ho_so_che_do!$B$2:$B$21,MATCH($D$296,AI_ho_so_che_do!$A$2:$A$21,0))&amp;""</f>
        <v/>
      </c>
      <c r="F296">
        <f>INDEX(AI_ho_so_che_do!$P$2:$P$21,MATCH($D$296,AI_ho_so_che_do!$A$2:$A$21,0))=TRUE</f>
        <v/>
      </c>
      <c r="G296">
        <f>ISNUMBER(FIND(";noGeneralTactic;",";"&amp;INDEX(AI_ho_so_che_do!$O$2:$O$21,MATCH($D$296,AI_ho_so_che_do!$A$2:$A$21,0))&amp;";"))</f>
        <v/>
      </c>
      <c r="H296">
        <f>IF(AI_tuong!$B$8&amp;""&lt;&gt;"",AI_tuong!$B$8,IF(AI_tuong!$B$4&amp;""&lt;&gt;"",AI_tuong!$B$4,"balanced"))</f>
        <v/>
      </c>
      <c r="I296" t="inlineStr">
        <is>
          <t>balanced</t>
        </is>
      </c>
      <c r="J296">
        <f>OR($F$296,AND(AI_ho_so_anh_xa!$B$26="mode",OR(AI_ho_so_anh_xa!$C$26="Weekly",AI_ho_so_anh_xa!$C$26="Operation")))</f>
        <v/>
      </c>
      <c r="K296" t="b">
        <v>0</v>
      </c>
      <c r="L296">
        <f>IF($J$296,$H$296,"balanced")</f>
        <v/>
      </c>
      <c r="M296" t="inlineStr">
        <is>
          <t>balanced</t>
        </is>
      </c>
      <c r="N296">
        <f>IF(OR($E$296="",$G$296),"balanced",IF(OR($E$296="*",ISNUMBER(FIND(";"&amp;$L$296&amp;";",";"&amp;$E$296&amp;";"))),$L$296,IF(ISNUMBER(FIND(";"&amp;"balanced"&amp;";",";"&amp;$E$296&amp;";")),"balanced",LEFT($E$296,FIND(";",$E$296&amp;";")-1))))</f>
        <v/>
      </c>
      <c r="O296" t="inlineStr">
        <is>
          <t>balanced</t>
        </is>
      </c>
      <c r="P296">
        <f>IF(OR($E$296="",$G$296),"KHONG_CHIEN_THUAT",IF(NOT($J$296),IF($H$296="balanced","GIU","CHE_DO_BO_QUA"),IF($N$296=$H$296,"GIU","HO_SO_GHI_DE")))</f>
        <v/>
      </c>
      <c r="Q296" t="inlineStr">
        <is>
          <t>Sim/AI/ConquestAi.P28.cs TickLayered + Sim/AI/Commander.cs AllowedTactic (mode.Sandbox, quaden)</t>
        </is>
      </c>
      <c r="R296" t="inlineStr"/>
    </row>
    <row r="297">
      <c r="A297" t="inlineStr">
        <is>
          <t>mode.Sandbox/sen</t>
        </is>
      </c>
      <c r="B297" t="inlineStr">
        <is>
          <t>mode.Sandbox</t>
        </is>
      </c>
      <c r="C297" t="inlineStr">
        <is>
          <t>sen</t>
        </is>
      </c>
      <c r="D297">
        <f>AI_ho_so_anh_xa!$D$26</f>
        <v/>
      </c>
      <c r="E297">
        <f>INDEX(AI_ho_so_che_do!$B$2:$B$21,MATCH($D$297,AI_ho_so_che_do!$A$2:$A$21,0))&amp;""</f>
        <v/>
      </c>
      <c r="F297">
        <f>INDEX(AI_ho_so_che_do!$P$2:$P$21,MATCH($D$297,AI_ho_so_che_do!$A$2:$A$21,0))=TRUE</f>
        <v/>
      </c>
      <c r="G297">
        <f>ISNUMBER(FIND(";noGeneralTactic;",";"&amp;INDEX(AI_ho_so_che_do!$O$2:$O$21,MATCH($D$297,AI_ho_so_che_do!$A$2:$A$21,0))&amp;";"))</f>
        <v/>
      </c>
      <c r="H297">
        <f>IF(AI_tuong!$B$9&amp;""&lt;&gt;"",AI_tuong!$B$9,IF(AI_tuong!$B$4&amp;""&lt;&gt;"",AI_tuong!$B$4,"balanced"))</f>
        <v/>
      </c>
      <c r="I297" t="inlineStr">
        <is>
          <t>balanced</t>
        </is>
      </c>
      <c r="J297">
        <f>OR($F$297,AND(AI_ho_so_anh_xa!$B$26="mode",OR(AI_ho_so_anh_xa!$C$26="Weekly",AI_ho_so_anh_xa!$C$26="Operation")))</f>
        <v/>
      </c>
      <c r="K297" t="b">
        <v>0</v>
      </c>
      <c r="L297">
        <f>IF($J$297,$H$297,"balanced")</f>
        <v/>
      </c>
      <c r="M297" t="inlineStr">
        <is>
          <t>balanced</t>
        </is>
      </c>
      <c r="N297">
        <f>IF(OR($E$297="",$G$297),"balanced",IF(OR($E$297="*",ISNUMBER(FIND(";"&amp;$L$297&amp;";",";"&amp;$E$297&amp;";"))),$L$297,IF(ISNUMBER(FIND(";"&amp;"balanced"&amp;";",";"&amp;$E$297&amp;";")),"balanced",LEFT($E$297,FIND(";",$E$297&amp;";")-1))))</f>
        <v/>
      </c>
      <c r="O297" t="inlineStr">
        <is>
          <t>balanced</t>
        </is>
      </c>
      <c r="P297">
        <f>IF(OR($E$297="",$G$297),"KHONG_CHIEN_THUAT",IF(NOT($J$297),IF($H$297="balanced","GIU","CHE_DO_BO_QUA"),IF($N$297=$H$297,"GIU","HO_SO_GHI_DE")))</f>
        <v/>
      </c>
      <c r="Q297" t="inlineStr">
        <is>
          <t>Sim/AI/ConquestAi.P28.cs TickLayered + Sim/AI/Commander.cs AllowedTactic (mode.Sandbox, sen)</t>
        </is>
      </c>
      <c r="R297" t="inlineStr"/>
    </row>
    <row r="298">
      <c r="A298" t="inlineStr">
        <is>
          <t>mode.Sandbox/thorne</t>
        </is>
      </c>
      <c r="B298" t="inlineStr">
        <is>
          <t>mode.Sandbox</t>
        </is>
      </c>
      <c r="C298" t="inlineStr">
        <is>
          <t>thorne</t>
        </is>
      </c>
      <c r="D298">
        <f>AI_ho_so_anh_xa!$D$26</f>
        <v/>
      </c>
      <c r="E298">
        <f>INDEX(AI_ho_so_che_do!$B$2:$B$21,MATCH($D$298,AI_ho_so_che_do!$A$2:$A$21,0))&amp;""</f>
        <v/>
      </c>
      <c r="F298">
        <f>INDEX(AI_ho_so_che_do!$P$2:$P$21,MATCH($D$298,AI_ho_so_che_do!$A$2:$A$21,0))=TRUE</f>
        <v/>
      </c>
      <c r="G298">
        <f>ISNUMBER(FIND(";noGeneralTactic;",";"&amp;INDEX(AI_ho_so_che_do!$O$2:$O$21,MATCH($D$298,AI_ho_so_che_do!$A$2:$A$21,0))&amp;";"))</f>
        <v/>
      </c>
      <c r="H298">
        <f>IF(AI_tuong!$B$10&amp;""&lt;&gt;"",AI_tuong!$B$10,IF(AI_tuong!$B$4&amp;""&lt;&gt;"",AI_tuong!$B$4,"balanced"))</f>
        <v/>
      </c>
      <c r="I298" t="inlineStr">
        <is>
          <t>balanced</t>
        </is>
      </c>
      <c r="J298">
        <f>OR($F$298,AND(AI_ho_so_anh_xa!$B$26="mode",OR(AI_ho_so_anh_xa!$C$26="Weekly",AI_ho_so_anh_xa!$C$26="Operation")))</f>
        <v/>
      </c>
      <c r="K298" t="b">
        <v>0</v>
      </c>
      <c r="L298">
        <f>IF($J$298,$H$298,"balanced")</f>
        <v/>
      </c>
      <c r="M298" t="inlineStr">
        <is>
          <t>balanced</t>
        </is>
      </c>
      <c r="N298">
        <f>IF(OR($E$298="",$G$298),"balanced",IF(OR($E$298="*",ISNUMBER(FIND(";"&amp;$L$298&amp;";",";"&amp;$E$298&amp;";"))),$L$298,IF(ISNUMBER(FIND(";"&amp;"balanced"&amp;";",";"&amp;$E$298&amp;";")),"balanced",LEFT($E$298,FIND(";",$E$298&amp;";")-1))))</f>
        <v/>
      </c>
      <c r="O298" t="inlineStr">
        <is>
          <t>balanced</t>
        </is>
      </c>
      <c r="P298">
        <f>IF(OR($E$298="",$G$298),"KHONG_CHIEN_THUAT",IF(NOT($J$298),IF($H$298="balanced","GIU","CHE_DO_BO_QUA"),IF($N$298=$H$298,"GIU","HO_SO_GHI_DE")))</f>
        <v/>
      </c>
      <c r="Q298" t="inlineStr">
        <is>
          <t>Sim/AI/ConquestAi.P28.cs TickLayered + Sim/AI/Commander.cs AllowedTactic (mode.Sandbox, thorne)</t>
        </is>
      </c>
      <c r="R298" t="inlineStr"/>
    </row>
    <row r="299">
      <c r="A299" t="inlineStr">
        <is>
          <t>mode.Sandbox/varga</t>
        </is>
      </c>
      <c r="B299" t="inlineStr">
        <is>
          <t>mode.Sandbox</t>
        </is>
      </c>
      <c r="C299" t="inlineStr">
        <is>
          <t>varga</t>
        </is>
      </c>
      <c r="D299">
        <f>AI_ho_so_anh_xa!$D$26</f>
        <v/>
      </c>
      <c r="E299">
        <f>INDEX(AI_ho_so_che_do!$B$2:$B$21,MATCH($D$299,AI_ho_so_che_do!$A$2:$A$21,0))&amp;""</f>
        <v/>
      </c>
      <c r="F299">
        <f>INDEX(AI_ho_so_che_do!$P$2:$P$21,MATCH($D$299,AI_ho_so_che_do!$A$2:$A$21,0))=TRUE</f>
        <v/>
      </c>
      <c r="G299">
        <f>ISNUMBER(FIND(";noGeneralTactic;",";"&amp;INDEX(AI_ho_so_che_do!$O$2:$O$21,MATCH($D$299,AI_ho_so_che_do!$A$2:$A$21,0))&amp;";"))</f>
        <v/>
      </c>
      <c r="H299">
        <f>IF(AI_tuong!$B$11&amp;""&lt;&gt;"",AI_tuong!$B$11,IF(AI_tuong!$B$4&amp;""&lt;&gt;"",AI_tuong!$B$4,"balanced"))</f>
        <v/>
      </c>
      <c r="I299" t="inlineStr">
        <is>
          <t>breakthrough</t>
        </is>
      </c>
      <c r="J299">
        <f>OR($F$299,AND(AI_ho_so_anh_xa!$B$26="mode",OR(AI_ho_so_anh_xa!$C$26="Weekly",AI_ho_so_anh_xa!$C$26="Operation")))</f>
        <v/>
      </c>
      <c r="K299" t="b">
        <v>0</v>
      </c>
      <c r="L299">
        <f>IF($J$299,$H$299,"balanced")</f>
        <v/>
      </c>
      <c r="M299" t="inlineStr">
        <is>
          <t>balanced</t>
        </is>
      </c>
      <c r="N299">
        <f>IF(OR($E$299="",$G$299),"balanced",IF(OR($E$299="*",ISNUMBER(FIND(";"&amp;$L$299&amp;";",";"&amp;$E$299&amp;";"))),$L$299,IF(ISNUMBER(FIND(";"&amp;"balanced"&amp;";",";"&amp;$E$299&amp;";")),"balanced",LEFT($E$299,FIND(";",$E$299&amp;";")-1))))</f>
        <v/>
      </c>
      <c r="O299" t="inlineStr">
        <is>
          <t>balanced</t>
        </is>
      </c>
      <c r="P299">
        <f>IF(OR($E$299="",$G$299),"KHONG_CHIEN_THUAT",IF(NOT($J$299),IF($H$299="balanced","GIU","CHE_DO_BO_QUA"),IF($N$299=$H$299,"GIU","HO_SO_GHI_DE")))</f>
        <v/>
      </c>
      <c r="Q299" t="inlineStr">
        <is>
          <t>Sim/AI/ConquestAi.P28.cs TickLayered + Sim/AI/Commander.cs AllowedTactic (mode.Sandbox, varga)</t>
        </is>
      </c>
      <c r="R299" t="inlineStr"/>
    </row>
    <row r="300">
      <c r="A300" t="inlineStr">
        <is>
          <t>mode.Sandbox/venn</t>
        </is>
      </c>
      <c r="B300" t="inlineStr">
        <is>
          <t>mode.Sandbox</t>
        </is>
      </c>
      <c r="C300" t="inlineStr">
        <is>
          <t>venn</t>
        </is>
      </c>
      <c r="D300">
        <f>AI_ho_so_anh_xa!$D$26</f>
        <v/>
      </c>
      <c r="E300">
        <f>INDEX(AI_ho_so_che_do!$B$2:$B$21,MATCH($D$300,AI_ho_so_che_do!$A$2:$A$21,0))&amp;""</f>
        <v/>
      </c>
      <c r="F300">
        <f>INDEX(AI_ho_so_che_do!$P$2:$P$21,MATCH($D$300,AI_ho_so_che_do!$A$2:$A$21,0))=TRUE</f>
        <v/>
      </c>
      <c r="G300">
        <f>ISNUMBER(FIND(";noGeneralTactic;",";"&amp;INDEX(AI_ho_so_che_do!$O$2:$O$21,MATCH($D$300,AI_ho_so_che_do!$A$2:$A$21,0))&amp;";"))</f>
        <v/>
      </c>
      <c r="H300">
        <f>IF(AI_tuong!$B$12&amp;""&lt;&gt;"",AI_tuong!$B$12,IF(AI_tuong!$B$4&amp;""&lt;&gt;"",AI_tuong!$B$4,"balanced"))</f>
        <v/>
      </c>
      <c r="I300" t="inlineStr">
        <is>
          <t>dispersal</t>
        </is>
      </c>
      <c r="J300">
        <f>OR($F$300,AND(AI_ho_so_anh_xa!$B$26="mode",OR(AI_ho_so_anh_xa!$C$26="Weekly",AI_ho_so_anh_xa!$C$26="Operation")))</f>
        <v/>
      </c>
      <c r="K300" t="b">
        <v>0</v>
      </c>
      <c r="L300">
        <f>IF($J$300,$H$300,"balanced")</f>
        <v/>
      </c>
      <c r="M300" t="inlineStr">
        <is>
          <t>balanced</t>
        </is>
      </c>
      <c r="N300">
        <f>IF(OR($E$300="",$G$300),"balanced",IF(OR($E$300="*",ISNUMBER(FIND(";"&amp;$L$300&amp;";",";"&amp;$E$300&amp;";"))),$L$300,IF(ISNUMBER(FIND(";"&amp;"balanced"&amp;";",";"&amp;$E$300&amp;";")),"balanced",LEFT($E$300,FIND(";",$E$300&amp;";")-1))))</f>
        <v/>
      </c>
      <c r="O300" t="inlineStr">
        <is>
          <t>balanced</t>
        </is>
      </c>
      <c r="P300">
        <f>IF(OR($E$300="",$G$300),"KHONG_CHIEN_THUAT",IF(NOT($J$300),IF($H$300="balanced","GIU","CHE_DO_BO_QUA"),IF($N$300=$H$300,"GIU","HO_SO_GHI_DE")))</f>
        <v/>
      </c>
      <c r="Q300" t="inlineStr">
        <is>
          <t>Sim/AI/ConquestAi.P28.cs TickLayered + Sim/AI/Commander.cs AllowedTactic (mode.Sandbox, venn)</t>
        </is>
      </c>
      <c r="R300" t="inlineStr"/>
    </row>
    <row r="301">
      <c r="A301" t="inlineStr">
        <is>
          <t>mode.Sandbox/wolff</t>
        </is>
      </c>
      <c r="B301" t="inlineStr">
        <is>
          <t>mode.Sandbox</t>
        </is>
      </c>
      <c r="C301" t="inlineStr">
        <is>
          <t>wolff</t>
        </is>
      </c>
      <c r="D301">
        <f>AI_ho_so_anh_xa!$D$26</f>
        <v/>
      </c>
      <c r="E301">
        <f>INDEX(AI_ho_so_che_do!$B$2:$B$21,MATCH($D$301,AI_ho_so_che_do!$A$2:$A$21,0))&amp;""</f>
        <v/>
      </c>
      <c r="F301">
        <f>INDEX(AI_ho_so_che_do!$P$2:$P$21,MATCH($D$301,AI_ho_so_che_do!$A$2:$A$21,0))=TRUE</f>
        <v/>
      </c>
      <c r="G301">
        <f>ISNUMBER(FIND(";noGeneralTactic;",";"&amp;INDEX(AI_ho_so_che_do!$O$2:$O$21,MATCH($D$301,AI_ho_so_che_do!$A$2:$A$21,0))&amp;";"))</f>
        <v/>
      </c>
      <c r="H301">
        <f>IF(AI_tuong!$B$13&amp;""&lt;&gt;"",AI_tuong!$B$13,IF(AI_tuong!$B$4&amp;""&lt;&gt;"",AI_tuong!$B$4,"balanced"))</f>
        <v/>
      </c>
      <c r="I301" t="inlineStr">
        <is>
          <t>air_superiority</t>
        </is>
      </c>
      <c r="J301">
        <f>OR($F$301,AND(AI_ho_so_anh_xa!$B$26="mode",OR(AI_ho_so_anh_xa!$C$26="Weekly",AI_ho_so_anh_xa!$C$26="Operation")))</f>
        <v/>
      </c>
      <c r="K301" t="b">
        <v>0</v>
      </c>
      <c r="L301">
        <f>IF($J$301,$H$301,"balanced")</f>
        <v/>
      </c>
      <c r="M301" t="inlineStr">
        <is>
          <t>balanced</t>
        </is>
      </c>
      <c r="N301">
        <f>IF(OR($E$301="",$G$301),"balanced",IF(OR($E$301="*",ISNUMBER(FIND(";"&amp;$L$301&amp;";",";"&amp;$E$301&amp;";"))),$L$301,IF(ISNUMBER(FIND(";"&amp;"balanced"&amp;";",";"&amp;$E$301&amp;";")),"balanced",LEFT($E$301,FIND(";",$E$301&amp;";")-1))))</f>
        <v/>
      </c>
      <c r="O301" t="inlineStr">
        <is>
          <t>balanced</t>
        </is>
      </c>
      <c r="P301">
        <f>IF(OR($E$301="",$G$301),"KHONG_CHIEN_THUAT",IF(NOT($J$301),IF($H$301="balanced","GIU","CHE_DO_BO_QUA"),IF($N$301=$H$301,"GIU","HO_SO_GHI_DE")))</f>
        <v/>
      </c>
      <c r="Q301" t="inlineStr">
        <is>
          <t>Sim/AI/ConquestAi.P28.cs TickLayered + Sim/AI/Commander.cs AllowedTactic (mode.Sandbox, wolff)</t>
        </is>
      </c>
      <c r="R301" t="inlineStr"/>
    </row>
    <row r="302">
      <c r="A302" t="inlineStr">
        <is>
          <t>mode.Showdown/aurel</t>
        </is>
      </c>
      <c r="B302" t="inlineStr">
        <is>
          <t>mode.Showdown</t>
        </is>
      </c>
      <c r="C302" t="inlineStr">
        <is>
          <t>aurel</t>
        </is>
      </c>
      <c r="D302">
        <f>AI_ho_so_anh_xa!$D$27</f>
        <v/>
      </c>
      <c r="E302">
        <f>INDEX(AI_ho_so_che_do!$B$2:$B$21,MATCH($D$302,AI_ho_so_che_do!$A$2:$A$21,0))&amp;""</f>
        <v/>
      </c>
      <c r="F302">
        <f>INDEX(AI_ho_so_che_do!$P$2:$P$21,MATCH($D$302,AI_ho_so_che_do!$A$2:$A$21,0))=TRUE</f>
        <v/>
      </c>
      <c r="G302">
        <f>ISNUMBER(FIND(";noGeneralTactic;",";"&amp;INDEX(AI_ho_so_che_do!$O$2:$O$21,MATCH($D$302,AI_ho_so_che_do!$A$2:$A$21,0))&amp;";"))</f>
        <v/>
      </c>
      <c r="H302">
        <f>IF(AI_tuong!$B$2&amp;""&lt;&gt;"",AI_tuong!$B$2,IF(AI_tuong!$B$4&amp;""&lt;&gt;"",AI_tuong!$B$4,"balanced"))</f>
        <v/>
      </c>
      <c r="I302" t="inlineStr">
        <is>
          <t>all_out</t>
        </is>
      </c>
      <c r="J302">
        <f>OR($F$302,AND(AI_ho_so_anh_xa!$B$27="mode",OR(AI_ho_so_anh_xa!$C$27="Weekly",AI_ho_so_anh_xa!$C$27="Operation")))</f>
        <v/>
      </c>
      <c r="K302" t="b">
        <v>0</v>
      </c>
      <c r="L302">
        <f>IF($J$302,$H$302,"balanced")</f>
        <v/>
      </c>
      <c r="M302" t="inlineStr">
        <is>
          <t>balanced</t>
        </is>
      </c>
      <c r="N302">
        <f>IF(OR($E$302="",$G$302),"balanced",IF(OR($E$302="*",ISNUMBER(FIND(";"&amp;$L$302&amp;";",";"&amp;$E$302&amp;";"))),$L$302,IF(ISNUMBER(FIND(";"&amp;"balanced"&amp;";",";"&amp;$E$302&amp;";")),"balanced",LEFT($E$302,FIND(";",$E$302&amp;";")-1))))</f>
        <v/>
      </c>
      <c r="O302" t="inlineStr">
        <is>
          <t>balanced</t>
        </is>
      </c>
      <c r="P302">
        <f>IF(OR($E$302="",$G$302),"KHONG_CHIEN_THUAT",IF(NOT($J$302),IF($H$302="balanced","GIU","CHE_DO_BO_QUA"),IF($N$302=$H$302,"GIU","HO_SO_GHI_DE")))</f>
        <v/>
      </c>
      <c r="Q302" t="inlineStr">
        <is>
          <t>Sim/AI/ConquestAi.P28.cs TickLayered + Sim/AI/Commander.cs AllowedTactic (mode.Showdown, aurel)</t>
        </is>
      </c>
      <c r="R302" t="inlineStr"/>
    </row>
    <row r="303">
      <c r="A303" t="inlineStr">
        <is>
          <t>mode.Showdown/brandt</t>
        </is>
      </c>
      <c r="B303" t="inlineStr">
        <is>
          <t>mode.Showdown</t>
        </is>
      </c>
      <c r="C303" t="inlineStr">
        <is>
          <t>brandt</t>
        </is>
      </c>
      <c r="D303">
        <f>AI_ho_so_anh_xa!$D$27</f>
        <v/>
      </c>
      <c r="E303">
        <f>INDEX(AI_ho_so_che_do!$B$2:$B$21,MATCH($D$303,AI_ho_so_che_do!$A$2:$A$21,0))&amp;""</f>
        <v/>
      </c>
      <c r="F303">
        <f>INDEX(AI_ho_so_che_do!$P$2:$P$21,MATCH($D$303,AI_ho_so_che_do!$A$2:$A$21,0))=TRUE</f>
        <v/>
      </c>
      <c r="G303">
        <f>ISNUMBER(FIND(";noGeneralTactic;",";"&amp;INDEX(AI_ho_so_che_do!$O$2:$O$21,MATCH($D$303,AI_ho_so_che_do!$A$2:$A$21,0))&amp;";"))</f>
        <v/>
      </c>
      <c r="H303">
        <f>IF(AI_tuong!$B$3&amp;""&lt;&gt;"",AI_tuong!$B$3,IF(AI_tuong!$B$4&amp;""&lt;&gt;"",AI_tuong!$B$4,"balanced"))</f>
        <v/>
      </c>
      <c r="I303" t="inlineStr">
        <is>
          <t>depth</t>
        </is>
      </c>
      <c r="J303">
        <f>OR($F$303,AND(AI_ho_so_anh_xa!$B$27="mode",OR(AI_ho_so_anh_xa!$C$27="Weekly",AI_ho_so_anh_xa!$C$27="Operation")))</f>
        <v/>
      </c>
      <c r="K303" t="b">
        <v>0</v>
      </c>
      <c r="L303">
        <f>IF($J$303,$H$303,"balanced")</f>
        <v/>
      </c>
      <c r="M303" t="inlineStr">
        <is>
          <t>balanced</t>
        </is>
      </c>
      <c r="N303">
        <f>IF(OR($E$303="",$G$303),"balanced",IF(OR($E$303="*",ISNUMBER(FIND(";"&amp;$L$303&amp;";",";"&amp;$E$303&amp;";"))),$L$303,IF(ISNUMBER(FIND(";"&amp;"balanced"&amp;";",";"&amp;$E$303&amp;";")),"balanced",LEFT($E$303,FIND(";",$E$303&amp;";")-1))))</f>
        <v/>
      </c>
      <c r="O303" t="inlineStr">
        <is>
          <t>balanced</t>
        </is>
      </c>
      <c r="P303">
        <f>IF(OR($E$303="",$G$303),"KHONG_CHIEN_THUAT",IF(NOT($J$303),IF($H$303="balanced","GIU","CHE_DO_BO_QUA"),IF($N$303=$H$303,"GIU","HO_SO_GHI_DE")))</f>
        <v/>
      </c>
      <c r="Q303" t="inlineStr">
        <is>
          <t>Sim/AI/ConquestAi.P28.cs TickLayered + Sim/AI/Commander.cs AllowedTactic (mode.Showdown, brandt)</t>
        </is>
      </c>
      <c r="R303" t="inlineStr"/>
    </row>
    <row r="304">
      <c r="A304" t="inlineStr">
        <is>
          <t>mode.Showdown/default</t>
        </is>
      </c>
      <c r="B304" t="inlineStr">
        <is>
          <t>mode.Showdown</t>
        </is>
      </c>
      <c r="C304" t="inlineStr">
        <is>
          <t>default</t>
        </is>
      </c>
      <c r="D304">
        <f>AI_ho_so_anh_xa!$D$27</f>
        <v/>
      </c>
      <c r="E304">
        <f>INDEX(AI_ho_so_che_do!$B$2:$B$21,MATCH($D$304,AI_ho_so_che_do!$A$2:$A$21,0))&amp;""</f>
        <v/>
      </c>
      <c r="F304">
        <f>INDEX(AI_ho_so_che_do!$P$2:$P$21,MATCH($D$304,AI_ho_so_che_do!$A$2:$A$21,0))=TRUE</f>
        <v/>
      </c>
      <c r="G304">
        <f>ISNUMBER(FIND(";noGeneralTactic;",";"&amp;INDEX(AI_ho_so_che_do!$O$2:$O$21,MATCH($D$304,AI_ho_so_che_do!$A$2:$A$21,0))&amp;";"))</f>
        <v/>
      </c>
      <c r="H304">
        <f>IF(AI_tuong!$B$4&amp;""&lt;&gt;"",AI_tuong!$B$4,IF(AI_tuong!$B$4&amp;""&lt;&gt;"",AI_tuong!$B$4,"balanced"))</f>
        <v/>
      </c>
      <c r="I304" t="inlineStr">
        <is>
          <t>balanced</t>
        </is>
      </c>
      <c r="J304">
        <f>OR($F$304,AND(AI_ho_so_anh_xa!$B$27="mode",OR(AI_ho_so_anh_xa!$C$27="Weekly",AI_ho_so_anh_xa!$C$27="Operation")))</f>
        <v/>
      </c>
      <c r="K304" t="b">
        <v>0</v>
      </c>
      <c r="L304">
        <f>IF($J$304,$H$304,"balanced")</f>
        <v/>
      </c>
      <c r="M304" t="inlineStr">
        <is>
          <t>balanced</t>
        </is>
      </c>
      <c r="N304">
        <f>IF(OR($E$304="",$G$304),"balanced",IF(OR($E$304="*",ISNUMBER(FIND(";"&amp;$L$304&amp;";",";"&amp;$E$304&amp;";"))),$L$304,IF(ISNUMBER(FIND(";"&amp;"balanced"&amp;";",";"&amp;$E$304&amp;";")),"balanced",LEFT($E$304,FIND(";",$E$304&amp;";")-1))))</f>
        <v/>
      </c>
      <c r="O304" t="inlineStr">
        <is>
          <t>balanced</t>
        </is>
      </c>
      <c r="P304">
        <f>IF(OR($E$304="",$G$304),"KHONG_CHIEN_THUAT",IF(NOT($J$304),IF($H$304="balanced","GIU","CHE_DO_BO_QUA"),IF($N$304=$H$304,"GIU","HO_SO_GHI_DE")))</f>
        <v/>
      </c>
      <c r="Q304" t="inlineStr">
        <is>
          <t>Sim/AI/ConquestAi.P28.cs TickLayered + Sim/AI/Commander.cs AllowedTactic (mode.Showdown, default)</t>
        </is>
      </c>
      <c r="R304" t="inlineStr"/>
    </row>
    <row r="305">
      <c r="A305" t="inlineStr">
        <is>
          <t>mode.Showdown/hung</t>
        </is>
      </c>
      <c r="B305" t="inlineStr">
        <is>
          <t>mode.Showdown</t>
        </is>
      </c>
      <c r="C305" t="inlineStr">
        <is>
          <t>hung</t>
        </is>
      </c>
      <c r="D305">
        <f>AI_ho_so_anh_xa!$D$27</f>
        <v/>
      </c>
      <c r="E305">
        <f>INDEX(AI_ho_so_che_do!$B$2:$B$21,MATCH($D$305,AI_ho_so_che_do!$A$2:$A$21,0))&amp;""</f>
        <v/>
      </c>
      <c r="F305">
        <f>INDEX(AI_ho_so_che_do!$P$2:$P$21,MATCH($D$305,AI_ho_so_che_do!$A$2:$A$21,0))=TRUE</f>
        <v/>
      </c>
      <c r="G305">
        <f>ISNUMBER(FIND(";noGeneralTactic;",";"&amp;INDEX(AI_ho_so_che_do!$O$2:$O$21,MATCH($D$305,AI_ho_so_che_do!$A$2:$A$21,0))&amp;";"))</f>
        <v/>
      </c>
      <c r="H305">
        <f>IF(AI_tuong!$B$5&amp;""&lt;&gt;"",AI_tuong!$B$5,IF(AI_tuong!$B$4&amp;""&lt;&gt;"",AI_tuong!$B$4,"balanced"))</f>
        <v/>
      </c>
      <c r="I305" t="inlineStr">
        <is>
          <t>balanced</t>
        </is>
      </c>
      <c r="J305">
        <f>OR($F$305,AND(AI_ho_so_anh_xa!$B$27="mode",OR(AI_ho_so_anh_xa!$C$27="Weekly",AI_ho_so_anh_xa!$C$27="Operation")))</f>
        <v/>
      </c>
      <c r="K305" t="b">
        <v>0</v>
      </c>
      <c r="L305">
        <f>IF($J$305,$H$305,"balanced")</f>
        <v/>
      </c>
      <c r="M305" t="inlineStr">
        <is>
          <t>balanced</t>
        </is>
      </c>
      <c r="N305">
        <f>IF(OR($E$305="",$G$305),"balanced",IF(OR($E$305="*",ISNUMBER(FIND(";"&amp;$L$305&amp;";",";"&amp;$E$305&amp;";"))),$L$305,IF(ISNUMBER(FIND(";"&amp;"balanced"&amp;";",";"&amp;$E$305&amp;";")),"balanced",LEFT($E$305,FIND(";",$E$305&amp;";")-1))))</f>
        <v/>
      </c>
      <c r="O305" t="inlineStr">
        <is>
          <t>balanced</t>
        </is>
      </c>
      <c r="P305">
        <f>IF(OR($E$305="",$G$305),"KHONG_CHIEN_THUAT",IF(NOT($J$305),IF($H$305="balanced","GIU","CHE_DO_BO_QUA"),IF($N$305=$H$305,"GIU","HO_SO_GHI_DE")))</f>
        <v/>
      </c>
      <c r="Q305" t="inlineStr">
        <is>
          <t>Sim/AI/ConquestAi.P28.cs TickLayered + Sim/AI/Commander.cs AllowedTactic (mode.Showdown, hung)</t>
        </is>
      </c>
      <c r="R305" t="inlineStr"/>
    </row>
    <row r="306">
      <c r="A306" t="inlineStr">
        <is>
          <t>mode.Showdown/kessler</t>
        </is>
      </c>
      <c r="B306" t="inlineStr">
        <is>
          <t>mode.Showdown</t>
        </is>
      </c>
      <c r="C306" t="inlineStr">
        <is>
          <t>kessler</t>
        </is>
      </c>
      <c r="D306">
        <f>AI_ho_so_anh_xa!$D$27</f>
        <v/>
      </c>
      <c r="E306">
        <f>INDEX(AI_ho_so_che_do!$B$2:$B$21,MATCH($D$306,AI_ho_so_che_do!$A$2:$A$21,0))&amp;""</f>
        <v/>
      </c>
      <c r="F306">
        <f>INDEX(AI_ho_so_che_do!$P$2:$P$21,MATCH($D$306,AI_ho_so_che_do!$A$2:$A$21,0))=TRUE</f>
        <v/>
      </c>
      <c r="G306">
        <f>ISNUMBER(FIND(";noGeneralTactic;",";"&amp;INDEX(AI_ho_so_che_do!$O$2:$O$21,MATCH($D$306,AI_ho_so_che_do!$A$2:$A$21,0))&amp;";"))</f>
        <v/>
      </c>
      <c r="H306">
        <f>IF(AI_tuong!$B$6&amp;""&lt;&gt;"",AI_tuong!$B$6,IF(AI_tuong!$B$4&amp;""&lt;&gt;"",AI_tuong!$B$4,"balanced"))</f>
        <v/>
      </c>
      <c r="I306" t="inlineStr">
        <is>
          <t>attrition</t>
        </is>
      </c>
      <c r="J306">
        <f>OR($F$306,AND(AI_ho_so_anh_xa!$B$27="mode",OR(AI_ho_so_anh_xa!$C$27="Weekly",AI_ho_so_anh_xa!$C$27="Operation")))</f>
        <v/>
      </c>
      <c r="K306" t="b">
        <v>0</v>
      </c>
      <c r="L306">
        <f>IF($J$306,$H$306,"balanced")</f>
        <v/>
      </c>
      <c r="M306" t="inlineStr">
        <is>
          <t>balanced</t>
        </is>
      </c>
      <c r="N306">
        <f>IF(OR($E$306="",$G$306),"balanced",IF(OR($E$306="*",ISNUMBER(FIND(";"&amp;$L$306&amp;";",";"&amp;$E$306&amp;";"))),$L$306,IF(ISNUMBER(FIND(";"&amp;"balanced"&amp;";",";"&amp;$E$306&amp;";")),"balanced",LEFT($E$306,FIND(";",$E$306&amp;";")-1))))</f>
        <v/>
      </c>
      <c r="O306" t="inlineStr">
        <is>
          <t>balanced</t>
        </is>
      </c>
      <c r="P306">
        <f>IF(OR($E$306="",$G$306),"KHONG_CHIEN_THUAT",IF(NOT($J$306),IF($H$306="balanced","GIU","CHE_DO_BO_QUA"),IF($N$306=$H$306,"GIU","HO_SO_GHI_DE")))</f>
        <v/>
      </c>
      <c r="Q306" t="inlineStr">
        <is>
          <t>Sim/AI/ConquestAi.P28.cs TickLayered + Sim/AI/Commander.cs AllowedTactic (mode.Showdown, kessler)</t>
        </is>
      </c>
      <c r="R306" t="inlineStr"/>
    </row>
    <row r="307">
      <c r="A307" t="inlineStr">
        <is>
          <t>mode.Showdown/orlov</t>
        </is>
      </c>
      <c r="B307" t="inlineStr">
        <is>
          <t>mode.Showdown</t>
        </is>
      </c>
      <c r="C307" t="inlineStr">
        <is>
          <t>orlov</t>
        </is>
      </c>
      <c r="D307">
        <f>AI_ho_so_anh_xa!$D$27</f>
        <v/>
      </c>
      <c r="E307">
        <f>INDEX(AI_ho_so_che_do!$B$2:$B$21,MATCH($D$307,AI_ho_so_che_do!$A$2:$A$21,0))&amp;""</f>
        <v/>
      </c>
      <c r="F307">
        <f>INDEX(AI_ho_so_che_do!$P$2:$P$21,MATCH($D$307,AI_ho_so_che_do!$A$2:$A$21,0))=TRUE</f>
        <v/>
      </c>
      <c r="G307">
        <f>ISNUMBER(FIND(";noGeneralTactic;",";"&amp;INDEX(AI_ho_so_che_do!$O$2:$O$21,MATCH($D$307,AI_ho_so_che_do!$A$2:$A$21,0))&amp;";"))</f>
        <v/>
      </c>
      <c r="H307">
        <f>IF(AI_tuong!$B$7&amp;""&lt;&gt;"",AI_tuong!$B$7,IF(AI_tuong!$B$4&amp;""&lt;&gt;"",AI_tuong!$B$4,"balanced"))</f>
        <v/>
      </c>
      <c r="I307" t="inlineStr">
        <is>
          <t>firepower</t>
        </is>
      </c>
      <c r="J307">
        <f>OR($F$307,AND(AI_ho_so_anh_xa!$B$27="mode",OR(AI_ho_so_anh_xa!$C$27="Weekly",AI_ho_so_anh_xa!$C$27="Operation")))</f>
        <v/>
      </c>
      <c r="K307" t="b">
        <v>0</v>
      </c>
      <c r="L307">
        <f>IF($J$307,$H$307,"balanced")</f>
        <v/>
      </c>
      <c r="M307" t="inlineStr">
        <is>
          <t>balanced</t>
        </is>
      </c>
      <c r="N307">
        <f>IF(OR($E$307="",$G$307),"balanced",IF(OR($E$307="*",ISNUMBER(FIND(";"&amp;$L$307&amp;";",";"&amp;$E$307&amp;";"))),$L$307,IF(ISNUMBER(FIND(";"&amp;"balanced"&amp;";",";"&amp;$E$307&amp;";")),"balanced",LEFT($E$307,FIND(";",$E$307&amp;";")-1))))</f>
        <v/>
      </c>
      <c r="O307" t="inlineStr">
        <is>
          <t>balanced</t>
        </is>
      </c>
      <c r="P307">
        <f>IF(OR($E$307="",$G$307),"KHONG_CHIEN_THUAT",IF(NOT($J$307),IF($H$307="balanced","GIU","CHE_DO_BO_QUA"),IF($N$307=$H$307,"GIU","HO_SO_GHI_DE")))</f>
        <v/>
      </c>
      <c r="Q307" t="inlineStr">
        <is>
          <t>Sim/AI/ConquestAi.P28.cs TickLayered + Sim/AI/Commander.cs AllowedTactic (mode.Showdown, orlov)</t>
        </is>
      </c>
      <c r="R307" t="inlineStr"/>
    </row>
    <row r="308">
      <c r="A308" t="inlineStr">
        <is>
          <t>mode.Showdown/quaden</t>
        </is>
      </c>
      <c r="B308" t="inlineStr">
        <is>
          <t>mode.Showdown</t>
        </is>
      </c>
      <c r="C308" t="inlineStr">
        <is>
          <t>quaden</t>
        </is>
      </c>
      <c r="D308">
        <f>AI_ho_so_anh_xa!$D$27</f>
        <v/>
      </c>
      <c r="E308">
        <f>INDEX(AI_ho_so_che_do!$B$2:$B$21,MATCH($D$308,AI_ho_so_che_do!$A$2:$A$21,0))&amp;""</f>
        <v/>
      </c>
      <c r="F308">
        <f>INDEX(AI_ho_so_che_do!$P$2:$P$21,MATCH($D$308,AI_ho_so_che_do!$A$2:$A$21,0))=TRUE</f>
        <v/>
      </c>
      <c r="G308">
        <f>ISNUMBER(FIND(";noGeneralTactic;",";"&amp;INDEX(AI_ho_so_che_do!$O$2:$O$21,MATCH($D$308,AI_ho_so_che_do!$A$2:$A$21,0))&amp;";"))</f>
        <v/>
      </c>
      <c r="H308">
        <f>IF(AI_tuong!$B$8&amp;""&lt;&gt;"",AI_tuong!$B$8,IF(AI_tuong!$B$4&amp;""&lt;&gt;"",AI_tuong!$B$4,"balanced"))</f>
        <v/>
      </c>
      <c r="I308" t="inlineStr">
        <is>
          <t>balanced</t>
        </is>
      </c>
      <c r="J308">
        <f>OR($F$308,AND(AI_ho_so_anh_xa!$B$27="mode",OR(AI_ho_so_anh_xa!$C$27="Weekly",AI_ho_so_anh_xa!$C$27="Operation")))</f>
        <v/>
      </c>
      <c r="K308" t="b">
        <v>0</v>
      </c>
      <c r="L308">
        <f>IF($J$308,$H$308,"balanced")</f>
        <v/>
      </c>
      <c r="M308" t="inlineStr">
        <is>
          <t>balanced</t>
        </is>
      </c>
      <c r="N308">
        <f>IF(OR($E$308="",$G$308),"balanced",IF(OR($E$308="*",ISNUMBER(FIND(";"&amp;$L$308&amp;";",";"&amp;$E$308&amp;";"))),$L$308,IF(ISNUMBER(FIND(";"&amp;"balanced"&amp;";",";"&amp;$E$308&amp;";")),"balanced",LEFT($E$308,FIND(";",$E$308&amp;";")-1))))</f>
        <v/>
      </c>
      <c r="O308" t="inlineStr">
        <is>
          <t>balanced</t>
        </is>
      </c>
      <c r="P308">
        <f>IF(OR($E$308="",$G$308),"KHONG_CHIEN_THUAT",IF(NOT($J$308),IF($H$308="balanced","GIU","CHE_DO_BO_QUA"),IF($N$308=$H$308,"GIU","HO_SO_GHI_DE")))</f>
        <v/>
      </c>
      <c r="Q308" t="inlineStr">
        <is>
          <t>Sim/AI/ConquestAi.P28.cs TickLayered + Sim/AI/Commander.cs AllowedTactic (mode.Showdown, quaden)</t>
        </is>
      </c>
      <c r="R308" t="inlineStr"/>
    </row>
    <row r="309">
      <c r="A309" t="inlineStr">
        <is>
          <t>mode.Showdown/sen</t>
        </is>
      </c>
      <c r="B309" t="inlineStr">
        <is>
          <t>mode.Showdown</t>
        </is>
      </c>
      <c r="C309" t="inlineStr">
        <is>
          <t>sen</t>
        </is>
      </c>
      <c r="D309">
        <f>AI_ho_so_anh_xa!$D$27</f>
        <v/>
      </c>
      <c r="E309">
        <f>INDEX(AI_ho_so_che_do!$B$2:$B$21,MATCH($D$309,AI_ho_so_che_do!$A$2:$A$21,0))&amp;""</f>
        <v/>
      </c>
      <c r="F309">
        <f>INDEX(AI_ho_so_che_do!$P$2:$P$21,MATCH($D$309,AI_ho_so_che_do!$A$2:$A$21,0))=TRUE</f>
        <v/>
      </c>
      <c r="G309">
        <f>ISNUMBER(FIND(";noGeneralTactic;",";"&amp;INDEX(AI_ho_so_che_do!$O$2:$O$21,MATCH($D$309,AI_ho_so_che_do!$A$2:$A$21,0))&amp;";"))</f>
        <v/>
      </c>
      <c r="H309">
        <f>IF(AI_tuong!$B$9&amp;""&lt;&gt;"",AI_tuong!$B$9,IF(AI_tuong!$B$4&amp;""&lt;&gt;"",AI_tuong!$B$4,"balanced"))</f>
        <v/>
      </c>
      <c r="I309" t="inlineStr">
        <is>
          <t>balanced</t>
        </is>
      </c>
      <c r="J309">
        <f>OR($F$309,AND(AI_ho_so_anh_xa!$B$27="mode",OR(AI_ho_so_anh_xa!$C$27="Weekly",AI_ho_so_anh_xa!$C$27="Operation")))</f>
        <v/>
      </c>
      <c r="K309" t="b">
        <v>0</v>
      </c>
      <c r="L309">
        <f>IF($J$309,$H$309,"balanced")</f>
        <v/>
      </c>
      <c r="M309" t="inlineStr">
        <is>
          <t>balanced</t>
        </is>
      </c>
      <c r="N309">
        <f>IF(OR($E$309="",$G$309),"balanced",IF(OR($E$309="*",ISNUMBER(FIND(";"&amp;$L$309&amp;";",";"&amp;$E$309&amp;";"))),$L$309,IF(ISNUMBER(FIND(";"&amp;"balanced"&amp;";",";"&amp;$E$309&amp;";")),"balanced",LEFT($E$309,FIND(";",$E$309&amp;";")-1))))</f>
        <v/>
      </c>
      <c r="O309" t="inlineStr">
        <is>
          <t>balanced</t>
        </is>
      </c>
      <c r="P309">
        <f>IF(OR($E$309="",$G$309),"KHONG_CHIEN_THUAT",IF(NOT($J$309),IF($H$309="balanced","GIU","CHE_DO_BO_QUA"),IF($N$309=$H$309,"GIU","HO_SO_GHI_DE")))</f>
        <v/>
      </c>
      <c r="Q309" t="inlineStr">
        <is>
          <t>Sim/AI/ConquestAi.P28.cs TickLayered + Sim/AI/Commander.cs AllowedTactic (mode.Showdown, sen)</t>
        </is>
      </c>
      <c r="R309" t="inlineStr"/>
    </row>
    <row r="310">
      <c r="A310" t="inlineStr">
        <is>
          <t>mode.Showdown/thorne</t>
        </is>
      </c>
      <c r="B310" t="inlineStr">
        <is>
          <t>mode.Showdown</t>
        </is>
      </c>
      <c r="C310" t="inlineStr">
        <is>
          <t>thorne</t>
        </is>
      </c>
      <c r="D310">
        <f>AI_ho_so_anh_xa!$D$27</f>
        <v/>
      </c>
      <c r="E310">
        <f>INDEX(AI_ho_so_che_do!$B$2:$B$21,MATCH($D$310,AI_ho_so_che_do!$A$2:$A$21,0))&amp;""</f>
        <v/>
      </c>
      <c r="F310">
        <f>INDEX(AI_ho_so_che_do!$P$2:$P$21,MATCH($D$310,AI_ho_so_che_do!$A$2:$A$21,0))=TRUE</f>
        <v/>
      </c>
      <c r="G310">
        <f>ISNUMBER(FIND(";noGeneralTactic;",";"&amp;INDEX(AI_ho_so_che_do!$O$2:$O$21,MATCH($D$310,AI_ho_so_che_do!$A$2:$A$21,0))&amp;";"))</f>
        <v/>
      </c>
      <c r="H310">
        <f>IF(AI_tuong!$B$10&amp;""&lt;&gt;"",AI_tuong!$B$10,IF(AI_tuong!$B$4&amp;""&lt;&gt;"",AI_tuong!$B$4,"balanced"))</f>
        <v/>
      </c>
      <c r="I310" t="inlineStr">
        <is>
          <t>balanced</t>
        </is>
      </c>
      <c r="J310">
        <f>OR($F$310,AND(AI_ho_so_anh_xa!$B$27="mode",OR(AI_ho_so_anh_xa!$C$27="Weekly",AI_ho_so_anh_xa!$C$27="Operation")))</f>
        <v/>
      </c>
      <c r="K310" t="b">
        <v>0</v>
      </c>
      <c r="L310">
        <f>IF($J$310,$H$310,"balanced")</f>
        <v/>
      </c>
      <c r="M310" t="inlineStr">
        <is>
          <t>balanced</t>
        </is>
      </c>
      <c r="N310">
        <f>IF(OR($E$310="",$G$310),"balanced",IF(OR($E$310="*",ISNUMBER(FIND(";"&amp;$L$310&amp;";",";"&amp;$E$310&amp;";"))),$L$310,IF(ISNUMBER(FIND(";"&amp;"balanced"&amp;";",";"&amp;$E$310&amp;";")),"balanced",LEFT($E$310,FIND(";",$E$310&amp;";")-1))))</f>
        <v/>
      </c>
      <c r="O310" t="inlineStr">
        <is>
          <t>balanced</t>
        </is>
      </c>
      <c r="P310">
        <f>IF(OR($E$310="",$G$310),"KHONG_CHIEN_THUAT",IF(NOT($J$310),IF($H$310="balanced","GIU","CHE_DO_BO_QUA"),IF($N$310=$H$310,"GIU","HO_SO_GHI_DE")))</f>
        <v/>
      </c>
      <c r="Q310" t="inlineStr">
        <is>
          <t>Sim/AI/ConquestAi.P28.cs TickLayered + Sim/AI/Commander.cs AllowedTactic (mode.Showdown, thorne)</t>
        </is>
      </c>
      <c r="R310" t="inlineStr"/>
    </row>
    <row r="311">
      <c r="A311" t="inlineStr">
        <is>
          <t>mode.Showdown/varga</t>
        </is>
      </c>
      <c r="B311" t="inlineStr">
        <is>
          <t>mode.Showdown</t>
        </is>
      </c>
      <c r="C311" t="inlineStr">
        <is>
          <t>varga</t>
        </is>
      </c>
      <c r="D311">
        <f>AI_ho_so_anh_xa!$D$27</f>
        <v/>
      </c>
      <c r="E311">
        <f>INDEX(AI_ho_so_che_do!$B$2:$B$21,MATCH($D$311,AI_ho_so_che_do!$A$2:$A$21,0))&amp;""</f>
        <v/>
      </c>
      <c r="F311">
        <f>INDEX(AI_ho_so_che_do!$P$2:$P$21,MATCH($D$311,AI_ho_so_che_do!$A$2:$A$21,0))=TRUE</f>
        <v/>
      </c>
      <c r="G311">
        <f>ISNUMBER(FIND(";noGeneralTactic;",";"&amp;INDEX(AI_ho_so_che_do!$O$2:$O$21,MATCH($D$311,AI_ho_so_che_do!$A$2:$A$21,0))&amp;";"))</f>
        <v/>
      </c>
      <c r="H311">
        <f>IF(AI_tuong!$B$11&amp;""&lt;&gt;"",AI_tuong!$B$11,IF(AI_tuong!$B$4&amp;""&lt;&gt;"",AI_tuong!$B$4,"balanced"))</f>
        <v/>
      </c>
      <c r="I311" t="inlineStr">
        <is>
          <t>breakthrough</t>
        </is>
      </c>
      <c r="J311">
        <f>OR($F$311,AND(AI_ho_so_anh_xa!$B$27="mode",OR(AI_ho_so_anh_xa!$C$27="Weekly",AI_ho_so_anh_xa!$C$27="Operation")))</f>
        <v/>
      </c>
      <c r="K311" t="b">
        <v>0</v>
      </c>
      <c r="L311">
        <f>IF($J$311,$H$311,"balanced")</f>
        <v/>
      </c>
      <c r="M311" t="inlineStr">
        <is>
          <t>balanced</t>
        </is>
      </c>
      <c r="N311">
        <f>IF(OR($E$311="",$G$311),"balanced",IF(OR($E$311="*",ISNUMBER(FIND(";"&amp;$L$311&amp;";",";"&amp;$E$311&amp;";"))),$L$311,IF(ISNUMBER(FIND(";"&amp;"balanced"&amp;";",";"&amp;$E$311&amp;";")),"balanced",LEFT($E$311,FIND(";",$E$311&amp;";")-1))))</f>
        <v/>
      </c>
      <c r="O311" t="inlineStr">
        <is>
          <t>balanced</t>
        </is>
      </c>
      <c r="P311">
        <f>IF(OR($E$311="",$G$311),"KHONG_CHIEN_THUAT",IF(NOT($J$311),IF($H$311="balanced","GIU","CHE_DO_BO_QUA"),IF($N$311=$H$311,"GIU","HO_SO_GHI_DE")))</f>
        <v/>
      </c>
      <c r="Q311" t="inlineStr">
        <is>
          <t>Sim/AI/ConquestAi.P28.cs TickLayered + Sim/AI/Commander.cs AllowedTactic (mode.Showdown, varga)</t>
        </is>
      </c>
      <c r="R311" t="inlineStr"/>
    </row>
    <row r="312">
      <c r="A312" t="inlineStr">
        <is>
          <t>mode.Showdown/venn</t>
        </is>
      </c>
      <c r="B312" t="inlineStr">
        <is>
          <t>mode.Showdown</t>
        </is>
      </c>
      <c r="C312" t="inlineStr">
        <is>
          <t>venn</t>
        </is>
      </c>
      <c r="D312">
        <f>AI_ho_so_anh_xa!$D$27</f>
        <v/>
      </c>
      <c r="E312">
        <f>INDEX(AI_ho_so_che_do!$B$2:$B$21,MATCH($D$312,AI_ho_so_che_do!$A$2:$A$21,0))&amp;""</f>
        <v/>
      </c>
      <c r="F312">
        <f>INDEX(AI_ho_so_che_do!$P$2:$P$21,MATCH($D$312,AI_ho_so_che_do!$A$2:$A$21,0))=TRUE</f>
        <v/>
      </c>
      <c r="G312">
        <f>ISNUMBER(FIND(";noGeneralTactic;",";"&amp;INDEX(AI_ho_so_che_do!$O$2:$O$21,MATCH($D$312,AI_ho_so_che_do!$A$2:$A$21,0))&amp;";"))</f>
        <v/>
      </c>
      <c r="H312">
        <f>IF(AI_tuong!$B$12&amp;""&lt;&gt;"",AI_tuong!$B$12,IF(AI_tuong!$B$4&amp;""&lt;&gt;"",AI_tuong!$B$4,"balanced"))</f>
        <v/>
      </c>
      <c r="I312" t="inlineStr">
        <is>
          <t>dispersal</t>
        </is>
      </c>
      <c r="J312">
        <f>OR($F$312,AND(AI_ho_so_anh_xa!$B$27="mode",OR(AI_ho_so_anh_xa!$C$27="Weekly",AI_ho_so_anh_xa!$C$27="Operation")))</f>
        <v/>
      </c>
      <c r="K312" t="b">
        <v>0</v>
      </c>
      <c r="L312">
        <f>IF($J$312,$H$312,"balanced")</f>
        <v/>
      </c>
      <c r="M312" t="inlineStr">
        <is>
          <t>balanced</t>
        </is>
      </c>
      <c r="N312">
        <f>IF(OR($E$312="",$G$312),"balanced",IF(OR($E$312="*",ISNUMBER(FIND(";"&amp;$L$312&amp;";",";"&amp;$E$312&amp;";"))),$L$312,IF(ISNUMBER(FIND(";"&amp;"balanced"&amp;";",";"&amp;$E$312&amp;";")),"balanced",LEFT($E$312,FIND(";",$E$312&amp;";")-1))))</f>
        <v/>
      </c>
      <c r="O312" t="inlineStr">
        <is>
          <t>balanced</t>
        </is>
      </c>
      <c r="P312">
        <f>IF(OR($E$312="",$G$312),"KHONG_CHIEN_THUAT",IF(NOT($J$312),IF($H$312="balanced","GIU","CHE_DO_BO_QUA"),IF($N$312=$H$312,"GIU","HO_SO_GHI_DE")))</f>
        <v/>
      </c>
      <c r="Q312" t="inlineStr">
        <is>
          <t>Sim/AI/ConquestAi.P28.cs TickLayered + Sim/AI/Commander.cs AllowedTactic (mode.Showdown, venn)</t>
        </is>
      </c>
      <c r="R312" t="inlineStr"/>
    </row>
    <row r="313">
      <c r="A313" t="inlineStr">
        <is>
          <t>mode.Showdown/wolff</t>
        </is>
      </c>
      <c r="B313" t="inlineStr">
        <is>
          <t>mode.Showdown</t>
        </is>
      </c>
      <c r="C313" t="inlineStr">
        <is>
          <t>wolff</t>
        </is>
      </c>
      <c r="D313">
        <f>AI_ho_so_anh_xa!$D$27</f>
        <v/>
      </c>
      <c r="E313">
        <f>INDEX(AI_ho_so_che_do!$B$2:$B$21,MATCH($D$313,AI_ho_so_che_do!$A$2:$A$21,0))&amp;""</f>
        <v/>
      </c>
      <c r="F313">
        <f>INDEX(AI_ho_so_che_do!$P$2:$P$21,MATCH($D$313,AI_ho_so_che_do!$A$2:$A$21,0))=TRUE</f>
        <v/>
      </c>
      <c r="G313">
        <f>ISNUMBER(FIND(";noGeneralTactic;",";"&amp;INDEX(AI_ho_so_che_do!$O$2:$O$21,MATCH($D$313,AI_ho_so_che_do!$A$2:$A$21,0))&amp;";"))</f>
        <v/>
      </c>
      <c r="H313">
        <f>IF(AI_tuong!$B$13&amp;""&lt;&gt;"",AI_tuong!$B$13,IF(AI_tuong!$B$4&amp;""&lt;&gt;"",AI_tuong!$B$4,"balanced"))</f>
        <v/>
      </c>
      <c r="I313" t="inlineStr">
        <is>
          <t>air_superiority</t>
        </is>
      </c>
      <c r="J313">
        <f>OR($F$313,AND(AI_ho_so_anh_xa!$B$27="mode",OR(AI_ho_so_anh_xa!$C$27="Weekly",AI_ho_so_anh_xa!$C$27="Operation")))</f>
        <v/>
      </c>
      <c r="K313" t="b">
        <v>0</v>
      </c>
      <c r="L313">
        <f>IF($J$313,$H$313,"balanced")</f>
        <v/>
      </c>
      <c r="M313" t="inlineStr">
        <is>
          <t>balanced</t>
        </is>
      </c>
      <c r="N313">
        <f>IF(OR($E$313="",$G$313),"balanced",IF(OR($E$313="*",ISNUMBER(FIND(";"&amp;$L$313&amp;";",";"&amp;$E$313&amp;";"))),$L$313,IF(ISNUMBER(FIND(";"&amp;"balanced"&amp;";",";"&amp;$E$313&amp;";")),"balanced",LEFT($E$313,FIND(";",$E$313&amp;";")-1))))</f>
        <v/>
      </c>
      <c r="O313" t="inlineStr">
        <is>
          <t>balanced</t>
        </is>
      </c>
      <c r="P313">
        <f>IF(OR($E$313="",$G$313),"KHONG_CHIEN_THUAT",IF(NOT($J$313),IF($H$313="balanced","GIU","CHE_DO_BO_QUA"),IF($N$313=$H$313,"GIU","HO_SO_GHI_DE")))</f>
        <v/>
      </c>
      <c r="Q313" t="inlineStr">
        <is>
          <t>Sim/AI/ConquestAi.P28.cs TickLayered + Sim/AI/Commander.cs AllowedTactic (mode.Showdown, wolff)</t>
        </is>
      </c>
      <c r="R313" t="inlineStr"/>
    </row>
    <row r="314">
      <c r="A314" t="inlineStr">
        <is>
          <t>mode.Siege/aurel</t>
        </is>
      </c>
      <c r="B314" t="inlineStr">
        <is>
          <t>mode.Siege</t>
        </is>
      </c>
      <c r="C314" t="inlineStr">
        <is>
          <t>aurel</t>
        </is>
      </c>
      <c r="D314">
        <f>AI_ho_so_anh_xa!$D$28</f>
        <v/>
      </c>
      <c r="E314">
        <f>INDEX(AI_ho_so_che_do!$B$2:$B$21,MATCH($D$314,AI_ho_so_che_do!$A$2:$A$21,0))&amp;""</f>
        <v/>
      </c>
      <c r="F314">
        <f>INDEX(AI_ho_so_che_do!$P$2:$P$21,MATCH($D$314,AI_ho_so_che_do!$A$2:$A$21,0))=TRUE</f>
        <v/>
      </c>
      <c r="G314">
        <f>ISNUMBER(FIND(";noGeneralTactic;",";"&amp;INDEX(AI_ho_so_che_do!$O$2:$O$21,MATCH($D$314,AI_ho_so_che_do!$A$2:$A$21,0))&amp;";"))</f>
        <v/>
      </c>
      <c r="H314">
        <f>IF(AI_tuong!$B$2&amp;""&lt;&gt;"",AI_tuong!$B$2,IF(AI_tuong!$B$4&amp;""&lt;&gt;"",AI_tuong!$B$4,"balanced"))</f>
        <v/>
      </c>
      <c r="I314" t="inlineStr">
        <is>
          <t>all_out</t>
        </is>
      </c>
      <c r="J314">
        <f>OR($F$314,AND(AI_ho_so_anh_xa!$B$28="mode",OR(AI_ho_so_anh_xa!$C$28="Weekly",AI_ho_so_anh_xa!$C$28="Operation")))</f>
        <v/>
      </c>
      <c r="K314" t="b">
        <v>0</v>
      </c>
      <c r="L314">
        <f>IF($J$314,$H$314,"balanced")</f>
        <v/>
      </c>
      <c r="M314" t="inlineStr">
        <is>
          <t>balanced</t>
        </is>
      </c>
      <c r="N314">
        <f>IF(OR($E$314="",$G$314),"balanced",IF(OR($E$314="*",ISNUMBER(FIND(";"&amp;$L$314&amp;";",";"&amp;$E$314&amp;";"))),$L$314,IF(ISNUMBER(FIND(";"&amp;"balanced"&amp;";",";"&amp;$E$314&amp;";")),"balanced",LEFT($E$314,FIND(";",$E$314&amp;";")-1))))</f>
        <v/>
      </c>
      <c r="O314" t="inlineStr">
        <is>
          <t>balanced</t>
        </is>
      </c>
      <c r="P314">
        <f>IF(OR($E$314="",$G$314),"KHONG_CHIEN_THUAT",IF(NOT($J$314),IF($H$314="balanced","GIU","CHE_DO_BO_QUA"),IF($N$314=$H$314,"GIU","HO_SO_GHI_DE")))</f>
        <v/>
      </c>
      <c r="Q314" t="inlineStr">
        <is>
          <t>Sim/AI/ConquestAi.P28.cs TickLayered + Sim/AI/Commander.cs AllowedTactic (mode.Siege, aurel)</t>
        </is>
      </c>
      <c r="R314" t="inlineStr"/>
    </row>
    <row r="315">
      <c r="A315" t="inlineStr">
        <is>
          <t>mode.Siege/brandt</t>
        </is>
      </c>
      <c r="B315" t="inlineStr">
        <is>
          <t>mode.Siege</t>
        </is>
      </c>
      <c r="C315" t="inlineStr">
        <is>
          <t>brandt</t>
        </is>
      </c>
      <c r="D315">
        <f>AI_ho_so_anh_xa!$D$28</f>
        <v/>
      </c>
      <c r="E315">
        <f>INDEX(AI_ho_so_che_do!$B$2:$B$21,MATCH($D$315,AI_ho_so_che_do!$A$2:$A$21,0))&amp;""</f>
        <v/>
      </c>
      <c r="F315">
        <f>INDEX(AI_ho_so_che_do!$P$2:$P$21,MATCH($D$315,AI_ho_so_che_do!$A$2:$A$21,0))=TRUE</f>
        <v/>
      </c>
      <c r="G315">
        <f>ISNUMBER(FIND(";noGeneralTactic;",";"&amp;INDEX(AI_ho_so_che_do!$O$2:$O$21,MATCH($D$315,AI_ho_so_che_do!$A$2:$A$21,0))&amp;";"))</f>
        <v/>
      </c>
      <c r="H315">
        <f>IF(AI_tuong!$B$3&amp;""&lt;&gt;"",AI_tuong!$B$3,IF(AI_tuong!$B$4&amp;""&lt;&gt;"",AI_tuong!$B$4,"balanced"))</f>
        <v/>
      </c>
      <c r="I315" t="inlineStr">
        <is>
          <t>depth</t>
        </is>
      </c>
      <c r="J315">
        <f>OR($F$315,AND(AI_ho_so_anh_xa!$B$28="mode",OR(AI_ho_so_anh_xa!$C$28="Weekly",AI_ho_so_anh_xa!$C$28="Operation")))</f>
        <v/>
      </c>
      <c r="K315" t="b">
        <v>0</v>
      </c>
      <c r="L315">
        <f>IF($J$315,$H$315,"balanced")</f>
        <v/>
      </c>
      <c r="M315" t="inlineStr">
        <is>
          <t>balanced</t>
        </is>
      </c>
      <c r="N315">
        <f>IF(OR($E$315="",$G$315),"balanced",IF(OR($E$315="*",ISNUMBER(FIND(";"&amp;$L$315&amp;";",";"&amp;$E$315&amp;";"))),$L$315,IF(ISNUMBER(FIND(";"&amp;"balanced"&amp;";",";"&amp;$E$315&amp;";")),"balanced",LEFT($E$315,FIND(";",$E$315&amp;";")-1))))</f>
        <v/>
      </c>
      <c r="O315" t="inlineStr">
        <is>
          <t>balanced</t>
        </is>
      </c>
      <c r="P315">
        <f>IF(OR($E$315="",$G$315),"KHONG_CHIEN_THUAT",IF(NOT($J$315),IF($H$315="balanced","GIU","CHE_DO_BO_QUA"),IF($N$315=$H$315,"GIU","HO_SO_GHI_DE")))</f>
        <v/>
      </c>
      <c r="Q315" t="inlineStr">
        <is>
          <t>Sim/AI/ConquestAi.P28.cs TickLayered + Sim/AI/Commander.cs AllowedTactic (mode.Siege, brandt)</t>
        </is>
      </c>
      <c r="R315" t="inlineStr"/>
    </row>
    <row r="316">
      <c r="A316" t="inlineStr">
        <is>
          <t>mode.Siege/default</t>
        </is>
      </c>
      <c r="B316" t="inlineStr">
        <is>
          <t>mode.Siege</t>
        </is>
      </c>
      <c r="C316" t="inlineStr">
        <is>
          <t>default</t>
        </is>
      </c>
      <c r="D316">
        <f>AI_ho_so_anh_xa!$D$28</f>
        <v/>
      </c>
      <c r="E316">
        <f>INDEX(AI_ho_so_che_do!$B$2:$B$21,MATCH($D$316,AI_ho_so_che_do!$A$2:$A$21,0))&amp;""</f>
        <v/>
      </c>
      <c r="F316">
        <f>INDEX(AI_ho_so_che_do!$P$2:$P$21,MATCH($D$316,AI_ho_so_che_do!$A$2:$A$21,0))=TRUE</f>
        <v/>
      </c>
      <c r="G316">
        <f>ISNUMBER(FIND(";noGeneralTactic;",";"&amp;INDEX(AI_ho_so_che_do!$O$2:$O$21,MATCH($D$316,AI_ho_so_che_do!$A$2:$A$21,0))&amp;";"))</f>
        <v/>
      </c>
      <c r="H316">
        <f>IF(AI_tuong!$B$4&amp;""&lt;&gt;"",AI_tuong!$B$4,IF(AI_tuong!$B$4&amp;""&lt;&gt;"",AI_tuong!$B$4,"balanced"))</f>
        <v/>
      </c>
      <c r="I316" t="inlineStr">
        <is>
          <t>balanced</t>
        </is>
      </c>
      <c r="J316">
        <f>OR($F$316,AND(AI_ho_so_anh_xa!$B$28="mode",OR(AI_ho_so_anh_xa!$C$28="Weekly",AI_ho_so_anh_xa!$C$28="Operation")))</f>
        <v/>
      </c>
      <c r="K316" t="b">
        <v>0</v>
      </c>
      <c r="L316">
        <f>IF($J$316,$H$316,"balanced")</f>
        <v/>
      </c>
      <c r="M316" t="inlineStr">
        <is>
          <t>balanced</t>
        </is>
      </c>
      <c r="N316">
        <f>IF(OR($E$316="",$G$316),"balanced",IF(OR($E$316="*",ISNUMBER(FIND(";"&amp;$L$316&amp;";",";"&amp;$E$316&amp;";"))),$L$316,IF(ISNUMBER(FIND(";"&amp;"balanced"&amp;";",";"&amp;$E$316&amp;";")),"balanced",LEFT($E$316,FIND(";",$E$316&amp;";")-1))))</f>
        <v/>
      </c>
      <c r="O316" t="inlineStr">
        <is>
          <t>balanced</t>
        </is>
      </c>
      <c r="P316">
        <f>IF(OR($E$316="",$G$316),"KHONG_CHIEN_THUAT",IF(NOT($J$316),IF($H$316="balanced","GIU","CHE_DO_BO_QUA"),IF($N$316=$H$316,"GIU","HO_SO_GHI_DE")))</f>
        <v/>
      </c>
      <c r="Q316" t="inlineStr">
        <is>
          <t>Sim/AI/ConquestAi.P28.cs TickLayered + Sim/AI/Commander.cs AllowedTactic (mode.Siege, default)</t>
        </is>
      </c>
      <c r="R316" t="inlineStr"/>
    </row>
    <row r="317">
      <c r="A317" t="inlineStr">
        <is>
          <t>mode.Siege/hung</t>
        </is>
      </c>
      <c r="B317" t="inlineStr">
        <is>
          <t>mode.Siege</t>
        </is>
      </c>
      <c r="C317" t="inlineStr">
        <is>
          <t>hung</t>
        </is>
      </c>
      <c r="D317">
        <f>AI_ho_so_anh_xa!$D$28</f>
        <v/>
      </c>
      <c r="E317">
        <f>INDEX(AI_ho_so_che_do!$B$2:$B$21,MATCH($D$317,AI_ho_so_che_do!$A$2:$A$21,0))&amp;""</f>
        <v/>
      </c>
      <c r="F317">
        <f>INDEX(AI_ho_so_che_do!$P$2:$P$21,MATCH($D$317,AI_ho_so_che_do!$A$2:$A$21,0))=TRUE</f>
        <v/>
      </c>
      <c r="G317">
        <f>ISNUMBER(FIND(";noGeneralTactic;",";"&amp;INDEX(AI_ho_so_che_do!$O$2:$O$21,MATCH($D$317,AI_ho_so_che_do!$A$2:$A$21,0))&amp;";"))</f>
        <v/>
      </c>
      <c r="H317">
        <f>IF(AI_tuong!$B$5&amp;""&lt;&gt;"",AI_tuong!$B$5,IF(AI_tuong!$B$4&amp;""&lt;&gt;"",AI_tuong!$B$4,"balanced"))</f>
        <v/>
      </c>
      <c r="I317" t="inlineStr">
        <is>
          <t>balanced</t>
        </is>
      </c>
      <c r="J317">
        <f>OR($F$317,AND(AI_ho_so_anh_xa!$B$28="mode",OR(AI_ho_so_anh_xa!$C$28="Weekly",AI_ho_so_anh_xa!$C$28="Operation")))</f>
        <v/>
      </c>
      <c r="K317" t="b">
        <v>0</v>
      </c>
      <c r="L317">
        <f>IF($J$317,$H$317,"balanced")</f>
        <v/>
      </c>
      <c r="M317" t="inlineStr">
        <is>
          <t>balanced</t>
        </is>
      </c>
      <c r="N317">
        <f>IF(OR($E$317="",$G$317),"balanced",IF(OR($E$317="*",ISNUMBER(FIND(";"&amp;$L$317&amp;";",";"&amp;$E$317&amp;";"))),$L$317,IF(ISNUMBER(FIND(";"&amp;"balanced"&amp;";",";"&amp;$E$317&amp;";")),"balanced",LEFT($E$317,FIND(";",$E$317&amp;";")-1))))</f>
        <v/>
      </c>
      <c r="O317" t="inlineStr">
        <is>
          <t>balanced</t>
        </is>
      </c>
      <c r="P317">
        <f>IF(OR($E$317="",$G$317),"KHONG_CHIEN_THUAT",IF(NOT($J$317),IF($H$317="balanced","GIU","CHE_DO_BO_QUA"),IF($N$317=$H$317,"GIU","HO_SO_GHI_DE")))</f>
        <v/>
      </c>
      <c r="Q317" t="inlineStr">
        <is>
          <t>Sim/AI/ConquestAi.P28.cs TickLayered + Sim/AI/Commander.cs AllowedTactic (mode.Siege, hung)</t>
        </is>
      </c>
      <c r="R317" t="inlineStr"/>
    </row>
    <row r="318">
      <c r="A318" t="inlineStr">
        <is>
          <t>mode.Siege/kessler</t>
        </is>
      </c>
      <c r="B318" t="inlineStr">
        <is>
          <t>mode.Siege</t>
        </is>
      </c>
      <c r="C318" t="inlineStr">
        <is>
          <t>kessler</t>
        </is>
      </c>
      <c r="D318">
        <f>AI_ho_so_anh_xa!$D$28</f>
        <v/>
      </c>
      <c r="E318">
        <f>INDEX(AI_ho_so_che_do!$B$2:$B$21,MATCH($D$318,AI_ho_so_che_do!$A$2:$A$21,0))&amp;""</f>
        <v/>
      </c>
      <c r="F318">
        <f>INDEX(AI_ho_so_che_do!$P$2:$P$21,MATCH($D$318,AI_ho_so_che_do!$A$2:$A$21,0))=TRUE</f>
        <v/>
      </c>
      <c r="G318">
        <f>ISNUMBER(FIND(";noGeneralTactic;",";"&amp;INDEX(AI_ho_so_che_do!$O$2:$O$21,MATCH($D$318,AI_ho_so_che_do!$A$2:$A$21,0))&amp;";"))</f>
        <v/>
      </c>
      <c r="H318">
        <f>IF(AI_tuong!$B$6&amp;""&lt;&gt;"",AI_tuong!$B$6,IF(AI_tuong!$B$4&amp;""&lt;&gt;"",AI_tuong!$B$4,"balanced"))</f>
        <v/>
      </c>
      <c r="I318" t="inlineStr">
        <is>
          <t>attrition</t>
        </is>
      </c>
      <c r="J318">
        <f>OR($F$318,AND(AI_ho_so_anh_xa!$B$28="mode",OR(AI_ho_so_anh_xa!$C$28="Weekly",AI_ho_so_anh_xa!$C$28="Operation")))</f>
        <v/>
      </c>
      <c r="K318" t="b">
        <v>0</v>
      </c>
      <c r="L318">
        <f>IF($J$318,$H$318,"balanced")</f>
        <v/>
      </c>
      <c r="M318" t="inlineStr">
        <is>
          <t>balanced</t>
        </is>
      </c>
      <c r="N318">
        <f>IF(OR($E$318="",$G$318),"balanced",IF(OR($E$318="*",ISNUMBER(FIND(";"&amp;$L$318&amp;";",";"&amp;$E$318&amp;";"))),$L$318,IF(ISNUMBER(FIND(";"&amp;"balanced"&amp;";",";"&amp;$E$318&amp;";")),"balanced",LEFT($E$318,FIND(";",$E$318&amp;";")-1))))</f>
        <v/>
      </c>
      <c r="O318" t="inlineStr">
        <is>
          <t>balanced</t>
        </is>
      </c>
      <c r="P318">
        <f>IF(OR($E$318="",$G$318),"KHONG_CHIEN_THUAT",IF(NOT($J$318),IF($H$318="balanced","GIU","CHE_DO_BO_QUA"),IF($N$318=$H$318,"GIU","HO_SO_GHI_DE")))</f>
        <v/>
      </c>
      <c r="Q318" t="inlineStr">
        <is>
          <t>Sim/AI/ConquestAi.P28.cs TickLayered + Sim/AI/Commander.cs AllowedTactic (mode.Siege, kessler)</t>
        </is>
      </c>
      <c r="R318" t="inlineStr"/>
    </row>
    <row r="319">
      <c r="A319" t="inlineStr">
        <is>
          <t>mode.Siege/orlov</t>
        </is>
      </c>
      <c r="B319" t="inlineStr">
        <is>
          <t>mode.Siege</t>
        </is>
      </c>
      <c r="C319" t="inlineStr">
        <is>
          <t>orlov</t>
        </is>
      </c>
      <c r="D319">
        <f>AI_ho_so_anh_xa!$D$28</f>
        <v/>
      </c>
      <c r="E319">
        <f>INDEX(AI_ho_so_che_do!$B$2:$B$21,MATCH($D$319,AI_ho_so_che_do!$A$2:$A$21,0))&amp;""</f>
        <v/>
      </c>
      <c r="F319">
        <f>INDEX(AI_ho_so_che_do!$P$2:$P$21,MATCH($D$319,AI_ho_so_che_do!$A$2:$A$21,0))=TRUE</f>
        <v/>
      </c>
      <c r="G319">
        <f>ISNUMBER(FIND(";noGeneralTactic;",";"&amp;INDEX(AI_ho_so_che_do!$O$2:$O$21,MATCH($D$319,AI_ho_so_che_do!$A$2:$A$21,0))&amp;";"))</f>
        <v/>
      </c>
      <c r="H319">
        <f>IF(AI_tuong!$B$7&amp;""&lt;&gt;"",AI_tuong!$B$7,IF(AI_tuong!$B$4&amp;""&lt;&gt;"",AI_tuong!$B$4,"balanced"))</f>
        <v/>
      </c>
      <c r="I319" t="inlineStr">
        <is>
          <t>firepower</t>
        </is>
      </c>
      <c r="J319">
        <f>OR($F$319,AND(AI_ho_so_anh_xa!$B$28="mode",OR(AI_ho_so_anh_xa!$C$28="Weekly",AI_ho_so_anh_xa!$C$28="Operation")))</f>
        <v/>
      </c>
      <c r="K319" t="b">
        <v>0</v>
      </c>
      <c r="L319">
        <f>IF($J$319,$H$319,"balanced")</f>
        <v/>
      </c>
      <c r="M319" t="inlineStr">
        <is>
          <t>balanced</t>
        </is>
      </c>
      <c r="N319">
        <f>IF(OR($E$319="",$G$319),"balanced",IF(OR($E$319="*",ISNUMBER(FIND(";"&amp;$L$319&amp;";",";"&amp;$E$319&amp;";"))),$L$319,IF(ISNUMBER(FIND(";"&amp;"balanced"&amp;";",";"&amp;$E$319&amp;";")),"balanced",LEFT($E$319,FIND(";",$E$319&amp;";")-1))))</f>
        <v/>
      </c>
      <c r="O319" t="inlineStr">
        <is>
          <t>balanced</t>
        </is>
      </c>
      <c r="P319">
        <f>IF(OR($E$319="",$G$319),"KHONG_CHIEN_THUAT",IF(NOT($J$319),IF($H$319="balanced","GIU","CHE_DO_BO_QUA"),IF($N$319=$H$319,"GIU","HO_SO_GHI_DE")))</f>
        <v/>
      </c>
      <c r="Q319" t="inlineStr">
        <is>
          <t>Sim/AI/ConquestAi.P28.cs TickLayered + Sim/AI/Commander.cs AllowedTactic (mode.Siege, orlov)</t>
        </is>
      </c>
      <c r="R319" t="inlineStr"/>
    </row>
    <row r="320">
      <c r="A320" t="inlineStr">
        <is>
          <t>mode.Siege/quaden</t>
        </is>
      </c>
      <c r="B320" t="inlineStr">
        <is>
          <t>mode.Siege</t>
        </is>
      </c>
      <c r="C320" t="inlineStr">
        <is>
          <t>quaden</t>
        </is>
      </c>
      <c r="D320">
        <f>AI_ho_so_anh_xa!$D$28</f>
        <v/>
      </c>
      <c r="E320">
        <f>INDEX(AI_ho_so_che_do!$B$2:$B$21,MATCH($D$320,AI_ho_so_che_do!$A$2:$A$21,0))&amp;""</f>
        <v/>
      </c>
      <c r="F320">
        <f>INDEX(AI_ho_so_che_do!$P$2:$P$21,MATCH($D$320,AI_ho_so_che_do!$A$2:$A$21,0))=TRUE</f>
        <v/>
      </c>
      <c r="G320">
        <f>ISNUMBER(FIND(";noGeneralTactic;",";"&amp;INDEX(AI_ho_so_che_do!$O$2:$O$21,MATCH($D$320,AI_ho_so_che_do!$A$2:$A$21,0))&amp;";"))</f>
        <v/>
      </c>
      <c r="H320">
        <f>IF(AI_tuong!$B$8&amp;""&lt;&gt;"",AI_tuong!$B$8,IF(AI_tuong!$B$4&amp;""&lt;&gt;"",AI_tuong!$B$4,"balanced"))</f>
        <v/>
      </c>
      <c r="I320" t="inlineStr">
        <is>
          <t>balanced</t>
        </is>
      </c>
      <c r="J320">
        <f>OR($F$320,AND(AI_ho_so_anh_xa!$B$28="mode",OR(AI_ho_so_anh_xa!$C$28="Weekly",AI_ho_so_anh_xa!$C$28="Operation")))</f>
        <v/>
      </c>
      <c r="K320" t="b">
        <v>0</v>
      </c>
      <c r="L320">
        <f>IF($J$320,$H$320,"balanced")</f>
        <v/>
      </c>
      <c r="M320" t="inlineStr">
        <is>
          <t>balanced</t>
        </is>
      </c>
      <c r="N320">
        <f>IF(OR($E$320="",$G$320),"balanced",IF(OR($E$320="*",ISNUMBER(FIND(";"&amp;$L$320&amp;";",";"&amp;$E$320&amp;";"))),$L$320,IF(ISNUMBER(FIND(";"&amp;"balanced"&amp;";",";"&amp;$E$320&amp;";")),"balanced",LEFT($E$320,FIND(";",$E$320&amp;";")-1))))</f>
        <v/>
      </c>
      <c r="O320" t="inlineStr">
        <is>
          <t>balanced</t>
        </is>
      </c>
      <c r="P320">
        <f>IF(OR($E$320="",$G$320),"KHONG_CHIEN_THUAT",IF(NOT($J$320),IF($H$320="balanced","GIU","CHE_DO_BO_QUA"),IF($N$320=$H$320,"GIU","HO_SO_GHI_DE")))</f>
        <v/>
      </c>
      <c r="Q320" t="inlineStr">
        <is>
          <t>Sim/AI/ConquestAi.P28.cs TickLayered + Sim/AI/Commander.cs AllowedTactic (mode.Siege, quaden)</t>
        </is>
      </c>
      <c r="R320" t="inlineStr"/>
    </row>
    <row r="321">
      <c r="A321" t="inlineStr">
        <is>
          <t>mode.Siege/sen</t>
        </is>
      </c>
      <c r="B321" t="inlineStr">
        <is>
          <t>mode.Siege</t>
        </is>
      </c>
      <c r="C321" t="inlineStr">
        <is>
          <t>sen</t>
        </is>
      </c>
      <c r="D321">
        <f>AI_ho_so_anh_xa!$D$28</f>
        <v/>
      </c>
      <c r="E321">
        <f>INDEX(AI_ho_so_che_do!$B$2:$B$21,MATCH($D$321,AI_ho_so_che_do!$A$2:$A$21,0))&amp;""</f>
        <v/>
      </c>
      <c r="F321">
        <f>INDEX(AI_ho_so_che_do!$P$2:$P$21,MATCH($D$321,AI_ho_so_che_do!$A$2:$A$21,0))=TRUE</f>
        <v/>
      </c>
      <c r="G321">
        <f>ISNUMBER(FIND(";noGeneralTactic;",";"&amp;INDEX(AI_ho_so_che_do!$O$2:$O$21,MATCH($D$321,AI_ho_so_che_do!$A$2:$A$21,0))&amp;";"))</f>
        <v/>
      </c>
      <c r="H321">
        <f>IF(AI_tuong!$B$9&amp;""&lt;&gt;"",AI_tuong!$B$9,IF(AI_tuong!$B$4&amp;""&lt;&gt;"",AI_tuong!$B$4,"balanced"))</f>
        <v/>
      </c>
      <c r="I321" t="inlineStr">
        <is>
          <t>balanced</t>
        </is>
      </c>
      <c r="J321">
        <f>OR($F$321,AND(AI_ho_so_anh_xa!$B$28="mode",OR(AI_ho_so_anh_xa!$C$28="Weekly",AI_ho_so_anh_xa!$C$28="Operation")))</f>
        <v/>
      </c>
      <c r="K321" t="b">
        <v>0</v>
      </c>
      <c r="L321">
        <f>IF($J$321,$H$321,"balanced")</f>
        <v/>
      </c>
      <c r="M321" t="inlineStr">
        <is>
          <t>balanced</t>
        </is>
      </c>
      <c r="N321">
        <f>IF(OR($E$321="",$G$321),"balanced",IF(OR($E$321="*",ISNUMBER(FIND(";"&amp;$L$321&amp;";",";"&amp;$E$321&amp;";"))),$L$321,IF(ISNUMBER(FIND(";"&amp;"balanced"&amp;";",";"&amp;$E$321&amp;";")),"balanced",LEFT($E$321,FIND(";",$E$321&amp;";")-1))))</f>
        <v/>
      </c>
      <c r="O321" t="inlineStr">
        <is>
          <t>balanced</t>
        </is>
      </c>
      <c r="P321">
        <f>IF(OR($E$321="",$G$321),"KHONG_CHIEN_THUAT",IF(NOT($J$321),IF($H$321="balanced","GIU","CHE_DO_BO_QUA"),IF($N$321=$H$321,"GIU","HO_SO_GHI_DE")))</f>
        <v/>
      </c>
      <c r="Q321" t="inlineStr">
        <is>
          <t>Sim/AI/ConquestAi.P28.cs TickLayered + Sim/AI/Commander.cs AllowedTactic (mode.Siege, sen)</t>
        </is>
      </c>
      <c r="R321" t="inlineStr"/>
    </row>
    <row r="322">
      <c r="A322" t="inlineStr">
        <is>
          <t>mode.Siege/thorne</t>
        </is>
      </c>
      <c r="B322" t="inlineStr">
        <is>
          <t>mode.Siege</t>
        </is>
      </c>
      <c r="C322" t="inlineStr">
        <is>
          <t>thorne</t>
        </is>
      </c>
      <c r="D322">
        <f>AI_ho_so_anh_xa!$D$28</f>
        <v/>
      </c>
      <c r="E322">
        <f>INDEX(AI_ho_so_che_do!$B$2:$B$21,MATCH($D$322,AI_ho_so_che_do!$A$2:$A$21,0))&amp;""</f>
        <v/>
      </c>
      <c r="F322">
        <f>INDEX(AI_ho_so_che_do!$P$2:$P$21,MATCH($D$322,AI_ho_so_che_do!$A$2:$A$21,0))=TRUE</f>
        <v/>
      </c>
      <c r="G322">
        <f>ISNUMBER(FIND(";noGeneralTactic;",";"&amp;INDEX(AI_ho_so_che_do!$O$2:$O$21,MATCH($D$322,AI_ho_so_che_do!$A$2:$A$21,0))&amp;";"))</f>
        <v/>
      </c>
      <c r="H322">
        <f>IF(AI_tuong!$B$10&amp;""&lt;&gt;"",AI_tuong!$B$10,IF(AI_tuong!$B$4&amp;""&lt;&gt;"",AI_tuong!$B$4,"balanced"))</f>
        <v/>
      </c>
      <c r="I322" t="inlineStr">
        <is>
          <t>balanced</t>
        </is>
      </c>
      <c r="J322">
        <f>OR($F$322,AND(AI_ho_so_anh_xa!$B$28="mode",OR(AI_ho_so_anh_xa!$C$28="Weekly",AI_ho_so_anh_xa!$C$28="Operation")))</f>
        <v/>
      </c>
      <c r="K322" t="b">
        <v>0</v>
      </c>
      <c r="L322">
        <f>IF($J$322,$H$322,"balanced")</f>
        <v/>
      </c>
      <c r="M322" t="inlineStr">
        <is>
          <t>balanced</t>
        </is>
      </c>
      <c r="N322">
        <f>IF(OR($E$322="",$G$322),"balanced",IF(OR($E$322="*",ISNUMBER(FIND(";"&amp;$L$322&amp;";",";"&amp;$E$322&amp;";"))),$L$322,IF(ISNUMBER(FIND(";"&amp;"balanced"&amp;";",";"&amp;$E$322&amp;";")),"balanced",LEFT($E$322,FIND(";",$E$322&amp;";")-1))))</f>
        <v/>
      </c>
      <c r="O322" t="inlineStr">
        <is>
          <t>balanced</t>
        </is>
      </c>
      <c r="P322">
        <f>IF(OR($E$322="",$G$322),"KHONG_CHIEN_THUAT",IF(NOT($J$322),IF($H$322="balanced","GIU","CHE_DO_BO_QUA"),IF($N$322=$H$322,"GIU","HO_SO_GHI_DE")))</f>
        <v/>
      </c>
      <c r="Q322" t="inlineStr">
        <is>
          <t>Sim/AI/ConquestAi.P28.cs TickLayered + Sim/AI/Commander.cs AllowedTactic (mode.Siege, thorne)</t>
        </is>
      </c>
      <c r="R322" t="inlineStr"/>
    </row>
    <row r="323">
      <c r="A323" t="inlineStr">
        <is>
          <t>mode.Siege/varga</t>
        </is>
      </c>
      <c r="B323" t="inlineStr">
        <is>
          <t>mode.Siege</t>
        </is>
      </c>
      <c r="C323" t="inlineStr">
        <is>
          <t>varga</t>
        </is>
      </c>
      <c r="D323">
        <f>AI_ho_so_anh_xa!$D$28</f>
        <v/>
      </c>
      <c r="E323">
        <f>INDEX(AI_ho_so_che_do!$B$2:$B$21,MATCH($D$323,AI_ho_so_che_do!$A$2:$A$21,0))&amp;""</f>
        <v/>
      </c>
      <c r="F323">
        <f>INDEX(AI_ho_so_che_do!$P$2:$P$21,MATCH($D$323,AI_ho_so_che_do!$A$2:$A$21,0))=TRUE</f>
        <v/>
      </c>
      <c r="G323">
        <f>ISNUMBER(FIND(";noGeneralTactic;",";"&amp;INDEX(AI_ho_so_che_do!$O$2:$O$21,MATCH($D$323,AI_ho_so_che_do!$A$2:$A$21,0))&amp;";"))</f>
        <v/>
      </c>
      <c r="H323">
        <f>IF(AI_tuong!$B$11&amp;""&lt;&gt;"",AI_tuong!$B$11,IF(AI_tuong!$B$4&amp;""&lt;&gt;"",AI_tuong!$B$4,"balanced"))</f>
        <v/>
      </c>
      <c r="I323" t="inlineStr">
        <is>
          <t>breakthrough</t>
        </is>
      </c>
      <c r="J323">
        <f>OR($F$323,AND(AI_ho_so_anh_xa!$B$28="mode",OR(AI_ho_so_anh_xa!$C$28="Weekly",AI_ho_so_anh_xa!$C$28="Operation")))</f>
        <v/>
      </c>
      <c r="K323" t="b">
        <v>0</v>
      </c>
      <c r="L323">
        <f>IF($J$323,$H$323,"balanced")</f>
        <v/>
      </c>
      <c r="M323" t="inlineStr">
        <is>
          <t>balanced</t>
        </is>
      </c>
      <c r="N323">
        <f>IF(OR($E$323="",$G$323),"balanced",IF(OR($E$323="*",ISNUMBER(FIND(";"&amp;$L$323&amp;";",";"&amp;$E$323&amp;";"))),$L$323,IF(ISNUMBER(FIND(";"&amp;"balanced"&amp;";",";"&amp;$E$323&amp;";")),"balanced",LEFT($E$323,FIND(";",$E$323&amp;";")-1))))</f>
        <v/>
      </c>
      <c r="O323" t="inlineStr">
        <is>
          <t>balanced</t>
        </is>
      </c>
      <c r="P323">
        <f>IF(OR($E$323="",$G$323),"KHONG_CHIEN_THUAT",IF(NOT($J$323),IF($H$323="balanced","GIU","CHE_DO_BO_QUA"),IF($N$323=$H$323,"GIU","HO_SO_GHI_DE")))</f>
        <v/>
      </c>
      <c r="Q323" t="inlineStr">
        <is>
          <t>Sim/AI/ConquestAi.P28.cs TickLayered + Sim/AI/Commander.cs AllowedTactic (mode.Siege, varga)</t>
        </is>
      </c>
      <c r="R323" t="inlineStr"/>
    </row>
    <row r="324">
      <c r="A324" t="inlineStr">
        <is>
          <t>mode.Siege/venn</t>
        </is>
      </c>
      <c r="B324" t="inlineStr">
        <is>
          <t>mode.Siege</t>
        </is>
      </c>
      <c r="C324" t="inlineStr">
        <is>
          <t>venn</t>
        </is>
      </c>
      <c r="D324">
        <f>AI_ho_so_anh_xa!$D$28</f>
        <v/>
      </c>
      <c r="E324">
        <f>INDEX(AI_ho_so_che_do!$B$2:$B$21,MATCH($D$324,AI_ho_so_che_do!$A$2:$A$21,0))&amp;""</f>
        <v/>
      </c>
      <c r="F324">
        <f>INDEX(AI_ho_so_che_do!$P$2:$P$21,MATCH($D$324,AI_ho_so_che_do!$A$2:$A$21,0))=TRUE</f>
        <v/>
      </c>
      <c r="G324">
        <f>ISNUMBER(FIND(";noGeneralTactic;",";"&amp;INDEX(AI_ho_so_che_do!$O$2:$O$21,MATCH($D$324,AI_ho_so_che_do!$A$2:$A$21,0))&amp;";"))</f>
        <v/>
      </c>
      <c r="H324">
        <f>IF(AI_tuong!$B$12&amp;""&lt;&gt;"",AI_tuong!$B$12,IF(AI_tuong!$B$4&amp;""&lt;&gt;"",AI_tuong!$B$4,"balanced"))</f>
        <v/>
      </c>
      <c r="I324" t="inlineStr">
        <is>
          <t>dispersal</t>
        </is>
      </c>
      <c r="J324">
        <f>OR($F$324,AND(AI_ho_so_anh_xa!$B$28="mode",OR(AI_ho_so_anh_xa!$C$28="Weekly",AI_ho_so_anh_xa!$C$28="Operation")))</f>
        <v/>
      </c>
      <c r="K324" t="b">
        <v>0</v>
      </c>
      <c r="L324">
        <f>IF($J$324,$H$324,"balanced")</f>
        <v/>
      </c>
      <c r="M324" t="inlineStr">
        <is>
          <t>balanced</t>
        </is>
      </c>
      <c r="N324">
        <f>IF(OR($E$324="",$G$324),"balanced",IF(OR($E$324="*",ISNUMBER(FIND(";"&amp;$L$324&amp;";",";"&amp;$E$324&amp;";"))),$L$324,IF(ISNUMBER(FIND(";"&amp;"balanced"&amp;";",";"&amp;$E$324&amp;";")),"balanced",LEFT($E$324,FIND(";",$E$324&amp;";")-1))))</f>
        <v/>
      </c>
      <c r="O324" t="inlineStr">
        <is>
          <t>balanced</t>
        </is>
      </c>
      <c r="P324">
        <f>IF(OR($E$324="",$G$324),"KHONG_CHIEN_THUAT",IF(NOT($J$324),IF($H$324="balanced","GIU","CHE_DO_BO_QUA"),IF($N$324=$H$324,"GIU","HO_SO_GHI_DE")))</f>
        <v/>
      </c>
      <c r="Q324" t="inlineStr">
        <is>
          <t>Sim/AI/ConquestAi.P28.cs TickLayered + Sim/AI/Commander.cs AllowedTactic (mode.Siege, venn)</t>
        </is>
      </c>
      <c r="R324" t="inlineStr"/>
    </row>
    <row r="325">
      <c r="A325" t="inlineStr">
        <is>
          <t>mode.Siege/wolff</t>
        </is>
      </c>
      <c r="B325" t="inlineStr">
        <is>
          <t>mode.Siege</t>
        </is>
      </c>
      <c r="C325" t="inlineStr">
        <is>
          <t>wolff</t>
        </is>
      </c>
      <c r="D325">
        <f>AI_ho_so_anh_xa!$D$28</f>
        <v/>
      </c>
      <c r="E325">
        <f>INDEX(AI_ho_so_che_do!$B$2:$B$21,MATCH($D$325,AI_ho_so_che_do!$A$2:$A$21,0))&amp;""</f>
        <v/>
      </c>
      <c r="F325">
        <f>INDEX(AI_ho_so_che_do!$P$2:$P$21,MATCH($D$325,AI_ho_so_che_do!$A$2:$A$21,0))=TRUE</f>
        <v/>
      </c>
      <c r="G325">
        <f>ISNUMBER(FIND(";noGeneralTactic;",";"&amp;INDEX(AI_ho_so_che_do!$O$2:$O$21,MATCH($D$325,AI_ho_so_che_do!$A$2:$A$21,0))&amp;";"))</f>
        <v/>
      </c>
      <c r="H325">
        <f>IF(AI_tuong!$B$13&amp;""&lt;&gt;"",AI_tuong!$B$13,IF(AI_tuong!$B$4&amp;""&lt;&gt;"",AI_tuong!$B$4,"balanced"))</f>
        <v/>
      </c>
      <c r="I325" t="inlineStr">
        <is>
          <t>air_superiority</t>
        </is>
      </c>
      <c r="J325">
        <f>OR($F$325,AND(AI_ho_so_anh_xa!$B$28="mode",OR(AI_ho_so_anh_xa!$C$28="Weekly",AI_ho_so_anh_xa!$C$28="Operation")))</f>
        <v/>
      </c>
      <c r="K325" t="b">
        <v>0</v>
      </c>
      <c r="L325">
        <f>IF($J$325,$H$325,"balanced")</f>
        <v/>
      </c>
      <c r="M325" t="inlineStr">
        <is>
          <t>balanced</t>
        </is>
      </c>
      <c r="N325">
        <f>IF(OR($E$325="",$G$325),"balanced",IF(OR($E$325="*",ISNUMBER(FIND(";"&amp;$L$325&amp;";",";"&amp;$E$325&amp;";"))),$L$325,IF(ISNUMBER(FIND(";"&amp;"balanced"&amp;";",";"&amp;$E$325&amp;";")),"balanced",LEFT($E$325,FIND(";",$E$325&amp;";")-1))))</f>
        <v/>
      </c>
      <c r="O325" t="inlineStr">
        <is>
          <t>balanced</t>
        </is>
      </c>
      <c r="P325">
        <f>IF(OR($E$325="",$G$325),"KHONG_CHIEN_THUAT",IF(NOT($J$325),IF($H$325="balanced","GIU","CHE_DO_BO_QUA"),IF($N$325=$H$325,"GIU","HO_SO_GHI_DE")))</f>
        <v/>
      </c>
      <c r="Q325" t="inlineStr">
        <is>
          <t>Sim/AI/ConquestAi.P28.cs TickLayered + Sim/AI/Commander.cs AllowedTactic (mode.Siege, wolff)</t>
        </is>
      </c>
      <c r="R325" t="inlineStr"/>
    </row>
    <row r="326">
      <c r="A326" t="inlineStr">
        <is>
          <t>mode.Survival/aurel</t>
        </is>
      </c>
      <c r="B326" t="inlineStr">
        <is>
          <t>mode.Survival</t>
        </is>
      </c>
      <c r="C326" t="inlineStr">
        <is>
          <t>aurel</t>
        </is>
      </c>
      <c r="D326">
        <f>AI_ho_so_anh_xa!$D$29</f>
        <v/>
      </c>
      <c r="E326">
        <f>INDEX(AI_ho_so_che_do!$B$2:$B$21,MATCH($D$326,AI_ho_so_che_do!$A$2:$A$21,0))&amp;""</f>
        <v/>
      </c>
      <c r="F326">
        <f>INDEX(AI_ho_so_che_do!$P$2:$P$21,MATCH($D$326,AI_ho_so_che_do!$A$2:$A$21,0))=TRUE</f>
        <v/>
      </c>
      <c r="G326">
        <f>ISNUMBER(FIND(";noGeneralTactic;",";"&amp;INDEX(AI_ho_so_che_do!$O$2:$O$21,MATCH($D$326,AI_ho_so_che_do!$A$2:$A$21,0))&amp;";"))</f>
        <v/>
      </c>
      <c r="H326">
        <f>IF(AI_tuong!$B$2&amp;""&lt;&gt;"",AI_tuong!$B$2,IF(AI_tuong!$B$4&amp;""&lt;&gt;"",AI_tuong!$B$4,"balanced"))</f>
        <v/>
      </c>
      <c r="I326" t="inlineStr">
        <is>
          <t>all_out</t>
        </is>
      </c>
      <c r="J326">
        <f>OR($F$326,AND(AI_ho_so_anh_xa!$B$29="mode",OR(AI_ho_so_anh_xa!$C$29="Weekly",AI_ho_so_anh_xa!$C$29="Operation")))</f>
        <v/>
      </c>
      <c r="K326" t="b">
        <v>0</v>
      </c>
      <c r="L326">
        <f>IF($J$326,$H$326,"balanced")</f>
        <v/>
      </c>
      <c r="M326" t="inlineStr">
        <is>
          <t>balanced</t>
        </is>
      </c>
      <c r="N326">
        <f>IF(OR($E$326="",$G$326),"balanced",IF(OR($E$326="*",ISNUMBER(FIND(";"&amp;$L$326&amp;";",";"&amp;$E$326&amp;";"))),$L$326,IF(ISNUMBER(FIND(";"&amp;"balanced"&amp;";",";"&amp;$E$326&amp;";")),"balanced",LEFT($E$326,FIND(";",$E$326&amp;";")-1))))</f>
        <v/>
      </c>
      <c r="O326" t="inlineStr">
        <is>
          <t>balanced</t>
        </is>
      </c>
      <c r="P326">
        <f>IF(OR($E$326="",$G$326),"KHONG_CHIEN_THUAT",IF(NOT($J$326),IF($H$326="balanced","GIU","CHE_DO_BO_QUA"),IF($N$326=$H$326,"GIU","HO_SO_GHI_DE")))</f>
        <v/>
      </c>
      <c r="Q326" t="inlineStr">
        <is>
          <t>Sim/AI/ConquestAi.P28.cs TickLayered + Sim/AI/Commander.cs AllowedTactic (mode.Survival, aurel)</t>
        </is>
      </c>
      <c r="R326" t="inlineStr"/>
    </row>
    <row r="327">
      <c r="A327" t="inlineStr">
        <is>
          <t>mode.Survival/brandt</t>
        </is>
      </c>
      <c r="B327" t="inlineStr">
        <is>
          <t>mode.Survival</t>
        </is>
      </c>
      <c r="C327" t="inlineStr">
        <is>
          <t>brandt</t>
        </is>
      </c>
      <c r="D327">
        <f>AI_ho_so_anh_xa!$D$29</f>
        <v/>
      </c>
      <c r="E327">
        <f>INDEX(AI_ho_so_che_do!$B$2:$B$21,MATCH($D$327,AI_ho_so_che_do!$A$2:$A$21,0))&amp;""</f>
        <v/>
      </c>
      <c r="F327">
        <f>INDEX(AI_ho_so_che_do!$P$2:$P$21,MATCH($D$327,AI_ho_so_che_do!$A$2:$A$21,0))=TRUE</f>
        <v/>
      </c>
      <c r="G327">
        <f>ISNUMBER(FIND(";noGeneralTactic;",";"&amp;INDEX(AI_ho_so_che_do!$O$2:$O$21,MATCH($D$327,AI_ho_so_che_do!$A$2:$A$21,0))&amp;";"))</f>
        <v/>
      </c>
      <c r="H327">
        <f>IF(AI_tuong!$B$3&amp;""&lt;&gt;"",AI_tuong!$B$3,IF(AI_tuong!$B$4&amp;""&lt;&gt;"",AI_tuong!$B$4,"balanced"))</f>
        <v/>
      </c>
      <c r="I327" t="inlineStr">
        <is>
          <t>depth</t>
        </is>
      </c>
      <c r="J327">
        <f>OR($F$327,AND(AI_ho_so_anh_xa!$B$29="mode",OR(AI_ho_so_anh_xa!$C$29="Weekly",AI_ho_so_anh_xa!$C$29="Operation")))</f>
        <v/>
      </c>
      <c r="K327" t="b">
        <v>0</v>
      </c>
      <c r="L327">
        <f>IF($J$327,$H$327,"balanced")</f>
        <v/>
      </c>
      <c r="M327" t="inlineStr">
        <is>
          <t>balanced</t>
        </is>
      </c>
      <c r="N327">
        <f>IF(OR($E$327="",$G$327),"balanced",IF(OR($E$327="*",ISNUMBER(FIND(";"&amp;$L$327&amp;";",";"&amp;$E$327&amp;";"))),$L$327,IF(ISNUMBER(FIND(";"&amp;"balanced"&amp;";",";"&amp;$E$327&amp;";")),"balanced",LEFT($E$327,FIND(";",$E$327&amp;";")-1))))</f>
        <v/>
      </c>
      <c r="O327" t="inlineStr">
        <is>
          <t>balanced</t>
        </is>
      </c>
      <c r="P327">
        <f>IF(OR($E$327="",$G$327),"KHONG_CHIEN_THUAT",IF(NOT($J$327),IF($H$327="balanced","GIU","CHE_DO_BO_QUA"),IF($N$327=$H$327,"GIU","HO_SO_GHI_DE")))</f>
        <v/>
      </c>
      <c r="Q327" t="inlineStr">
        <is>
          <t>Sim/AI/ConquestAi.P28.cs TickLayered + Sim/AI/Commander.cs AllowedTactic (mode.Survival, brandt)</t>
        </is>
      </c>
      <c r="R327" t="inlineStr"/>
    </row>
    <row r="328">
      <c r="A328" t="inlineStr">
        <is>
          <t>mode.Survival/default</t>
        </is>
      </c>
      <c r="B328" t="inlineStr">
        <is>
          <t>mode.Survival</t>
        </is>
      </c>
      <c r="C328" t="inlineStr">
        <is>
          <t>default</t>
        </is>
      </c>
      <c r="D328">
        <f>AI_ho_so_anh_xa!$D$29</f>
        <v/>
      </c>
      <c r="E328">
        <f>INDEX(AI_ho_so_che_do!$B$2:$B$21,MATCH($D$328,AI_ho_so_che_do!$A$2:$A$21,0))&amp;""</f>
        <v/>
      </c>
      <c r="F328">
        <f>INDEX(AI_ho_so_che_do!$P$2:$P$21,MATCH($D$328,AI_ho_so_che_do!$A$2:$A$21,0))=TRUE</f>
        <v/>
      </c>
      <c r="G328">
        <f>ISNUMBER(FIND(";noGeneralTactic;",";"&amp;INDEX(AI_ho_so_che_do!$O$2:$O$21,MATCH($D$328,AI_ho_so_che_do!$A$2:$A$21,0))&amp;";"))</f>
        <v/>
      </c>
      <c r="H328">
        <f>IF(AI_tuong!$B$4&amp;""&lt;&gt;"",AI_tuong!$B$4,IF(AI_tuong!$B$4&amp;""&lt;&gt;"",AI_tuong!$B$4,"balanced"))</f>
        <v/>
      </c>
      <c r="I328" t="inlineStr">
        <is>
          <t>balanced</t>
        </is>
      </c>
      <c r="J328">
        <f>OR($F$328,AND(AI_ho_so_anh_xa!$B$29="mode",OR(AI_ho_so_anh_xa!$C$29="Weekly",AI_ho_so_anh_xa!$C$29="Operation")))</f>
        <v/>
      </c>
      <c r="K328" t="b">
        <v>0</v>
      </c>
      <c r="L328">
        <f>IF($J$328,$H$328,"balanced")</f>
        <v/>
      </c>
      <c r="M328" t="inlineStr">
        <is>
          <t>balanced</t>
        </is>
      </c>
      <c r="N328">
        <f>IF(OR($E$328="",$G$328),"balanced",IF(OR($E$328="*",ISNUMBER(FIND(";"&amp;$L$328&amp;";",";"&amp;$E$328&amp;";"))),$L$328,IF(ISNUMBER(FIND(";"&amp;"balanced"&amp;";",";"&amp;$E$328&amp;";")),"balanced",LEFT($E$328,FIND(";",$E$328&amp;";")-1))))</f>
        <v/>
      </c>
      <c r="O328" t="inlineStr">
        <is>
          <t>balanced</t>
        </is>
      </c>
      <c r="P328">
        <f>IF(OR($E$328="",$G$328),"KHONG_CHIEN_THUAT",IF(NOT($J$328),IF($H$328="balanced","GIU","CHE_DO_BO_QUA"),IF($N$328=$H$328,"GIU","HO_SO_GHI_DE")))</f>
        <v/>
      </c>
      <c r="Q328" t="inlineStr">
        <is>
          <t>Sim/AI/ConquestAi.P28.cs TickLayered + Sim/AI/Commander.cs AllowedTactic (mode.Survival, default)</t>
        </is>
      </c>
      <c r="R328" t="inlineStr"/>
    </row>
    <row r="329">
      <c r="A329" t="inlineStr">
        <is>
          <t>mode.Survival/hung</t>
        </is>
      </c>
      <c r="B329" t="inlineStr">
        <is>
          <t>mode.Survival</t>
        </is>
      </c>
      <c r="C329" t="inlineStr">
        <is>
          <t>hung</t>
        </is>
      </c>
      <c r="D329">
        <f>AI_ho_so_anh_xa!$D$29</f>
        <v/>
      </c>
      <c r="E329">
        <f>INDEX(AI_ho_so_che_do!$B$2:$B$21,MATCH($D$329,AI_ho_so_che_do!$A$2:$A$21,0))&amp;""</f>
        <v/>
      </c>
      <c r="F329">
        <f>INDEX(AI_ho_so_che_do!$P$2:$P$21,MATCH($D$329,AI_ho_so_che_do!$A$2:$A$21,0))=TRUE</f>
        <v/>
      </c>
      <c r="G329">
        <f>ISNUMBER(FIND(";noGeneralTactic;",";"&amp;INDEX(AI_ho_so_che_do!$O$2:$O$21,MATCH($D$329,AI_ho_so_che_do!$A$2:$A$21,0))&amp;";"))</f>
        <v/>
      </c>
      <c r="H329">
        <f>IF(AI_tuong!$B$5&amp;""&lt;&gt;"",AI_tuong!$B$5,IF(AI_tuong!$B$4&amp;""&lt;&gt;"",AI_tuong!$B$4,"balanced"))</f>
        <v/>
      </c>
      <c r="I329" t="inlineStr">
        <is>
          <t>balanced</t>
        </is>
      </c>
      <c r="J329">
        <f>OR($F$329,AND(AI_ho_so_anh_xa!$B$29="mode",OR(AI_ho_so_anh_xa!$C$29="Weekly",AI_ho_so_anh_xa!$C$29="Operation")))</f>
        <v/>
      </c>
      <c r="K329" t="b">
        <v>0</v>
      </c>
      <c r="L329">
        <f>IF($J$329,$H$329,"balanced")</f>
        <v/>
      </c>
      <c r="M329" t="inlineStr">
        <is>
          <t>balanced</t>
        </is>
      </c>
      <c r="N329">
        <f>IF(OR($E$329="",$G$329),"balanced",IF(OR($E$329="*",ISNUMBER(FIND(";"&amp;$L$329&amp;";",";"&amp;$E$329&amp;";"))),$L$329,IF(ISNUMBER(FIND(";"&amp;"balanced"&amp;";",";"&amp;$E$329&amp;";")),"balanced",LEFT($E$329,FIND(";",$E$329&amp;";")-1))))</f>
        <v/>
      </c>
      <c r="O329" t="inlineStr">
        <is>
          <t>balanced</t>
        </is>
      </c>
      <c r="P329">
        <f>IF(OR($E$329="",$G$329),"KHONG_CHIEN_THUAT",IF(NOT($J$329),IF($H$329="balanced","GIU","CHE_DO_BO_QUA"),IF($N$329=$H$329,"GIU","HO_SO_GHI_DE")))</f>
        <v/>
      </c>
      <c r="Q329" t="inlineStr">
        <is>
          <t>Sim/AI/ConquestAi.P28.cs TickLayered + Sim/AI/Commander.cs AllowedTactic (mode.Survival, hung)</t>
        </is>
      </c>
      <c r="R329" t="inlineStr"/>
    </row>
    <row r="330">
      <c r="A330" t="inlineStr">
        <is>
          <t>mode.Survival/kessler</t>
        </is>
      </c>
      <c r="B330" t="inlineStr">
        <is>
          <t>mode.Survival</t>
        </is>
      </c>
      <c r="C330" t="inlineStr">
        <is>
          <t>kessler</t>
        </is>
      </c>
      <c r="D330">
        <f>AI_ho_so_anh_xa!$D$29</f>
        <v/>
      </c>
      <c r="E330">
        <f>INDEX(AI_ho_so_che_do!$B$2:$B$21,MATCH($D$330,AI_ho_so_che_do!$A$2:$A$21,0))&amp;""</f>
        <v/>
      </c>
      <c r="F330">
        <f>INDEX(AI_ho_so_che_do!$P$2:$P$21,MATCH($D$330,AI_ho_so_che_do!$A$2:$A$21,0))=TRUE</f>
        <v/>
      </c>
      <c r="G330">
        <f>ISNUMBER(FIND(";noGeneralTactic;",";"&amp;INDEX(AI_ho_so_che_do!$O$2:$O$21,MATCH($D$330,AI_ho_so_che_do!$A$2:$A$21,0))&amp;";"))</f>
        <v/>
      </c>
      <c r="H330">
        <f>IF(AI_tuong!$B$6&amp;""&lt;&gt;"",AI_tuong!$B$6,IF(AI_tuong!$B$4&amp;""&lt;&gt;"",AI_tuong!$B$4,"balanced"))</f>
        <v/>
      </c>
      <c r="I330" t="inlineStr">
        <is>
          <t>attrition</t>
        </is>
      </c>
      <c r="J330">
        <f>OR($F$330,AND(AI_ho_so_anh_xa!$B$29="mode",OR(AI_ho_so_anh_xa!$C$29="Weekly",AI_ho_so_anh_xa!$C$29="Operation")))</f>
        <v/>
      </c>
      <c r="K330" t="b">
        <v>0</v>
      </c>
      <c r="L330">
        <f>IF($J$330,$H$330,"balanced")</f>
        <v/>
      </c>
      <c r="M330" t="inlineStr">
        <is>
          <t>balanced</t>
        </is>
      </c>
      <c r="N330">
        <f>IF(OR($E$330="",$G$330),"balanced",IF(OR($E$330="*",ISNUMBER(FIND(";"&amp;$L$330&amp;";",";"&amp;$E$330&amp;";"))),$L$330,IF(ISNUMBER(FIND(";"&amp;"balanced"&amp;";",";"&amp;$E$330&amp;";")),"balanced",LEFT($E$330,FIND(";",$E$330&amp;";")-1))))</f>
        <v/>
      </c>
      <c r="O330" t="inlineStr">
        <is>
          <t>balanced</t>
        </is>
      </c>
      <c r="P330">
        <f>IF(OR($E$330="",$G$330),"KHONG_CHIEN_THUAT",IF(NOT($J$330),IF($H$330="balanced","GIU","CHE_DO_BO_QUA"),IF($N$330=$H$330,"GIU","HO_SO_GHI_DE")))</f>
        <v/>
      </c>
      <c r="Q330" t="inlineStr">
        <is>
          <t>Sim/AI/ConquestAi.P28.cs TickLayered + Sim/AI/Commander.cs AllowedTactic (mode.Survival, kessler)</t>
        </is>
      </c>
      <c r="R330" t="inlineStr"/>
    </row>
    <row r="331">
      <c r="A331" t="inlineStr">
        <is>
          <t>mode.Survival/orlov</t>
        </is>
      </c>
      <c r="B331" t="inlineStr">
        <is>
          <t>mode.Survival</t>
        </is>
      </c>
      <c r="C331" t="inlineStr">
        <is>
          <t>orlov</t>
        </is>
      </c>
      <c r="D331">
        <f>AI_ho_so_anh_xa!$D$29</f>
        <v/>
      </c>
      <c r="E331">
        <f>INDEX(AI_ho_so_che_do!$B$2:$B$21,MATCH($D$331,AI_ho_so_che_do!$A$2:$A$21,0))&amp;""</f>
        <v/>
      </c>
      <c r="F331">
        <f>INDEX(AI_ho_so_che_do!$P$2:$P$21,MATCH($D$331,AI_ho_so_che_do!$A$2:$A$21,0))=TRUE</f>
        <v/>
      </c>
      <c r="G331">
        <f>ISNUMBER(FIND(";noGeneralTactic;",";"&amp;INDEX(AI_ho_so_che_do!$O$2:$O$21,MATCH($D$331,AI_ho_so_che_do!$A$2:$A$21,0))&amp;";"))</f>
        <v/>
      </c>
      <c r="H331">
        <f>IF(AI_tuong!$B$7&amp;""&lt;&gt;"",AI_tuong!$B$7,IF(AI_tuong!$B$4&amp;""&lt;&gt;"",AI_tuong!$B$4,"balanced"))</f>
        <v/>
      </c>
      <c r="I331" t="inlineStr">
        <is>
          <t>firepower</t>
        </is>
      </c>
      <c r="J331">
        <f>OR($F$331,AND(AI_ho_so_anh_xa!$B$29="mode",OR(AI_ho_so_anh_xa!$C$29="Weekly",AI_ho_so_anh_xa!$C$29="Operation")))</f>
        <v/>
      </c>
      <c r="K331" t="b">
        <v>0</v>
      </c>
      <c r="L331">
        <f>IF($J$331,$H$331,"balanced")</f>
        <v/>
      </c>
      <c r="M331" t="inlineStr">
        <is>
          <t>balanced</t>
        </is>
      </c>
      <c r="N331">
        <f>IF(OR($E$331="",$G$331),"balanced",IF(OR($E$331="*",ISNUMBER(FIND(";"&amp;$L$331&amp;";",";"&amp;$E$331&amp;";"))),$L$331,IF(ISNUMBER(FIND(";"&amp;"balanced"&amp;";",";"&amp;$E$331&amp;";")),"balanced",LEFT($E$331,FIND(";",$E$331&amp;";")-1))))</f>
        <v/>
      </c>
      <c r="O331" t="inlineStr">
        <is>
          <t>balanced</t>
        </is>
      </c>
      <c r="P331">
        <f>IF(OR($E$331="",$G$331),"KHONG_CHIEN_THUAT",IF(NOT($J$331),IF($H$331="balanced","GIU","CHE_DO_BO_QUA"),IF($N$331=$H$331,"GIU","HO_SO_GHI_DE")))</f>
        <v/>
      </c>
      <c r="Q331" t="inlineStr">
        <is>
          <t>Sim/AI/ConquestAi.P28.cs TickLayered + Sim/AI/Commander.cs AllowedTactic (mode.Survival, orlov)</t>
        </is>
      </c>
      <c r="R331" t="inlineStr"/>
    </row>
    <row r="332">
      <c r="A332" t="inlineStr">
        <is>
          <t>mode.Survival/quaden</t>
        </is>
      </c>
      <c r="B332" t="inlineStr">
        <is>
          <t>mode.Survival</t>
        </is>
      </c>
      <c r="C332" t="inlineStr">
        <is>
          <t>quaden</t>
        </is>
      </c>
      <c r="D332">
        <f>AI_ho_so_anh_xa!$D$29</f>
        <v/>
      </c>
      <c r="E332">
        <f>INDEX(AI_ho_so_che_do!$B$2:$B$21,MATCH($D$332,AI_ho_so_che_do!$A$2:$A$21,0))&amp;""</f>
        <v/>
      </c>
      <c r="F332">
        <f>INDEX(AI_ho_so_che_do!$P$2:$P$21,MATCH($D$332,AI_ho_so_che_do!$A$2:$A$21,0))=TRUE</f>
        <v/>
      </c>
      <c r="G332">
        <f>ISNUMBER(FIND(";noGeneralTactic;",";"&amp;INDEX(AI_ho_so_che_do!$O$2:$O$21,MATCH($D$332,AI_ho_so_che_do!$A$2:$A$21,0))&amp;";"))</f>
        <v/>
      </c>
      <c r="H332">
        <f>IF(AI_tuong!$B$8&amp;""&lt;&gt;"",AI_tuong!$B$8,IF(AI_tuong!$B$4&amp;""&lt;&gt;"",AI_tuong!$B$4,"balanced"))</f>
        <v/>
      </c>
      <c r="I332" t="inlineStr">
        <is>
          <t>balanced</t>
        </is>
      </c>
      <c r="J332">
        <f>OR($F$332,AND(AI_ho_so_anh_xa!$B$29="mode",OR(AI_ho_so_anh_xa!$C$29="Weekly",AI_ho_so_anh_xa!$C$29="Operation")))</f>
        <v/>
      </c>
      <c r="K332" t="b">
        <v>0</v>
      </c>
      <c r="L332">
        <f>IF($J$332,$H$332,"balanced")</f>
        <v/>
      </c>
      <c r="M332" t="inlineStr">
        <is>
          <t>balanced</t>
        </is>
      </c>
      <c r="N332">
        <f>IF(OR($E$332="",$G$332),"balanced",IF(OR($E$332="*",ISNUMBER(FIND(";"&amp;$L$332&amp;";",";"&amp;$E$332&amp;";"))),$L$332,IF(ISNUMBER(FIND(";"&amp;"balanced"&amp;";",";"&amp;$E$332&amp;";")),"balanced",LEFT($E$332,FIND(";",$E$332&amp;";")-1))))</f>
        <v/>
      </c>
      <c r="O332" t="inlineStr">
        <is>
          <t>balanced</t>
        </is>
      </c>
      <c r="P332">
        <f>IF(OR($E$332="",$G$332),"KHONG_CHIEN_THUAT",IF(NOT($J$332),IF($H$332="balanced","GIU","CHE_DO_BO_QUA"),IF($N$332=$H$332,"GIU","HO_SO_GHI_DE")))</f>
        <v/>
      </c>
      <c r="Q332" t="inlineStr">
        <is>
          <t>Sim/AI/ConquestAi.P28.cs TickLayered + Sim/AI/Commander.cs AllowedTactic (mode.Survival, quaden)</t>
        </is>
      </c>
      <c r="R332" t="inlineStr"/>
    </row>
    <row r="333">
      <c r="A333" t="inlineStr">
        <is>
          <t>mode.Survival/sen</t>
        </is>
      </c>
      <c r="B333" t="inlineStr">
        <is>
          <t>mode.Survival</t>
        </is>
      </c>
      <c r="C333" t="inlineStr">
        <is>
          <t>sen</t>
        </is>
      </c>
      <c r="D333">
        <f>AI_ho_so_anh_xa!$D$29</f>
        <v/>
      </c>
      <c r="E333">
        <f>INDEX(AI_ho_so_che_do!$B$2:$B$21,MATCH($D$333,AI_ho_so_che_do!$A$2:$A$21,0))&amp;""</f>
        <v/>
      </c>
      <c r="F333">
        <f>INDEX(AI_ho_so_che_do!$P$2:$P$21,MATCH($D$333,AI_ho_so_che_do!$A$2:$A$21,0))=TRUE</f>
        <v/>
      </c>
      <c r="G333">
        <f>ISNUMBER(FIND(";noGeneralTactic;",";"&amp;INDEX(AI_ho_so_che_do!$O$2:$O$21,MATCH($D$333,AI_ho_so_che_do!$A$2:$A$21,0))&amp;";"))</f>
        <v/>
      </c>
      <c r="H333">
        <f>IF(AI_tuong!$B$9&amp;""&lt;&gt;"",AI_tuong!$B$9,IF(AI_tuong!$B$4&amp;""&lt;&gt;"",AI_tuong!$B$4,"balanced"))</f>
        <v/>
      </c>
      <c r="I333" t="inlineStr">
        <is>
          <t>balanced</t>
        </is>
      </c>
      <c r="J333">
        <f>OR($F$333,AND(AI_ho_so_anh_xa!$B$29="mode",OR(AI_ho_so_anh_xa!$C$29="Weekly",AI_ho_so_anh_xa!$C$29="Operation")))</f>
        <v/>
      </c>
      <c r="K333" t="b">
        <v>0</v>
      </c>
      <c r="L333">
        <f>IF($J$333,$H$333,"balanced")</f>
        <v/>
      </c>
      <c r="M333" t="inlineStr">
        <is>
          <t>balanced</t>
        </is>
      </c>
      <c r="N333">
        <f>IF(OR($E$333="",$G$333),"balanced",IF(OR($E$333="*",ISNUMBER(FIND(";"&amp;$L$333&amp;";",";"&amp;$E$333&amp;";"))),$L$333,IF(ISNUMBER(FIND(";"&amp;"balanced"&amp;";",";"&amp;$E$333&amp;";")),"balanced",LEFT($E$333,FIND(";",$E$333&amp;";")-1))))</f>
        <v/>
      </c>
      <c r="O333" t="inlineStr">
        <is>
          <t>balanced</t>
        </is>
      </c>
      <c r="P333">
        <f>IF(OR($E$333="",$G$333),"KHONG_CHIEN_THUAT",IF(NOT($J$333),IF($H$333="balanced","GIU","CHE_DO_BO_QUA"),IF($N$333=$H$333,"GIU","HO_SO_GHI_DE")))</f>
        <v/>
      </c>
      <c r="Q333" t="inlineStr">
        <is>
          <t>Sim/AI/ConquestAi.P28.cs TickLayered + Sim/AI/Commander.cs AllowedTactic (mode.Survival, sen)</t>
        </is>
      </c>
      <c r="R333" t="inlineStr"/>
    </row>
    <row r="334">
      <c r="A334" t="inlineStr">
        <is>
          <t>mode.Survival/thorne</t>
        </is>
      </c>
      <c r="B334" t="inlineStr">
        <is>
          <t>mode.Survival</t>
        </is>
      </c>
      <c r="C334" t="inlineStr">
        <is>
          <t>thorne</t>
        </is>
      </c>
      <c r="D334">
        <f>AI_ho_so_anh_xa!$D$29</f>
        <v/>
      </c>
      <c r="E334">
        <f>INDEX(AI_ho_so_che_do!$B$2:$B$21,MATCH($D$334,AI_ho_so_che_do!$A$2:$A$21,0))&amp;""</f>
        <v/>
      </c>
      <c r="F334">
        <f>INDEX(AI_ho_so_che_do!$P$2:$P$21,MATCH($D$334,AI_ho_so_che_do!$A$2:$A$21,0))=TRUE</f>
        <v/>
      </c>
      <c r="G334">
        <f>ISNUMBER(FIND(";noGeneralTactic;",";"&amp;INDEX(AI_ho_so_che_do!$O$2:$O$21,MATCH($D$334,AI_ho_so_che_do!$A$2:$A$21,0))&amp;";"))</f>
        <v/>
      </c>
      <c r="H334">
        <f>IF(AI_tuong!$B$10&amp;""&lt;&gt;"",AI_tuong!$B$10,IF(AI_tuong!$B$4&amp;""&lt;&gt;"",AI_tuong!$B$4,"balanced"))</f>
        <v/>
      </c>
      <c r="I334" t="inlineStr">
        <is>
          <t>balanced</t>
        </is>
      </c>
      <c r="J334">
        <f>OR($F$334,AND(AI_ho_so_anh_xa!$B$29="mode",OR(AI_ho_so_anh_xa!$C$29="Weekly",AI_ho_so_anh_xa!$C$29="Operation")))</f>
        <v/>
      </c>
      <c r="K334" t="b">
        <v>0</v>
      </c>
      <c r="L334">
        <f>IF($J$334,$H$334,"balanced")</f>
        <v/>
      </c>
      <c r="M334" t="inlineStr">
        <is>
          <t>balanced</t>
        </is>
      </c>
      <c r="N334">
        <f>IF(OR($E$334="",$G$334),"balanced",IF(OR($E$334="*",ISNUMBER(FIND(";"&amp;$L$334&amp;";",";"&amp;$E$334&amp;";"))),$L$334,IF(ISNUMBER(FIND(";"&amp;"balanced"&amp;";",";"&amp;$E$334&amp;";")),"balanced",LEFT($E$334,FIND(";",$E$334&amp;";")-1))))</f>
        <v/>
      </c>
      <c r="O334" t="inlineStr">
        <is>
          <t>balanced</t>
        </is>
      </c>
      <c r="P334">
        <f>IF(OR($E$334="",$G$334),"KHONG_CHIEN_THUAT",IF(NOT($J$334),IF($H$334="balanced","GIU","CHE_DO_BO_QUA"),IF($N$334=$H$334,"GIU","HO_SO_GHI_DE")))</f>
        <v/>
      </c>
      <c r="Q334" t="inlineStr">
        <is>
          <t>Sim/AI/ConquestAi.P28.cs TickLayered + Sim/AI/Commander.cs AllowedTactic (mode.Survival, thorne)</t>
        </is>
      </c>
      <c r="R334" t="inlineStr"/>
    </row>
    <row r="335">
      <c r="A335" t="inlineStr">
        <is>
          <t>mode.Survival/varga</t>
        </is>
      </c>
      <c r="B335" t="inlineStr">
        <is>
          <t>mode.Survival</t>
        </is>
      </c>
      <c r="C335" t="inlineStr">
        <is>
          <t>varga</t>
        </is>
      </c>
      <c r="D335">
        <f>AI_ho_so_anh_xa!$D$29</f>
        <v/>
      </c>
      <c r="E335">
        <f>INDEX(AI_ho_so_che_do!$B$2:$B$21,MATCH($D$335,AI_ho_so_che_do!$A$2:$A$21,0))&amp;""</f>
        <v/>
      </c>
      <c r="F335">
        <f>INDEX(AI_ho_so_che_do!$P$2:$P$21,MATCH($D$335,AI_ho_so_che_do!$A$2:$A$21,0))=TRUE</f>
        <v/>
      </c>
      <c r="G335">
        <f>ISNUMBER(FIND(";noGeneralTactic;",";"&amp;INDEX(AI_ho_so_che_do!$O$2:$O$21,MATCH($D$335,AI_ho_so_che_do!$A$2:$A$21,0))&amp;";"))</f>
        <v/>
      </c>
      <c r="H335">
        <f>IF(AI_tuong!$B$11&amp;""&lt;&gt;"",AI_tuong!$B$11,IF(AI_tuong!$B$4&amp;""&lt;&gt;"",AI_tuong!$B$4,"balanced"))</f>
        <v/>
      </c>
      <c r="I335" t="inlineStr">
        <is>
          <t>breakthrough</t>
        </is>
      </c>
      <c r="J335">
        <f>OR($F$335,AND(AI_ho_so_anh_xa!$B$29="mode",OR(AI_ho_so_anh_xa!$C$29="Weekly",AI_ho_so_anh_xa!$C$29="Operation")))</f>
        <v/>
      </c>
      <c r="K335" t="b">
        <v>0</v>
      </c>
      <c r="L335">
        <f>IF($J$335,$H$335,"balanced")</f>
        <v/>
      </c>
      <c r="M335" t="inlineStr">
        <is>
          <t>balanced</t>
        </is>
      </c>
      <c r="N335">
        <f>IF(OR($E$335="",$G$335),"balanced",IF(OR($E$335="*",ISNUMBER(FIND(";"&amp;$L$335&amp;";",";"&amp;$E$335&amp;";"))),$L$335,IF(ISNUMBER(FIND(";"&amp;"balanced"&amp;";",";"&amp;$E$335&amp;";")),"balanced",LEFT($E$335,FIND(";",$E$335&amp;";")-1))))</f>
        <v/>
      </c>
      <c r="O335" t="inlineStr">
        <is>
          <t>balanced</t>
        </is>
      </c>
      <c r="P335">
        <f>IF(OR($E$335="",$G$335),"KHONG_CHIEN_THUAT",IF(NOT($J$335),IF($H$335="balanced","GIU","CHE_DO_BO_QUA"),IF($N$335=$H$335,"GIU","HO_SO_GHI_DE")))</f>
        <v/>
      </c>
      <c r="Q335" t="inlineStr">
        <is>
          <t>Sim/AI/ConquestAi.P28.cs TickLayered + Sim/AI/Commander.cs AllowedTactic (mode.Survival, varga)</t>
        </is>
      </c>
      <c r="R335" t="inlineStr"/>
    </row>
    <row r="336">
      <c r="A336" t="inlineStr">
        <is>
          <t>mode.Survival/venn</t>
        </is>
      </c>
      <c r="B336" t="inlineStr">
        <is>
          <t>mode.Survival</t>
        </is>
      </c>
      <c r="C336" t="inlineStr">
        <is>
          <t>venn</t>
        </is>
      </c>
      <c r="D336">
        <f>AI_ho_so_anh_xa!$D$29</f>
        <v/>
      </c>
      <c r="E336">
        <f>INDEX(AI_ho_so_che_do!$B$2:$B$21,MATCH($D$336,AI_ho_so_che_do!$A$2:$A$21,0))&amp;""</f>
        <v/>
      </c>
      <c r="F336">
        <f>INDEX(AI_ho_so_che_do!$P$2:$P$21,MATCH($D$336,AI_ho_so_che_do!$A$2:$A$21,0))=TRUE</f>
        <v/>
      </c>
      <c r="G336">
        <f>ISNUMBER(FIND(";noGeneralTactic;",";"&amp;INDEX(AI_ho_so_che_do!$O$2:$O$21,MATCH($D$336,AI_ho_so_che_do!$A$2:$A$21,0))&amp;";"))</f>
        <v/>
      </c>
      <c r="H336">
        <f>IF(AI_tuong!$B$12&amp;""&lt;&gt;"",AI_tuong!$B$12,IF(AI_tuong!$B$4&amp;""&lt;&gt;"",AI_tuong!$B$4,"balanced"))</f>
        <v/>
      </c>
      <c r="I336" t="inlineStr">
        <is>
          <t>dispersal</t>
        </is>
      </c>
      <c r="J336">
        <f>OR($F$336,AND(AI_ho_so_anh_xa!$B$29="mode",OR(AI_ho_so_anh_xa!$C$29="Weekly",AI_ho_so_anh_xa!$C$29="Operation")))</f>
        <v/>
      </c>
      <c r="K336" t="b">
        <v>0</v>
      </c>
      <c r="L336">
        <f>IF($J$336,$H$336,"balanced")</f>
        <v/>
      </c>
      <c r="M336" t="inlineStr">
        <is>
          <t>balanced</t>
        </is>
      </c>
      <c r="N336">
        <f>IF(OR($E$336="",$G$336),"balanced",IF(OR($E$336="*",ISNUMBER(FIND(";"&amp;$L$336&amp;";",";"&amp;$E$336&amp;";"))),$L$336,IF(ISNUMBER(FIND(";"&amp;"balanced"&amp;";",";"&amp;$E$336&amp;";")),"balanced",LEFT($E$336,FIND(";",$E$336&amp;";")-1))))</f>
        <v/>
      </c>
      <c r="O336" t="inlineStr">
        <is>
          <t>balanced</t>
        </is>
      </c>
      <c r="P336">
        <f>IF(OR($E$336="",$G$336),"KHONG_CHIEN_THUAT",IF(NOT($J$336),IF($H$336="balanced","GIU","CHE_DO_BO_QUA"),IF($N$336=$H$336,"GIU","HO_SO_GHI_DE")))</f>
        <v/>
      </c>
      <c r="Q336" t="inlineStr">
        <is>
          <t>Sim/AI/ConquestAi.P28.cs TickLayered + Sim/AI/Commander.cs AllowedTactic (mode.Survival, venn)</t>
        </is>
      </c>
      <c r="R336" t="inlineStr"/>
    </row>
    <row r="337">
      <c r="A337" t="inlineStr">
        <is>
          <t>mode.Survival/wolff</t>
        </is>
      </c>
      <c r="B337" t="inlineStr">
        <is>
          <t>mode.Survival</t>
        </is>
      </c>
      <c r="C337" t="inlineStr">
        <is>
          <t>wolff</t>
        </is>
      </c>
      <c r="D337">
        <f>AI_ho_so_anh_xa!$D$29</f>
        <v/>
      </c>
      <c r="E337">
        <f>INDEX(AI_ho_so_che_do!$B$2:$B$21,MATCH($D$337,AI_ho_so_che_do!$A$2:$A$21,0))&amp;""</f>
        <v/>
      </c>
      <c r="F337">
        <f>INDEX(AI_ho_so_che_do!$P$2:$P$21,MATCH($D$337,AI_ho_so_che_do!$A$2:$A$21,0))=TRUE</f>
        <v/>
      </c>
      <c r="G337">
        <f>ISNUMBER(FIND(";noGeneralTactic;",";"&amp;INDEX(AI_ho_so_che_do!$O$2:$O$21,MATCH($D$337,AI_ho_so_che_do!$A$2:$A$21,0))&amp;";"))</f>
        <v/>
      </c>
      <c r="H337">
        <f>IF(AI_tuong!$B$13&amp;""&lt;&gt;"",AI_tuong!$B$13,IF(AI_tuong!$B$4&amp;""&lt;&gt;"",AI_tuong!$B$4,"balanced"))</f>
        <v/>
      </c>
      <c r="I337" t="inlineStr">
        <is>
          <t>air_superiority</t>
        </is>
      </c>
      <c r="J337">
        <f>OR($F$337,AND(AI_ho_so_anh_xa!$B$29="mode",OR(AI_ho_so_anh_xa!$C$29="Weekly",AI_ho_so_anh_xa!$C$29="Operation")))</f>
        <v/>
      </c>
      <c r="K337" t="b">
        <v>0</v>
      </c>
      <c r="L337">
        <f>IF($J$337,$H$337,"balanced")</f>
        <v/>
      </c>
      <c r="M337" t="inlineStr">
        <is>
          <t>balanced</t>
        </is>
      </c>
      <c r="N337">
        <f>IF(OR($E$337="",$G$337),"balanced",IF(OR($E$337="*",ISNUMBER(FIND(";"&amp;$L$337&amp;";",";"&amp;$E$337&amp;";"))),$L$337,IF(ISNUMBER(FIND(";"&amp;"balanced"&amp;";",";"&amp;$E$337&amp;";")),"balanced",LEFT($E$337,FIND(";",$E$337&amp;";")-1))))</f>
        <v/>
      </c>
      <c r="O337" t="inlineStr">
        <is>
          <t>balanced</t>
        </is>
      </c>
      <c r="P337">
        <f>IF(OR($E$337="",$G$337),"KHONG_CHIEN_THUAT",IF(NOT($J$337),IF($H$337="balanced","GIU","CHE_DO_BO_QUA"),IF($N$337=$H$337,"GIU","HO_SO_GHI_DE")))</f>
        <v/>
      </c>
      <c r="Q337" t="inlineStr">
        <is>
          <t>Sim/AI/ConquestAi.P28.cs TickLayered + Sim/AI/Commander.cs AllowedTactic (mode.Survival, wolff)</t>
        </is>
      </c>
      <c r="R337" t="inlineStr"/>
    </row>
    <row r="338">
      <c r="A338" t="inlineStr">
        <is>
          <t>mode.Weekly/aurel</t>
        </is>
      </c>
      <c r="B338" t="inlineStr">
        <is>
          <t>mode.Weekly</t>
        </is>
      </c>
      <c r="C338" t="inlineStr">
        <is>
          <t>aurel</t>
        </is>
      </c>
      <c r="D338">
        <f>AI_ho_so_anh_xa!$D$30</f>
        <v/>
      </c>
      <c r="E338">
        <f>INDEX(AI_ho_so_che_do!$B$2:$B$21,MATCH($D$338,AI_ho_so_che_do!$A$2:$A$21,0))&amp;""</f>
        <v/>
      </c>
      <c r="F338">
        <f>INDEX(AI_ho_so_che_do!$P$2:$P$21,MATCH($D$338,AI_ho_so_che_do!$A$2:$A$21,0))=TRUE</f>
        <v/>
      </c>
      <c r="G338">
        <f>ISNUMBER(FIND(";noGeneralTactic;",";"&amp;INDEX(AI_ho_so_che_do!$O$2:$O$21,MATCH($D$338,AI_ho_so_che_do!$A$2:$A$21,0))&amp;";"))</f>
        <v/>
      </c>
      <c r="H338">
        <f>IF(AI_tuong!$B$2&amp;""&lt;&gt;"",AI_tuong!$B$2,IF(AI_tuong!$B$4&amp;""&lt;&gt;"",AI_tuong!$B$4,"balanced"))</f>
        <v/>
      </c>
      <c r="I338" t="inlineStr">
        <is>
          <t>all_out</t>
        </is>
      </c>
      <c r="J338">
        <f>OR($F$338,AND(AI_ho_so_anh_xa!$B$30="mode",OR(AI_ho_so_anh_xa!$C$30="Weekly",AI_ho_so_anh_xa!$C$30="Operation")))</f>
        <v/>
      </c>
      <c r="K338" t="b">
        <v>1</v>
      </c>
      <c r="L338">
        <f>IF($J$338,$H$338,"balanced")</f>
        <v/>
      </c>
      <c r="M338" t="inlineStr">
        <is>
          <t>all_out</t>
        </is>
      </c>
      <c r="N338">
        <f>IF(OR($E$338="",$G$338),"balanced",IF(OR($E$338="*",ISNUMBER(FIND(";"&amp;$L$338&amp;";",";"&amp;$E$338&amp;";"))),$L$338,IF(ISNUMBER(FIND(";"&amp;"balanced"&amp;";",";"&amp;$E$338&amp;";")),"balanced",LEFT($E$338,FIND(";",$E$338&amp;";")-1))))</f>
        <v/>
      </c>
      <c r="O338" t="inlineStr">
        <is>
          <t>balanced</t>
        </is>
      </c>
      <c r="P338">
        <f>IF(OR($E$338="",$G$338),"KHONG_CHIEN_THUAT",IF(NOT($J$338),IF($H$338="balanced","GIU","CHE_DO_BO_QUA"),IF($N$338=$H$338,"GIU","HO_SO_GHI_DE")))</f>
        <v/>
      </c>
      <c r="Q338" t="inlineStr">
        <is>
          <t>Sim/AI/ConquestAi.P28.cs TickLayered + Sim/AI/Commander.cs AllowedTactic (mode.Weekly, aurel)</t>
        </is>
      </c>
      <c r="R338" t="inlineStr"/>
    </row>
    <row r="339">
      <c r="A339" t="inlineStr">
        <is>
          <t>mode.Weekly/brandt</t>
        </is>
      </c>
      <c r="B339" t="inlineStr">
        <is>
          <t>mode.Weekly</t>
        </is>
      </c>
      <c r="C339" t="inlineStr">
        <is>
          <t>brandt</t>
        </is>
      </c>
      <c r="D339">
        <f>AI_ho_so_anh_xa!$D$30</f>
        <v/>
      </c>
      <c r="E339">
        <f>INDEX(AI_ho_so_che_do!$B$2:$B$21,MATCH($D$339,AI_ho_so_che_do!$A$2:$A$21,0))&amp;""</f>
        <v/>
      </c>
      <c r="F339">
        <f>INDEX(AI_ho_so_che_do!$P$2:$P$21,MATCH($D$339,AI_ho_so_che_do!$A$2:$A$21,0))=TRUE</f>
        <v/>
      </c>
      <c r="G339">
        <f>ISNUMBER(FIND(";noGeneralTactic;",";"&amp;INDEX(AI_ho_so_che_do!$O$2:$O$21,MATCH($D$339,AI_ho_so_che_do!$A$2:$A$21,0))&amp;";"))</f>
        <v/>
      </c>
      <c r="H339">
        <f>IF(AI_tuong!$B$3&amp;""&lt;&gt;"",AI_tuong!$B$3,IF(AI_tuong!$B$4&amp;""&lt;&gt;"",AI_tuong!$B$4,"balanced"))</f>
        <v/>
      </c>
      <c r="I339" t="inlineStr">
        <is>
          <t>depth</t>
        </is>
      </c>
      <c r="J339">
        <f>OR($F$339,AND(AI_ho_so_anh_xa!$B$30="mode",OR(AI_ho_so_anh_xa!$C$30="Weekly",AI_ho_so_anh_xa!$C$30="Operation")))</f>
        <v/>
      </c>
      <c r="K339" t="b">
        <v>1</v>
      </c>
      <c r="L339">
        <f>IF($J$339,$H$339,"balanced")</f>
        <v/>
      </c>
      <c r="M339" t="inlineStr">
        <is>
          <t>depth</t>
        </is>
      </c>
      <c r="N339">
        <f>IF(OR($E$339="",$G$339),"balanced",IF(OR($E$339="*",ISNUMBER(FIND(";"&amp;$L$339&amp;";",";"&amp;$E$339&amp;";"))),$L$339,IF(ISNUMBER(FIND(";"&amp;"balanced"&amp;";",";"&amp;$E$339&amp;";")),"balanced",LEFT($E$339,FIND(";",$E$339&amp;";")-1))))</f>
        <v/>
      </c>
      <c r="O339" t="inlineStr">
        <is>
          <t>depth</t>
        </is>
      </c>
      <c r="P339">
        <f>IF(OR($E$339="",$G$339),"KHONG_CHIEN_THUAT",IF(NOT($J$339),IF($H$339="balanced","GIU","CHE_DO_BO_QUA"),IF($N$339=$H$339,"GIU","HO_SO_GHI_DE")))</f>
        <v/>
      </c>
      <c r="Q339" t="inlineStr">
        <is>
          <t>Sim/AI/ConquestAi.P28.cs TickLayered + Sim/AI/Commander.cs AllowedTactic (mode.Weekly, brandt)</t>
        </is>
      </c>
      <c r="R339" t="inlineStr"/>
    </row>
    <row r="340">
      <c r="A340" t="inlineStr">
        <is>
          <t>mode.Weekly/default</t>
        </is>
      </c>
      <c r="B340" t="inlineStr">
        <is>
          <t>mode.Weekly</t>
        </is>
      </c>
      <c r="C340" t="inlineStr">
        <is>
          <t>default</t>
        </is>
      </c>
      <c r="D340">
        <f>AI_ho_so_anh_xa!$D$30</f>
        <v/>
      </c>
      <c r="E340">
        <f>INDEX(AI_ho_so_che_do!$B$2:$B$21,MATCH($D$340,AI_ho_so_che_do!$A$2:$A$21,0))&amp;""</f>
        <v/>
      </c>
      <c r="F340">
        <f>INDEX(AI_ho_so_che_do!$P$2:$P$21,MATCH($D$340,AI_ho_so_che_do!$A$2:$A$21,0))=TRUE</f>
        <v/>
      </c>
      <c r="G340">
        <f>ISNUMBER(FIND(";noGeneralTactic;",";"&amp;INDEX(AI_ho_so_che_do!$O$2:$O$21,MATCH($D$340,AI_ho_so_che_do!$A$2:$A$21,0))&amp;";"))</f>
        <v/>
      </c>
      <c r="H340">
        <f>IF(AI_tuong!$B$4&amp;""&lt;&gt;"",AI_tuong!$B$4,IF(AI_tuong!$B$4&amp;""&lt;&gt;"",AI_tuong!$B$4,"balanced"))</f>
        <v/>
      </c>
      <c r="I340" t="inlineStr">
        <is>
          <t>balanced</t>
        </is>
      </c>
      <c r="J340">
        <f>OR($F$340,AND(AI_ho_so_anh_xa!$B$30="mode",OR(AI_ho_so_anh_xa!$C$30="Weekly",AI_ho_so_anh_xa!$C$30="Operation")))</f>
        <v/>
      </c>
      <c r="K340" t="b">
        <v>1</v>
      </c>
      <c r="L340">
        <f>IF($J$340,$H$340,"balanced")</f>
        <v/>
      </c>
      <c r="M340" t="inlineStr">
        <is>
          <t>balanced</t>
        </is>
      </c>
      <c r="N340">
        <f>IF(OR($E$340="",$G$340),"balanced",IF(OR($E$340="*",ISNUMBER(FIND(";"&amp;$L$340&amp;";",";"&amp;$E$340&amp;";"))),$L$340,IF(ISNUMBER(FIND(";"&amp;"balanced"&amp;";",";"&amp;$E$340&amp;";")),"balanced",LEFT($E$340,FIND(";",$E$340&amp;";")-1))))</f>
        <v/>
      </c>
      <c r="O340" t="inlineStr">
        <is>
          <t>balanced</t>
        </is>
      </c>
      <c r="P340">
        <f>IF(OR($E$340="",$G$340),"KHONG_CHIEN_THUAT",IF(NOT($J$340),IF($H$340="balanced","GIU","CHE_DO_BO_QUA"),IF($N$340=$H$340,"GIU","HO_SO_GHI_DE")))</f>
        <v/>
      </c>
      <c r="Q340" t="inlineStr">
        <is>
          <t>Sim/AI/ConquestAi.P28.cs TickLayered + Sim/AI/Commander.cs AllowedTactic (mode.Weekly, default)</t>
        </is>
      </c>
      <c r="R340" t="inlineStr"/>
    </row>
    <row r="341">
      <c r="A341" t="inlineStr">
        <is>
          <t>mode.Weekly/hung</t>
        </is>
      </c>
      <c r="B341" t="inlineStr">
        <is>
          <t>mode.Weekly</t>
        </is>
      </c>
      <c r="C341" t="inlineStr">
        <is>
          <t>hung</t>
        </is>
      </c>
      <c r="D341">
        <f>AI_ho_so_anh_xa!$D$30</f>
        <v/>
      </c>
      <c r="E341">
        <f>INDEX(AI_ho_so_che_do!$B$2:$B$21,MATCH($D$341,AI_ho_so_che_do!$A$2:$A$21,0))&amp;""</f>
        <v/>
      </c>
      <c r="F341">
        <f>INDEX(AI_ho_so_che_do!$P$2:$P$21,MATCH($D$341,AI_ho_so_che_do!$A$2:$A$21,0))=TRUE</f>
        <v/>
      </c>
      <c r="G341">
        <f>ISNUMBER(FIND(";noGeneralTactic;",";"&amp;INDEX(AI_ho_so_che_do!$O$2:$O$21,MATCH($D$341,AI_ho_so_che_do!$A$2:$A$21,0))&amp;";"))</f>
        <v/>
      </c>
      <c r="H341">
        <f>IF(AI_tuong!$B$5&amp;""&lt;&gt;"",AI_tuong!$B$5,IF(AI_tuong!$B$4&amp;""&lt;&gt;"",AI_tuong!$B$4,"balanced"))</f>
        <v/>
      </c>
      <c r="I341" t="inlineStr">
        <is>
          <t>balanced</t>
        </is>
      </c>
      <c r="J341">
        <f>OR($F$341,AND(AI_ho_so_anh_xa!$B$30="mode",OR(AI_ho_so_anh_xa!$C$30="Weekly",AI_ho_so_anh_xa!$C$30="Operation")))</f>
        <v/>
      </c>
      <c r="K341" t="b">
        <v>1</v>
      </c>
      <c r="L341">
        <f>IF($J$341,$H$341,"balanced")</f>
        <v/>
      </c>
      <c r="M341" t="inlineStr">
        <is>
          <t>balanced</t>
        </is>
      </c>
      <c r="N341">
        <f>IF(OR($E$341="",$G$341),"balanced",IF(OR($E$341="*",ISNUMBER(FIND(";"&amp;$L$341&amp;";",";"&amp;$E$341&amp;";"))),$L$341,IF(ISNUMBER(FIND(";"&amp;"balanced"&amp;";",";"&amp;$E$341&amp;";")),"balanced",LEFT($E$341,FIND(";",$E$341&amp;";")-1))))</f>
        <v/>
      </c>
      <c r="O341" t="inlineStr">
        <is>
          <t>balanced</t>
        </is>
      </c>
      <c r="P341">
        <f>IF(OR($E$341="",$G$341),"KHONG_CHIEN_THUAT",IF(NOT($J$341),IF($H$341="balanced","GIU","CHE_DO_BO_QUA"),IF($N$341=$H$341,"GIU","HO_SO_GHI_DE")))</f>
        <v/>
      </c>
      <c r="Q341" t="inlineStr">
        <is>
          <t>Sim/AI/ConquestAi.P28.cs TickLayered + Sim/AI/Commander.cs AllowedTactic (mode.Weekly, hung)</t>
        </is>
      </c>
      <c r="R341" t="inlineStr"/>
    </row>
    <row r="342">
      <c r="A342" t="inlineStr">
        <is>
          <t>mode.Weekly/kessler</t>
        </is>
      </c>
      <c r="B342" t="inlineStr">
        <is>
          <t>mode.Weekly</t>
        </is>
      </c>
      <c r="C342" t="inlineStr">
        <is>
          <t>kessler</t>
        </is>
      </c>
      <c r="D342">
        <f>AI_ho_so_anh_xa!$D$30</f>
        <v/>
      </c>
      <c r="E342">
        <f>INDEX(AI_ho_so_che_do!$B$2:$B$21,MATCH($D$342,AI_ho_so_che_do!$A$2:$A$21,0))&amp;""</f>
        <v/>
      </c>
      <c r="F342">
        <f>INDEX(AI_ho_so_che_do!$P$2:$P$21,MATCH($D$342,AI_ho_so_che_do!$A$2:$A$21,0))=TRUE</f>
        <v/>
      </c>
      <c r="G342">
        <f>ISNUMBER(FIND(";noGeneralTactic;",";"&amp;INDEX(AI_ho_so_che_do!$O$2:$O$21,MATCH($D$342,AI_ho_so_che_do!$A$2:$A$21,0))&amp;";"))</f>
        <v/>
      </c>
      <c r="H342">
        <f>IF(AI_tuong!$B$6&amp;""&lt;&gt;"",AI_tuong!$B$6,IF(AI_tuong!$B$4&amp;""&lt;&gt;"",AI_tuong!$B$4,"balanced"))</f>
        <v/>
      </c>
      <c r="I342" t="inlineStr">
        <is>
          <t>attrition</t>
        </is>
      </c>
      <c r="J342">
        <f>OR($F$342,AND(AI_ho_so_anh_xa!$B$30="mode",OR(AI_ho_so_anh_xa!$C$30="Weekly",AI_ho_so_anh_xa!$C$30="Operation")))</f>
        <v/>
      </c>
      <c r="K342" t="b">
        <v>1</v>
      </c>
      <c r="L342">
        <f>IF($J$342,$H$342,"balanced")</f>
        <v/>
      </c>
      <c r="M342" t="inlineStr">
        <is>
          <t>attrition</t>
        </is>
      </c>
      <c r="N342">
        <f>IF(OR($E$342="",$G$342),"balanced",IF(OR($E$342="*",ISNUMBER(FIND(";"&amp;$L$342&amp;";",";"&amp;$E$342&amp;";"))),$L$342,IF(ISNUMBER(FIND(";"&amp;"balanced"&amp;";",";"&amp;$E$342&amp;";")),"balanced",LEFT($E$342,FIND(";",$E$342&amp;";")-1))))</f>
        <v/>
      </c>
      <c r="O342" t="inlineStr">
        <is>
          <t>attrition</t>
        </is>
      </c>
      <c r="P342">
        <f>IF(OR($E$342="",$G$342),"KHONG_CHIEN_THUAT",IF(NOT($J$342),IF($H$342="balanced","GIU","CHE_DO_BO_QUA"),IF($N$342=$H$342,"GIU","HO_SO_GHI_DE")))</f>
        <v/>
      </c>
      <c r="Q342" t="inlineStr">
        <is>
          <t>Sim/AI/ConquestAi.P28.cs TickLayered + Sim/AI/Commander.cs AllowedTactic (mode.Weekly, kessler)</t>
        </is>
      </c>
      <c r="R342" t="inlineStr"/>
    </row>
    <row r="343">
      <c r="A343" t="inlineStr">
        <is>
          <t>mode.Weekly/orlov</t>
        </is>
      </c>
      <c r="B343" t="inlineStr">
        <is>
          <t>mode.Weekly</t>
        </is>
      </c>
      <c r="C343" t="inlineStr">
        <is>
          <t>orlov</t>
        </is>
      </c>
      <c r="D343">
        <f>AI_ho_so_anh_xa!$D$30</f>
        <v/>
      </c>
      <c r="E343">
        <f>INDEX(AI_ho_so_che_do!$B$2:$B$21,MATCH($D$343,AI_ho_so_che_do!$A$2:$A$21,0))&amp;""</f>
        <v/>
      </c>
      <c r="F343">
        <f>INDEX(AI_ho_so_che_do!$P$2:$P$21,MATCH($D$343,AI_ho_so_che_do!$A$2:$A$21,0))=TRUE</f>
        <v/>
      </c>
      <c r="G343">
        <f>ISNUMBER(FIND(";noGeneralTactic;",";"&amp;INDEX(AI_ho_so_che_do!$O$2:$O$21,MATCH($D$343,AI_ho_so_che_do!$A$2:$A$21,0))&amp;";"))</f>
        <v/>
      </c>
      <c r="H343">
        <f>IF(AI_tuong!$B$7&amp;""&lt;&gt;"",AI_tuong!$B$7,IF(AI_tuong!$B$4&amp;""&lt;&gt;"",AI_tuong!$B$4,"balanced"))</f>
        <v/>
      </c>
      <c r="I343" t="inlineStr">
        <is>
          <t>firepower</t>
        </is>
      </c>
      <c r="J343">
        <f>OR($F$343,AND(AI_ho_so_anh_xa!$B$30="mode",OR(AI_ho_so_anh_xa!$C$30="Weekly",AI_ho_so_anh_xa!$C$30="Operation")))</f>
        <v/>
      </c>
      <c r="K343" t="b">
        <v>1</v>
      </c>
      <c r="L343">
        <f>IF($J$343,$H$343,"balanced")</f>
        <v/>
      </c>
      <c r="M343" t="inlineStr">
        <is>
          <t>firepower</t>
        </is>
      </c>
      <c r="N343">
        <f>IF(OR($E$343="",$G$343),"balanced",IF(OR($E$343="*",ISNUMBER(FIND(";"&amp;$L$343&amp;";",";"&amp;$E$343&amp;";"))),$L$343,IF(ISNUMBER(FIND(";"&amp;"balanced"&amp;";",";"&amp;$E$343&amp;";")),"balanced",LEFT($E$343,FIND(";",$E$343&amp;";")-1))))</f>
        <v/>
      </c>
      <c r="O343" t="inlineStr">
        <is>
          <t>balanced</t>
        </is>
      </c>
      <c r="P343">
        <f>IF(OR($E$343="",$G$343),"KHONG_CHIEN_THUAT",IF(NOT($J$343),IF($H$343="balanced","GIU","CHE_DO_BO_QUA"),IF($N$343=$H$343,"GIU","HO_SO_GHI_DE")))</f>
        <v/>
      </c>
      <c r="Q343" t="inlineStr">
        <is>
          <t>Sim/AI/ConquestAi.P28.cs TickLayered + Sim/AI/Commander.cs AllowedTactic (mode.Weekly, orlov)</t>
        </is>
      </c>
      <c r="R343" t="inlineStr"/>
    </row>
    <row r="344">
      <c r="A344" t="inlineStr">
        <is>
          <t>mode.Weekly/quaden</t>
        </is>
      </c>
      <c r="B344" t="inlineStr">
        <is>
          <t>mode.Weekly</t>
        </is>
      </c>
      <c r="C344" t="inlineStr">
        <is>
          <t>quaden</t>
        </is>
      </c>
      <c r="D344">
        <f>AI_ho_so_anh_xa!$D$30</f>
        <v/>
      </c>
      <c r="E344">
        <f>INDEX(AI_ho_so_che_do!$B$2:$B$21,MATCH($D$344,AI_ho_so_che_do!$A$2:$A$21,0))&amp;""</f>
        <v/>
      </c>
      <c r="F344">
        <f>INDEX(AI_ho_so_che_do!$P$2:$P$21,MATCH($D$344,AI_ho_so_che_do!$A$2:$A$21,0))=TRUE</f>
        <v/>
      </c>
      <c r="G344">
        <f>ISNUMBER(FIND(";noGeneralTactic;",";"&amp;INDEX(AI_ho_so_che_do!$O$2:$O$21,MATCH($D$344,AI_ho_so_che_do!$A$2:$A$21,0))&amp;";"))</f>
        <v/>
      </c>
      <c r="H344">
        <f>IF(AI_tuong!$B$8&amp;""&lt;&gt;"",AI_tuong!$B$8,IF(AI_tuong!$B$4&amp;""&lt;&gt;"",AI_tuong!$B$4,"balanced"))</f>
        <v/>
      </c>
      <c r="I344" t="inlineStr">
        <is>
          <t>balanced</t>
        </is>
      </c>
      <c r="J344">
        <f>OR($F$344,AND(AI_ho_so_anh_xa!$B$30="mode",OR(AI_ho_so_anh_xa!$C$30="Weekly",AI_ho_so_anh_xa!$C$30="Operation")))</f>
        <v/>
      </c>
      <c r="K344" t="b">
        <v>1</v>
      </c>
      <c r="L344">
        <f>IF($J$344,$H$344,"balanced")</f>
        <v/>
      </c>
      <c r="M344" t="inlineStr">
        <is>
          <t>balanced</t>
        </is>
      </c>
      <c r="N344">
        <f>IF(OR($E$344="",$G$344),"balanced",IF(OR($E$344="*",ISNUMBER(FIND(";"&amp;$L$344&amp;";",";"&amp;$E$344&amp;";"))),$L$344,IF(ISNUMBER(FIND(";"&amp;"balanced"&amp;";",";"&amp;$E$344&amp;";")),"balanced",LEFT($E$344,FIND(";",$E$344&amp;";")-1))))</f>
        <v/>
      </c>
      <c r="O344" t="inlineStr">
        <is>
          <t>balanced</t>
        </is>
      </c>
      <c r="P344">
        <f>IF(OR($E$344="",$G$344),"KHONG_CHIEN_THUAT",IF(NOT($J$344),IF($H$344="balanced","GIU","CHE_DO_BO_QUA"),IF($N$344=$H$344,"GIU","HO_SO_GHI_DE")))</f>
        <v/>
      </c>
      <c r="Q344" t="inlineStr">
        <is>
          <t>Sim/AI/ConquestAi.P28.cs TickLayered + Sim/AI/Commander.cs AllowedTactic (mode.Weekly, quaden)</t>
        </is>
      </c>
      <c r="R344" t="inlineStr"/>
    </row>
    <row r="345">
      <c r="A345" t="inlineStr">
        <is>
          <t>mode.Weekly/sen</t>
        </is>
      </c>
      <c r="B345" t="inlineStr">
        <is>
          <t>mode.Weekly</t>
        </is>
      </c>
      <c r="C345" t="inlineStr">
        <is>
          <t>sen</t>
        </is>
      </c>
      <c r="D345">
        <f>AI_ho_so_anh_xa!$D$30</f>
        <v/>
      </c>
      <c r="E345">
        <f>INDEX(AI_ho_so_che_do!$B$2:$B$21,MATCH($D$345,AI_ho_so_che_do!$A$2:$A$21,0))&amp;""</f>
        <v/>
      </c>
      <c r="F345">
        <f>INDEX(AI_ho_so_che_do!$P$2:$P$21,MATCH($D$345,AI_ho_so_che_do!$A$2:$A$21,0))=TRUE</f>
        <v/>
      </c>
      <c r="G345">
        <f>ISNUMBER(FIND(";noGeneralTactic;",";"&amp;INDEX(AI_ho_so_che_do!$O$2:$O$21,MATCH($D$345,AI_ho_so_che_do!$A$2:$A$21,0))&amp;";"))</f>
        <v/>
      </c>
      <c r="H345">
        <f>IF(AI_tuong!$B$9&amp;""&lt;&gt;"",AI_tuong!$B$9,IF(AI_tuong!$B$4&amp;""&lt;&gt;"",AI_tuong!$B$4,"balanced"))</f>
        <v/>
      </c>
      <c r="I345" t="inlineStr">
        <is>
          <t>balanced</t>
        </is>
      </c>
      <c r="J345">
        <f>OR($F$345,AND(AI_ho_so_anh_xa!$B$30="mode",OR(AI_ho_so_anh_xa!$C$30="Weekly",AI_ho_so_anh_xa!$C$30="Operation")))</f>
        <v/>
      </c>
      <c r="K345" t="b">
        <v>1</v>
      </c>
      <c r="L345">
        <f>IF($J$345,$H$345,"balanced")</f>
        <v/>
      </c>
      <c r="M345" t="inlineStr">
        <is>
          <t>balanced</t>
        </is>
      </c>
      <c r="N345">
        <f>IF(OR($E$345="",$G$345),"balanced",IF(OR($E$345="*",ISNUMBER(FIND(";"&amp;$L$345&amp;";",";"&amp;$E$345&amp;";"))),$L$345,IF(ISNUMBER(FIND(";"&amp;"balanced"&amp;";",";"&amp;$E$345&amp;";")),"balanced",LEFT($E$345,FIND(";",$E$345&amp;";")-1))))</f>
        <v/>
      </c>
      <c r="O345" t="inlineStr">
        <is>
          <t>balanced</t>
        </is>
      </c>
      <c r="P345">
        <f>IF(OR($E$345="",$G$345),"KHONG_CHIEN_THUAT",IF(NOT($J$345),IF($H$345="balanced","GIU","CHE_DO_BO_QUA"),IF($N$345=$H$345,"GIU","HO_SO_GHI_DE")))</f>
        <v/>
      </c>
      <c r="Q345" t="inlineStr">
        <is>
          <t>Sim/AI/ConquestAi.P28.cs TickLayered + Sim/AI/Commander.cs AllowedTactic (mode.Weekly, sen)</t>
        </is>
      </c>
      <c r="R345" t="inlineStr"/>
    </row>
    <row r="346">
      <c r="A346" t="inlineStr">
        <is>
          <t>mode.Weekly/thorne</t>
        </is>
      </c>
      <c r="B346" t="inlineStr">
        <is>
          <t>mode.Weekly</t>
        </is>
      </c>
      <c r="C346" t="inlineStr">
        <is>
          <t>thorne</t>
        </is>
      </c>
      <c r="D346">
        <f>AI_ho_so_anh_xa!$D$30</f>
        <v/>
      </c>
      <c r="E346">
        <f>INDEX(AI_ho_so_che_do!$B$2:$B$21,MATCH($D$346,AI_ho_so_che_do!$A$2:$A$21,0))&amp;""</f>
        <v/>
      </c>
      <c r="F346">
        <f>INDEX(AI_ho_so_che_do!$P$2:$P$21,MATCH($D$346,AI_ho_so_che_do!$A$2:$A$21,0))=TRUE</f>
        <v/>
      </c>
      <c r="G346">
        <f>ISNUMBER(FIND(";noGeneralTactic;",";"&amp;INDEX(AI_ho_so_che_do!$O$2:$O$21,MATCH($D$346,AI_ho_so_che_do!$A$2:$A$21,0))&amp;";"))</f>
        <v/>
      </c>
      <c r="H346">
        <f>IF(AI_tuong!$B$10&amp;""&lt;&gt;"",AI_tuong!$B$10,IF(AI_tuong!$B$4&amp;""&lt;&gt;"",AI_tuong!$B$4,"balanced"))</f>
        <v/>
      </c>
      <c r="I346" t="inlineStr">
        <is>
          <t>balanced</t>
        </is>
      </c>
      <c r="J346">
        <f>OR($F$346,AND(AI_ho_so_anh_xa!$B$30="mode",OR(AI_ho_so_anh_xa!$C$30="Weekly",AI_ho_so_anh_xa!$C$30="Operation")))</f>
        <v/>
      </c>
      <c r="K346" t="b">
        <v>1</v>
      </c>
      <c r="L346">
        <f>IF($J$346,$H$346,"balanced")</f>
        <v/>
      </c>
      <c r="M346" t="inlineStr">
        <is>
          <t>balanced</t>
        </is>
      </c>
      <c r="N346">
        <f>IF(OR($E$346="",$G$346),"balanced",IF(OR($E$346="*",ISNUMBER(FIND(";"&amp;$L$346&amp;";",";"&amp;$E$346&amp;";"))),$L$346,IF(ISNUMBER(FIND(";"&amp;"balanced"&amp;";",";"&amp;$E$346&amp;";")),"balanced",LEFT($E$346,FIND(";",$E$346&amp;";")-1))))</f>
        <v/>
      </c>
      <c r="O346" t="inlineStr">
        <is>
          <t>balanced</t>
        </is>
      </c>
      <c r="P346">
        <f>IF(OR($E$346="",$G$346),"KHONG_CHIEN_THUAT",IF(NOT($J$346),IF($H$346="balanced","GIU","CHE_DO_BO_QUA"),IF($N$346=$H$346,"GIU","HO_SO_GHI_DE")))</f>
        <v/>
      </c>
      <c r="Q346" t="inlineStr">
        <is>
          <t>Sim/AI/ConquestAi.P28.cs TickLayered + Sim/AI/Commander.cs AllowedTactic (mode.Weekly, thorne)</t>
        </is>
      </c>
      <c r="R346" t="inlineStr"/>
    </row>
    <row r="347">
      <c r="A347" t="inlineStr">
        <is>
          <t>mode.Weekly/varga</t>
        </is>
      </c>
      <c r="B347" t="inlineStr">
        <is>
          <t>mode.Weekly</t>
        </is>
      </c>
      <c r="C347" t="inlineStr">
        <is>
          <t>varga</t>
        </is>
      </c>
      <c r="D347">
        <f>AI_ho_so_anh_xa!$D$30</f>
        <v/>
      </c>
      <c r="E347">
        <f>INDEX(AI_ho_so_che_do!$B$2:$B$21,MATCH($D$347,AI_ho_so_che_do!$A$2:$A$21,0))&amp;""</f>
        <v/>
      </c>
      <c r="F347">
        <f>INDEX(AI_ho_so_che_do!$P$2:$P$21,MATCH($D$347,AI_ho_so_che_do!$A$2:$A$21,0))=TRUE</f>
        <v/>
      </c>
      <c r="G347">
        <f>ISNUMBER(FIND(";noGeneralTactic;",";"&amp;INDEX(AI_ho_so_che_do!$O$2:$O$21,MATCH($D$347,AI_ho_so_che_do!$A$2:$A$21,0))&amp;";"))</f>
        <v/>
      </c>
      <c r="H347">
        <f>IF(AI_tuong!$B$11&amp;""&lt;&gt;"",AI_tuong!$B$11,IF(AI_tuong!$B$4&amp;""&lt;&gt;"",AI_tuong!$B$4,"balanced"))</f>
        <v/>
      </c>
      <c r="I347" t="inlineStr">
        <is>
          <t>breakthrough</t>
        </is>
      </c>
      <c r="J347">
        <f>OR($F$347,AND(AI_ho_so_anh_xa!$B$30="mode",OR(AI_ho_so_anh_xa!$C$30="Weekly",AI_ho_so_anh_xa!$C$30="Operation")))</f>
        <v/>
      </c>
      <c r="K347" t="b">
        <v>1</v>
      </c>
      <c r="L347">
        <f>IF($J$347,$H$347,"balanced")</f>
        <v/>
      </c>
      <c r="M347" t="inlineStr">
        <is>
          <t>breakthrough</t>
        </is>
      </c>
      <c r="N347">
        <f>IF(OR($E$347="",$G$347),"balanced",IF(OR($E$347="*",ISNUMBER(FIND(";"&amp;$L$347&amp;";",";"&amp;$E$347&amp;";"))),$L$347,IF(ISNUMBER(FIND(";"&amp;"balanced"&amp;";",";"&amp;$E$347&amp;";")),"balanced",LEFT($E$347,FIND(";",$E$347&amp;";")-1))))</f>
        <v/>
      </c>
      <c r="O347" t="inlineStr">
        <is>
          <t>balanced</t>
        </is>
      </c>
      <c r="P347">
        <f>IF(OR($E$347="",$G$347),"KHONG_CHIEN_THUAT",IF(NOT($J$347),IF($H$347="balanced","GIU","CHE_DO_BO_QUA"),IF($N$347=$H$347,"GIU","HO_SO_GHI_DE")))</f>
        <v/>
      </c>
      <c r="Q347" t="inlineStr">
        <is>
          <t>Sim/AI/ConquestAi.P28.cs TickLayered + Sim/AI/Commander.cs AllowedTactic (mode.Weekly, varga)</t>
        </is>
      </c>
      <c r="R347" t="inlineStr"/>
    </row>
    <row r="348">
      <c r="A348" t="inlineStr">
        <is>
          <t>mode.Weekly/venn</t>
        </is>
      </c>
      <c r="B348" t="inlineStr">
        <is>
          <t>mode.Weekly</t>
        </is>
      </c>
      <c r="C348" t="inlineStr">
        <is>
          <t>venn</t>
        </is>
      </c>
      <c r="D348">
        <f>AI_ho_so_anh_xa!$D$30</f>
        <v/>
      </c>
      <c r="E348">
        <f>INDEX(AI_ho_so_che_do!$B$2:$B$21,MATCH($D$348,AI_ho_so_che_do!$A$2:$A$21,0))&amp;""</f>
        <v/>
      </c>
      <c r="F348">
        <f>INDEX(AI_ho_so_che_do!$P$2:$P$21,MATCH($D$348,AI_ho_so_che_do!$A$2:$A$21,0))=TRUE</f>
        <v/>
      </c>
      <c r="G348">
        <f>ISNUMBER(FIND(";noGeneralTactic;",";"&amp;INDEX(AI_ho_so_che_do!$O$2:$O$21,MATCH($D$348,AI_ho_so_che_do!$A$2:$A$21,0))&amp;";"))</f>
        <v/>
      </c>
      <c r="H348">
        <f>IF(AI_tuong!$B$12&amp;""&lt;&gt;"",AI_tuong!$B$12,IF(AI_tuong!$B$4&amp;""&lt;&gt;"",AI_tuong!$B$4,"balanced"))</f>
        <v/>
      </c>
      <c r="I348" t="inlineStr">
        <is>
          <t>dispersal</t>
        </is>
      </c>
      <c r="J348">
        <f>OR($F$348,AND(AI_ho_so_anh_xa!$B$30="mode",OR(AI_ho_so_anh_xa!$C$30="Weekly",AI_ho_so_anh_xa!$C$30="Operation")))</f>
        <v/>
      </c>
      <c r="K348" t="b">
        <v>1</v>
      </c>
      <c r="L348">
        <f>IF($J$348,$H$348,"balanced")</f>
        <v/>
      </c>
      <c r="M348" t="inlineStr">
        <is>
          <t>dispersal</t>
        </is>
      </c>
      <c r="N348">
        <f>IF(OR($E$348="",$G$348),"balanced",IF(OR($E$348="*",ISNUMBER(FIND(";"&amp;$L$348&amp;";",";"&amp;$E$348&amp;";"))),$L$348,IF(ISNUMBER(FIND(";"&amp;"balanced"&amp;";",";"&amp;$E$348&amp;";")),"balanced",LEFT($E$348,FIND(";",$E$348&amp;";")-1))))</f>
        <v/>
      </c>
      <c r="O348" t="inlineStr">
        <is>
          <t>balanced</t>
        </is>
      </c>
      <c r="P348">
        <f>IF(OR($E$348="",$G$348),"KHONG_CHIEN_THUAT",IF(NOT($J$348),IF($H$348="balanced","GIU","CHE_DO_BO_QUA"),IF($N$348=$H$348,"GIU","HO_SO_GHI_DE")))</f>
        <v/>
      </c>
      <c r="Q348" t="inlineStr">
        <is>
          <t>Sim/AI/ConquestAi.P28.cs TickLayered + Sim/AI/Commander.cs AllowedTactic (mode.Weekly, venn)</t>
        </is>
      </c>
      <c r="R348" t="inlineStr"/>
    </row>
    <row r="349">
      <c r="A349" t="inlineStr">
        <is>
          <t>mode.Weekly/wolff</t>
        </is>
      </c>
      <c r="B349" t="inlineStr">
        <is>
          <t>mode.Weekly</t>
        </is>
      </c>
      <c r="C349" t="inlineStr">
        <is>
          <t>wolff</t>
        </is>
      </c>
      <c r="D349">
        <f>AI_ho_so_anh_xa!$D$30</f>
        <v/>
      </c>
      <c r="E349">
        <f>INDEX(AI_ho_so_che_do!$B$2:$B$21,MATCH($D$349,AI_ho_so_che_do!$A$2:$A$21,0))&amp;""</f>
        <v/>
      </c>
      <c r="F349">
        <f>INDEX(AI_ho_so_che_do!$P$2:$P$21,MATCH($D$349,AI_ho_so_che_do!$A$2:$A$21,0))=TRUE</f>
        <v/>
      </c>
      <c r="G349">
        <f>ISNUMBER(FIND(";noGeneralTactic;",";"&amp;INDEX(AI_ho_so_che_do!$O$2:$O$21,MATCH($D$349,AI_ho_so_che_do!$A$2:$A$21,0))&amp;";"))</f>
        <v/>
      </c>
      <c r="H349">
        <f>IF(AI_tuong!$B$13&amp;""&lt;&gt;"",AI_tuong!$B$13,IF(AI_tuong!$B$4&amp;""&lt;&gt;"",AI_tuong!$B$4,"balanced"))</f>
        <v/>
      </c>
      <c r="I349" t="inlineStr">
        <is>
          <t>air_superiority</t>
        </is>
      </c>
      <c r="J349">
        <f>OR($F$349,AND(AI_ho_so_anh_xa!$B$30="mode",OR(AI_ho_so_anh_xa!$C$30="Weekly",AI_ho_so_anh_xa!$C$30="Operation")))</f>
        <v/>
      </c>
      <c r="K349" t="b">
        <v>1</v>
      </c>
      <c r="L349">
        <f>IF($J$349,$H$349,"balanced")</f>
        <v/>
      </c>
      <c r="M349" t="inlineStr">
        <is>
          <t>air_superiority</t>
        </is>
      </c>
      <c r="N349">
        <f>IF(OR($E$349="",$G$349),"balanced",IF(OR($E$349="*",ISNUMBER(FIND(";"&amp;$L$349&amp;";",";"&amp;$E$349&amp;";"))),$L$349,IF(ISNUMBER(FIND(";"&amp;"balanced"&amp;";",";"&amp;$E$349&amp;";")),"balanced",LEFT($E$349,FIND(";",$E$349&amp;";")-1))))</f>
        <v/>
      </c>
      <c r="O349" t="inlineStr">
        <is>
          <t>balanced</t>
        </is>
      </c>
      <c r="P349">
        <f>IF(OR($E$349="",$G$349),"KHONG_CHIEN_THUAT",IF(NOT($J$349),IF($H$349="balanced","GIU","CHE_DO_BO_QUA"),IF($N$349=$H$349,"GIU","HO_SO_GHI_DE")))</f>
        <v/>
      </c>
      <c r="Q349" t="inlineStr">
        <is>
          <t>Sim/AI/ConquestAi.P28.cs TickLayered + Sim/AI/Commander.cs AllowedTactic (mode.Weekly, wolff)</t>
        </is>
      </c>
      <c r="R349" t="inlineStr"/>
    </row>
  </sheetData>
  <autoFilter ref="A1:R349"/>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9" customWidth="1" min="3" max="3"/>
    <col width="24" customWidth="1" min="4" max="4"/>
    <col width="60" customWidth="1" min="5" max="5"/>
    <col width="60" customWidth="1" min="6" max="6"/>
    <col width="15" customWidth="1" min="7" max="7"/>
    <col width="60" customWidth="1" min="8" max="8"/>
    <col width="40" customWidth="1" min="9" max="9"/>
    <col width="60" customWidth="1" min="10" max="10"/>
    <col width="10" customWidth="1" min="11" max="11"/>
  </cols>
  <sheetData>
    <row r="1">
      <c r="A1" s="1" t="inlineStr">
        <is>
          <t>id</t>
        </is>
      </c>
      <c r="B1" s="1" t="inlineStr">
        <is>
          <t>ho_so</t>
        </is>
      </c>
      <c r="C1" s="1" t="inlineStr">
        <is>
          <t>do_kho</t>
        </is>
      </c>
      <c r="D1" s="1" t="inlineStr">
        <is>
          <t>doi_chien_thuat_do_kho</t>
        </is>
      </c>
      <c r="E1" s="1" t="inlineStr">
        <is>
          <t>so_chien_thuat_cho_phep</t>
        </is>
      </c>
      <c r="F1" s="1" t="inlineStr">
        <is>
          <t>hieu_luc</t>
        </is>
      </c>
      <c r="G1" s="1" t="inlineStr">
        <is>
          <t>hieu_luc_game</t>
        </is>
      </c>
      <c r="H1" s="1" t="inlineStr">
        <is>
          <t>trang_thai</t>
        </is>
      </c>
      <c r="I1" s="1" t="inlineStr">
        <is>
          <t>so_ghi_de_pha</t>
        </is>
      </c>
      <c r="J1" s="1" t="inlineStr">
        <is>
          <t>nguon</t>
        </is>
      </c>
      <c r="K1" s="1" t="inlineStr">
        <is>
          <t>raw_json</t>
        </is>
      </c>
    </row>
    <row r="2">
      <c r="A2" t="inlineStr">
        <is>
          <t>assault/Easy</t>
        </is>
      </c>
      <c r="B2" t="inlineStr">
        <is>
          <t>assault</t>
        </is>
      </c>
      <c r="C2" t="inlineStr">
        <is>
          <t>Easy</t>
        </is>
      </c>
      <c r="D2" t="inlineStr">
        <is>
          <t>Never</t>
        </is>
      </c>
      <c r="E2">
        <f>IF(INDEX(AI_ho_so_che_do!$B$2:$B$21,MATCH($B$2,AI_ho_so_che_do!$A$2:$A$21,0))&amp;""="*",COUNTIFS(Chien_thuat!$A$2:$A$17,"*"),IF(INDEX(AI_ho_so_che_do!$B$2:$B$21,MATCH($B$2,AI_ho_so_che_do!$A$2:$A$21,0))&amp;""="",0,LEN(INDEX(AI_ho_so_che_do!$B$2:$B$21,MATCH($B$2,AI_ho_so_che_do!$A$2:$A$21,0))&amp;"")-LEN(SUBSTITUTE(INDEX(AI_ho_so_che_do!$B$2:$B$21,MATCH($B$2,AI_ho_so_che_do!$A$2:$A$21,0))&amp;"",";",""))+1))</f>
        <v/>
      </c>
      <c r="F2">
        <f>IF(OR($E$2&lt;=1,ISNUMBER(FIND(";noGeneralTactic;",";"&amp;INDEX(AI_ho_so_che_do!$O$2:$O$21,MATCH($B$2,AI_ho_so_che_do!$A$2:$A$21,0))&amp;";"))),"Never",$D$2)</f>
        <v/>
      </c>
      <c r="G2" t="inlineStr">
        <is>
          <t>Never</t>
        </is>
      </c>
      <c r="H2">
        <f>IF($D$2="Never","KHONG_DOI",IF($F$2="Never","HO_SO_CHAN","DO_KHO_CHO_DOI"))</f>
        <v/>
      </c>
      <c r="I2">
        <f>COUNTIFS(AI_ho_so_pha!$B$2:$B$6,$B$2)</f>
        <v/>
      </c>
      <c r="J2" t="inlineStr">
        <is>
          <t>Sim/AI/Commander.cs:45 (AiSkill.For Easy); balance.json aiModeProfiles.profiles.assault</t>
        </is>
      </c>
      <c r="K2" t="inlineStr"/>
    </row>
    <row r="3">
      <c r="A3" t="inlineStr">
        <is>
          <t>assault/Hard</t>
        </is>
      </c>
      <c r="B3" t="inlineStr">
        <is>
          <t>assault</t>
        </is>
      </c>
      <c r="C3" t="inlineStr">
        <is>
          <t>Hard</t>
        </is>
      </c>
      <c r="D3" t="inlineStr">
        <is>
          <t>WhenLosing</t>
        </is>
      </c>
      <c r="E3">
        <f>IF(INDEX(AI_ho_so_che_do!$B$2:$B$21,MATCH($B$3,AI_ho_so_che_do!$A$2:$A$21,0))&amp;""="*",COUNTIFS(Chien_thuat!$A$2:$A$17,"*"),IF(INDEX(AI_ho_so_che_do!$B$2:$B$21,MATCH($B$3,AI_ho_so_che_do!$A$2:$A$21,0))&amp;""="",0,LEN(INDEX(AI_ho_so_che_do!$B$2:$B$21,MATCH($B$3,AI_ho_so_che_do!$A$2:$A$21,0))&amp;"")-LEN(SUBSTITUTE(INDEX(AI_ho_so_che_do!$B$2:$B$21,MATCH($B$3,AI_ho_so_che_do!$A$2:$A$21,0))&amp;"",";",""))+1))</f>
        <v/>
      </c>
      <c r="F3">
        <f>IF(OR($E$3&lt;=1,ISNUMBER(FIND(";noGeneralTactic;",";"&amp;INDEX(AI_ho_so_che_do!$O$2:$O$21,MATCH($B$3,AI_ho_so_che_do!$A$2:$A$21,0))&amp;";"))),"Never",$D$3)</f>
        <v/>
      </c>
      <c r="G3" t="inlineStr">
        <is>
          <t>WhenLosing</t>
        </is>
      </c>
      <c r="H3">
        <f>IF($D$3="Never","KHONG_DOI",IF($F$3="Never","HO_SO_CHAN","DO_KHO_CHO_DOI"))</f>
        <v/>
      </c>
      <c r="I3">
        <f>COUNTIFS(AI_ho_so_pha!$B$2:$B$6,$B$3)</f>
        <v/>
      </c>
      <c r="J3" t="inlineStr">
        <is>
          <t>Sim/AI/Commander.cs:46 (AiSkill.For Hard); balance.json aiModeProfiles.profiles.assault</t>
        </is>
      </c>
      <c r="K3" t="inlineStr"/>
    </row>
    <row r="4">
      <c r="A4" t="inlineStr">
        <is>
          <t>assault/Normal</t>
        </is>
      </c>
      <c r="B4" t="inlineStr">
        <is>
          <t>assault</t>
        </is>
      </c>
      <c r="C4" t="inlineStr">
        <is>
          <t>Normal</t>
        </is>
      </c>
      <c r="D4" t="inlineStr">
        <is>
          <t>Never</t>
        </is>
      </c>
      <c r="E4">
        <f>IF(INDEX(AI_ho_so_che_do!$B$2:$B$21,MATCH($B$4,AI_ho_so_che_do!$A$2:$A$21,0))&amp;""="*",COUNTIFS(Chien_thuat!$A$2:$A$17,"*"),IF(INDEX(AI_ho_so_che_do!$B$2:$B$21,MATCH($B$4,AI_ho_so_che_do!$A$2:$A$21,0))&amp;""="",0,LEN(INDEX(AI_ho_so_che_do!$B$2:$B$21,MATCH($B$4,AI_ho_so_che_do!$A$2:$A$21,0))&amp;"")-LEN(SUBSTITUTE(INDEX(AI_ho_so_che_do!$B$2:$B$21,MATCH($B$4,AI_ho_so_che_do!$A$2:$A$21,0))&amp;"",";",""))+1))</f>
        <v/>
      </c>
      <c r="F4">
        <f>IF(OR($E$4&lt;=1,ISNUMBER(FIND(";noGeneralTactic;",";"&amp;INDEX(AI_ho_so_che_do!$O$2:$O$21,MATCH($B$4,AI_ho_so_che_do!$A$2:$A$21,0))&amp;";"))),"Never",$D$4)</f>
        <v/>
      </c>
      <c r="G4" t="inlineStr">
        <is>
          <t>Never</t>
        </is>
      </c>
      <c r="H4">
        <f>IF($D$4="Never","KHONG_DOI",IF($F$4="Never","HO_SO_CHAN","DO_KHO_CHO_DOI"))</f>
        <v/>
      </c>
      <c r="I4">
        <f>COUNTIFS(AI_ho_so_pha!$B$2:$B$6,$B$4)</f>
        <v/>
      </c>
      <c r="J4" t="inlineStr">
        <is>
          <t>Sim/AI/Commander.cs:57 (AiSkill.For Normal); balance.json aiModeProfiles.profiles.assault</t>
        </is>
      </c>
      <c r="K4" t="inlineStr"/>
    </row>
    <row r="5">
      <c r="A5" t="inlineStr">
        <is>
          <t>assault/VeryHard</t>
        </is>
      </c>
      <c r="B5" t="inlineStr">
        <is>
          <t>assault</t>
        </is>
      </c>
      <c r="C5" t="inlineStr">
        <is>
          <t>VeryHard</t>
        </is>
      </c>
      <c r="D5" t="inlineStr">
        <is>
          <t>Counter</t>
        </is>
      </c>
      <c r="E5">
        <f>IF(INDEX(AI_ho_so_che_do!$B$2:$B$21,MATCH($B$5,AI_ho_so_che_do!$A$2:$A$21,0))&amp;""="*",COUNTIFS(Chien_thuat!$A$2:$A$17,"*"),IF(INDEX(AI_ho_so_che_do!$B$2:$B$21,MATCH($B$5,AI_ho_so_che_do!$A$2:$A$21,0))&amp;""="",0,LEN(INDEX(AI_ho_so_che_do!$B$2:$B$21,MATCH($B$5,AI_ho_so_che_do!$A$2:$A$21,0))&amp;"")-LEN(SUBSTITUTE(INDEX(AI_ho_so_che_do!$B$2:$B$21,MATCH($B$5,AI_ho_so_che_do!$A$2:$A$21,0))&amp;"",";",""))+1))</f>
        <v/>
      </c>
      <c r="F5">
        <f>IF(OR($E$5&lt;=1,ISNUMBER(FIND(";noGeneralTactic;",";"&amp;INDEX(AI_ho_so_che_do!$O$2:$O$21,MATCH($B$5,AI_ho_so_che_do!$A$2:$A$21,0))&amp;";"))),"Never",$D$5)</f>
        <v/>
      </c>
      <c r="G5" t="inlineStr">
        <is>
          <t>Counter</t>
        </is>
      </c>
      <c r="H5">
        <f>IF($D$5="Never","KHONG_DOI",IF($F$5="Never","HO_SO_CHAN","DO_KHO_CHO_DOI"))</f>
        <v/>
      </c>
      <c r="I5">
        <f>COUNTIFS(AI_ho_so_pha!$B$2:$B$6,$B$5)</f>
        <v/>
      </c>
      <c r="J5" t="inlineStr">
        <is>
          <t>Sim/AI/Commander.cs:52 (AiSkill.For VeryHard); balance.json aiModeProfiles.profiles.assault</t>
        </is>
      </c>
      <c r="K5" t="inlineStr"/>
    </row>
    <row r="6">
      <c r="A6" t="inlineStr">
        <is>
          <t>bossrush/Easy</t>
        </is>
      </c>
      <c r="B6" t="inlineStr">
        <is>
          <t>bossrush</t>
        </is>
      </c>
      <c r="C6" t="inlineStr">
        <is>
          <t>Easy</t>
        </is>
      </c>
      <c r="D6" t="inlineStr">
        <is>
          <t>Never</t>
        </is>
      </c>
      <c r="E6">
        <f>IF(INDEX(AI_ho_so_che_do!$B$2:$B$21,MATCH($B$6,AI_ho_so_che_do!$A$2:$A$21,0))&amp;""="*",COUNTIFS(Chien_thuat!$A$2:$A$17,"*"),IF(INDEX(AI_ho_so_che_do!$B$2:$B$21,MATCH($B$6,AI_ho_so_che_do!$A$2:$A$21,0))&amp;""="",0,LEN(INDEX(AI_ho_so_che_do!$B$2:$B$21,MATCH($B$6,AI_ho_so_che_do!$A$2:$A$21,0))&amp;"")-LEN(SUBSTITUTE(INDEX(AI_ho_so_che_do!$B$2:$B$21,MATCH($B$6,AI_ho_so_che_do!$A$2:$A$21,0))&amp;"",";",""))+1))</f>
        <v/>
      </c>
      <c r="F6">
        <f>IF(OR($E$6&lt;=1,ISNUMBER(FIND(";noGeneralTactic;",";"&amp;INDEX(AI_ho_so_che_do!$O$2:$O$21,MATCH($B$6,AI_ho_so_che_do!$A$2:$A$21,0))&amp;";"))),"Never",$D$6)</f>
        <v/>
      </c>
      <c r="G6" t="inlineStr">
        <is>
          <t>Never</t>
        </is>
      </c>
      <c r="H6">
        <f>IF($D$6="Never","KHONG_DOI",IF($F$6="Never","HO_SO_CHAN","DO_KHO_CHO_DOI"))</f>
        <v/>
      </c>
      <c r="I6">
        <f>COUNTIFS(AI_ho_so_pha!$B$2:$B$6,$B$6)</f>
        <v/>
      </c>
      <c r="J6" t="inlineStr">
        <is>
          <t>Sim/AI/Commander.cs:45 (AiSkill.For Easy); balance.json aiModeProfiles.profiles.bossrush</t>
        </is>
      </c>
      <c r="K6" t="inlineStr"/>
    </row>
    <row r="7">
      <c r="A7" t="inlineStr">
        <is>
          <t>bossrush/Hard</t>
        </is>
      </c>
      <c r="B7" t="inlineStr">
        <is>
          <t>bossrush</t>
        </is>
      </c>
      <c r="C7" t="inlineStr">
        <is>
          <t>Hard</t>
        </is>
      </c>
      <c r="D7" t="inlineStr">
        <is>
          <t>WhenLosing</t>
        </is>
      </c>
      <c r="E7">
        <f>IF(INDEX(AI_ho_so_che_do!$B$2:$B$21,MATCH($B$7,AI_ho_so_che_do!$A$2:$A$21,0))&amp;""="*",COUNTIFS(Chien_thuat!$A$2:$A$17,"*"),IF(INDEX(AI_ho_so_che_do!$B$2:$B$21,MATCH($B$7,AI_ho_so_che_do!$A$2:$A$21,0))&amp;""="",0,LEN(INDEX(AI_ho_so_che_do!$B$2:$B$21,MATCH($B$7,AI_ho_so_che_do!$A$2:$A$21,0))&amp;"")-LEN(SUBSTITUTE(INDEX(AI_ho_so_che_do!$B$2:$B$21,MATCH($B$7,AI_ho_so_che_do!$A$2:$A$21,0))&amp;"",";",""))+1))</f>
        <v/>
      </c>
      <c r="F7">
        <f>IF(OR($E$7&lt;=1,ISNUMBER(FIND(";noGeneralTactic;",";"&amp;INDEX(AI_ho_so_che_do!$O$2:$O$21,MATCH($B$7,AI_ho_so_che_do!$A$2:$A$21,0))&amp;";"))),"Never",$D$7)</f>
        <v/>
      </c>
      <c r="G7" t="inlineStr">
        <is>
          <t>Never</t>
        </is>
      </c>
      <c r="H7">
        <f>IF($D$7="Never","KHONG_DOI",IF($F$7="Never","HO_SO_CHAN","DO_KHO_CHO_DOI"))</f>
        <v/>
      </c>
      <c r="I7">
        <f>COUNTIFS(AI_ho_so_pha!$B$2:$B$6,$B$7)</f>
        <v/>
      </c>
      <c r="J7" t="inlineStr">
        <is>
          <t>Sim/AI/Commander.cs:46 (AiSkill.For Hard); balance.json aiModeProfiles.profiles.bossrush</t>
        </is>
      </c>
      <c r="K7" t="inlineStr"/>
    </row>
    <row r="8">
      <c r="A8" t="inlineStr">
        <is>
          <t>bossrush/Normal</t>
        </is>
      </c>
      <c r="B8" t="inlineStr">
        <is>
          <t>bossrush</t>
        </is>
      </c>
      <c r="C8" t="inlineStr">
        <is>
          <t>Normal</t>
        </is>
      </c>
      <c r="D8" t="inlineStr">
        <is>
          <t>Never</t>
        </is>
      </c>
      <c r="E8">
        <f>IF(INDEX(AI_ho_so_che_do!$B$2:$B$21,MATCH($B$8,AI_ho_so_che_do!$A$2:$A$21,0))&amp;""="*",COUNTIFS(Chien_thuat!$A$2:$A$17,"*"),IF(INDEX(AI_ho_so_che_do!$B$2:$B$21,MATCH($B$8,AI_ho_so_che_do!$A$2:$A$21,0))&amp;""="",0,LEN(INDEX(AI_ho_so_che_do!$B$2:$B$21,MATCH($B$8,AI_ho_so_che_do!$A$2:$A$21,0))&amp;"")-LEN(SUBSTITUTE(INDEX(AI_ho_so_che_do!$B$2:$B$21,MATCH($B$8,AI_ho_so_che_do!$A$2:$A$21,0))&amp;"",";",""))+1))</f>
        <v/>
      </c>
      <c r="F8">
        <f>IF(OR($E$8&lt;=1,ISNUMBER(FIND(";noGeneralTactic;",";"&amp;INDEX(AI_ho_so_che_do!$O$2:$O$21,MATCH($B$8,AI_ho_so_che_do!$A$2:$A$21,0))&amp;";"))),"Never",$D$8)</f>
        <v/>
      </c>
      <c r="G8" t="inlineStr">
        <is>
          <t>Never</t>
        </is>
      </c>
      <c r="H8">
        <f>IF($D$8="Never","KHONG_DOI",IF($F$8="Never","HO_SO_CHAN","DO_KHO_CHO_DOI"))</f>
        <v/>
      </c>
      <c r="I8">
        <f>COUNTIFS(AI_ho_so_pha!$B$2:$B$6,$B$8)</f>
        <v/>
      </c>
      <c r="J8" t="inlineStr">
        <is>
          <t>Sim/AI/Commander.cs:57 (AiSkill.For Normal); balance.json aiModeProfiles.profiles.bossrush</t>
        </is>
      </c>
      <c r="K8" t="inlineStr"/>
    </row>
    <row r="9">
      <c r="A9" t="inlineStr">
        <is>
          <t>bossrush/VeryHard</t>
        </is>
      </c>
      <c r="B9" t="inlineStr">
        <is>
          <t>bossrush</t>
        </is>
      </c>
      <c r="C9" t="inlineStr">
        <is>
          <t>VeryHard</t>
        </is>
      </c>
      <c r="D9" t="inlineStr">
        <is>
          <t>Counter</t>
        </is>
      </c>
      <c r="E9">
        <f>IF(INDEX(AI_ho_so_che_do!$B$2:$B$21,MATCH($B$9,AI_ho_so_che_do!$A$2:$A$21,0))&amp;""="*",COUNTIFS(Chien_thuat!$A$2:$A$17,"*"),IF(INDEX(AI_ho_so_che_do!$B$2:$B$21,MATCH($B$9,AI_ho_so_che_do!$A$2:$A$21,0))&amp;""="",0,LEN(INDEX(AI_ho_so_che_do!$B$2:$B$21,MATCH($B$9,AI_ho_so_che_do!$A$2:$A$21,0))&amp;"")-LEN(SUBSTITUTE(INDEX(AI_ho_so_che_do!$B$2:$B$21,MATCH($B$9,AI_ho_so_che_do!$A$2:$A$21,0))&amp;"",";",""))+1))</f>
        <v/>
      </c>
      <c r="F9">
        <f>IF(OR($E$9&lt;=1,ISNUMBER(FIND(";noGeneralTactic;",";"&amp;INDEX(AI_ho_so_che_do!$O$2:$O$21,MATCH($B$9,AI_ho_so_che_do!$A$2:$A$21,0))&amp;";"))),"Never",$D$9)</f>
        <v/>
      </c>
      <c r="G9" t="inlineStr">
        <is>
          <t>Never</t>
        </is>
      </c>
      <c r="H9">
        <f>IF($D$9="Never","KHONG_DOI",IF($F$9="Never","HO_SO_CHAN","DO_KHO_CHO_DOI"))</f>
        <v/>
      </c>
      <c r="I9">
        <f>COUNTIFS(AI_ho_so_pha!$B$2:$B$6,$B$9)</f>
        <v/>
      </c>
      <c r="J9" t="inlineStr">
        <is>
          <t>Sim/AI/Commander.cs:52 (AiSkill.For VeryHard); balance.json aiModeProfiles.profiles.bossrush</t>
        </is>
      </c>
      <c r="K9" t="inlineStr"/>
    </row>
    <row r="10">
      <c r="A10" t="inlineStr">
        <is>
          <t>capture/Easy</t>
        </is>
      </c>
      <c r="B10" t="inlineStr">
        <is>
          <t>capture</t>
        </is>
      </c>
      <c r="C10" t="inlineStr">
        <is>
          <t>Easy</t>
        </is>
      </c>
      <c r="D10" t="inlineStr">
        <is>
          <t>Never</t>
        </is>
      </c>
      <c r="E10">
        <f>IF(INDEX(AI_ho_so_che_do!$B$2:$B$21,MATCH($B$10,AI_ho_so_che_do!$A$2:$A$21,0))&amp;""="*",COUNTIFS(Chien_thuat!$A$2:$A$17,"*"),IF(INDEX(AI_ho_so_che_do!$B$2:$B$21,MATCH($B$10,AI_ho_so_che_do!$A$2:$A$21,0))&amp;""="",0,LEN(INDEX(AI_ho_so_che_do!$B$2:$B$21,MATCH($B$10,AI_ho_so_che_do!$A$2:$A$21,0))&amp;"")-LEN(SUBSTITUTE(INDEX(AI_ho_so_che_do!$B$2:$B$21,MATCH($B$10,AI_ho_so_che_do!$A$2:$A$21,0))&amp;"",";",""))+1))</f>
        <v/>
      </c>
      <c r="F10">
        <f>IF(OR($E$10&lt;=1,ISNUMBER(FIND(";noGeneralTactic;",";"&amp;INDEX(AI_ho_so_che_do!$O$2:$O$21,MATCH($B$10,AI_ho_so_che_do!$A$2:$A$21,0))&amp;";"))),"Never",$D$10)</f>
        <v/>
      </c>
      <c r="G10" t="inlineStr">
        <is>
          <t>Never</t>
        </is>
      </c>
      <c r="H10">
        <f>IF($D$10="Never","KHONG_DOI",IF($F$10="Never","HO_SO_CHAN","DO_KHO_CHO_DOI"))</f>
        <v/>
      </c>
      <c r="I10">
        <f>COUNTIFS(AI_ho_so_pha!$B$2:$B$6,$B$10)</f>
        <v/>
      </c>
      <c r="J10" t="inlineStr">
        <is>
          <t>Sim/AI/Commander.cs:45 (AiSkill.For Easy); balance.json aiModeProfiles.profiles.capture</t>
        </is>
      </c>
      <c r="K10" t="inlineStr"/>
    </row>
    <row r="11">
      <c r="A11" t="inlineStr">
        <is>
          <t>capture/Hard</t>
        </is>
      </c>
      <c r="B11" t="inlineStr">
        <is>
          <t>capture</t>
        </is>
      </c>
      <c r="C11" t="inlineStr">
        <is>
          <t>Hard</t>
        </is>
      </c>
      <c r="D11" t="inlineStr">
        <is>
          <t>WhenLosing</t>
        </is>
      </c>
      <c r="E11">
        <f>IF(INDEX(AI_ho_so_che_do!$B$2:$B$21,MATCH($B$11,AI_ho_so_che_do!$A$2:$A$21,0))&amp;""="*",COUNTIFS(Chien_thuat!$A$2:$A$17,"*"),IF(INDEX(AI_ho_so_che_do!$B$2:$B$21,MATCH($B$11,AI_ho_so_che_do!$A$2:$A$21,0))&amp;""="",0,LEN(INDEX(AI_ho_so_che_do!$B$2:$B$21,MATCH($B$11,AI_ho_so_che_do!$A$2:$A$21,0))&amp;"")-LEN(SUBSTITUTE(INDEX(AI_ho_so_che_do!$B$2:$B$21,MATCH($B$11,AI_ho_so_che_do!$A$2:$A$21,0))&amp;"",";",""))+1))</f>
        <v/>
      </c>
      <c r="F11">
        <f>IF(OR($E$11&lt;=1,ISNUMBER(FIND(";noGeneralTactic;",";"&amp;INDEX(AI_ho_so_che_do!$O$2:$O$21,MATCH($B$11,AI_ho_so_che_do!$A$2:$A$21,0))&amp;";"))),"Never",$D$11)</f>
        <v/>
      </c>
      <c r="G11" t="inlineStr">
        <is>
          <t>WhenLosing</t>
        </is>
      </c>
      <c r="H11">
        <f>IF($D$11="Never","KHONG_DOI",IF($F$11="Never","HO_SO_CHAN","DO_KHO_CHO_DOI"))</f>
        <v/>
      </c>
      <c r="I11">
        <f>COUNTIFS(AI_ho_so_pha!$B$2:$B$6,$B$11)</f>
        <v/>
      </c>
      <c r="J11" t="inlineStr">
        <is>
          <t>Sim/AI/Commander.cs:46 (AiSkill.For Hard); balance.json aiModeProfiles.profiles.capture</t>
        </is>
      </c>
      <c r="K11" t="inlineStr"/>
    </row>
    <row r="12">
      <c r="A12" t="inlineStr">
        <is>
          <t>capture/Normal</t>
        </is>
      </c>
      <c r="B12" t="inlineStr">
        <is>
          <t>capture</t>
        </is>
      </c>
      <c r="C12" t="inlineStr">
        <is>
          <t>Normal</t>
        </is>
      </c>
      <c r="D12" t="inlineStr">
        <is>
          <t>Never</t>
        </is>
      </c>
      <c r="E12">
        <f>IF(INDEX(AI_ho_so_che_do!$B$2:$B$21,MATCH($B$12,AI_ho_so_che_do!$A$2:$A$21,0))&amp;""="*",COUNTIFS(Chien_thuat!$A$2:$A$17,"*"),IF(INDEX(AI_ho_so_che_do!$B$2:$B$21,MATCH($B$12,AI_ho_so_che_do!$A$2:$A$21,0))&amp;""="",0,LEN(INDEX(AI_ho_so_che_do!$B$2:$B$21,MATCH($B$12,AI_ho_so_che_do!$A$2:$A$21,0))&amp;"")-LEN(SUBSTITUTE(INDEX(AI_ho_so_che_do!$B$2:$B$21,MATCH($B$12,AI_ho_so_che_do!$A$2:$A$21,0))&amp;"",";",""))+1))</f>
        <v/>
      </c>
      <c r="F12">
        <f>IF(OR($E$12&lt;=1,ISNUMBER(FIND(";noGeneralTactic;",";"&amp;INDEX(AI_ho_so_che_do!$O$2:$O$21,MATCH($B$12,AI_ho_so_che_do!$A$2:$A$21,0))&amp;";"))),"Never",$D$12)</f>
        <v/>
      </c>
      <c r="G12" t="inlineStr">
        <is>
          <t>Never</t>
        </is>
      </c>
      <c r="H12">
        <f>IF($D$12="Never","KHONG_DOI",IF($F$12="Never","HO_SO_CHAN","DO_KHO_CHO_DOI"))</f>
        <v/>
      </c>
      <c r="I12">
        <f>COUNTIFS(AI_ho_so_pha!$B$2:$B$6,$B$12)</f>
        <v/>
      </c>
      <c r="J12" t="inlineStr">
        <is>
          <t>Sim/AI/Commander.cs:57 (AiSkill.For Normal); balance.json aiModeProfiles.profiles.capture</t>
        </is>
      </c>
      <c r="K12" t="inlineStr"/>
    </row>
    <row r="13">
      <c r="A13" t="inlineStr">
        <is>
          <t>capture/VeryHard</t>
        </is>
      </c>
      <c r="B13" t="inlineStr">
        <is>
          <t>capture</t>
        </is>
      </c>
      <c r="C13" t="inlineStr">
        <is>
          <t>VeryHard</t>
        </is>
      </c>
      <c r="D13" t="inlineStr">
        <is>
          <t>Counter</t>
        </is>
      </c>
      <c r="E13">
        <f>IF(INDEX(AI_ho_so_che_do!$B$2:$B$21,MATCH($B$13,AI_ho_so_che_do!$A$2:$A$21,0))&amp;""="*",COUNTIFS(Chien_thuat!$A$2:$A$17,"*"),IF(INDEX(AI_ho_so_che_do!$B$2:$B$21,MATCH($B$13,AI_ho_so_che_do!$A$2:$A$21,0))&amp;""="",0,LEN(INDEX(AI_ho_so_che_do!$B$2:$B$21,MATCH($B$13,AI_ho_so_che_do!$A$2:$A$21,0))&amp;"")-LEN(SUBSTITUTE(INDEX(AI_ho_so_che_do!$B$2:$B$21,MATCH($B$13,AI_ho_so_che_do!$A$2:$A$21,0))&amp;"",";",""))+1))</f>
        <v/>
      </c>
      <c r="F13">
        <f>IF(OR($E$13&lt;=1,ISNUMBER(FIND(";noGeneralTactic;",";"&amp;INDEX(AI_ho_so_che_do!$O$2:$O$21,MATCH($B$13,AI_ho_so_che_do!$A$2:$A$21,0))&amp;";"))),"Never",$D$13)</f>
        <v/>
      </c>
      <c r="G13" t="inlineStr">
        <is>
          <t>Counter</t>
        </is>
      </c>
      <c r="H13">
        <f>IF($D$13="Never","KHONG_DOI",IF($F$13="Never","HO_SO_CHAN","DO_KHO_CHO_DOI"))</f>
        <v/>
      </c>
      <c r="I13">
        <f>COUNTIFS(AI_ho_so_pha!$B$2:$B$6,$B$13)</f>
        <v/>
      </c>
      <c r="J13" t="inlineStr">
        <is>
          <t>Sim/AI/Commander.cs:52 (AiSkill.For VeryHard); balance.json aiModeProfiles.profiles.capture</t>
        </is>
      </c>
      <c r="K13" t="inlineStr"/>
    </row>
    <row r="14">
      <c r="A14" t="inlineStr">
        <is>
          <t>conquest/Easy</t>
        </is>
      </c>
      <c r="B14" t="inlineStr">
        <is>
          <t>conquest</t>
        </is>
      </c>
      <c r="C14" t="inlineStr">
        <is>
          <t>Easy</t>
        </is>
      </c>
      <c r="D14" t="inlineStr">
        <is>
          <t>Never</t>
        </is>
      </c>
      <c r="E14">
        <f>IF(INDEX(AI_ho_so_che_do!$B$2:$B$21,MATCH($B$14,AI_ho_so_che_do!$A$2:$A$21,0))&amp;""="*",COUNTIFS(Chien_thuat!$A$2:$A$17,"*"),IF(INDEX(AI_ho_so_che_do!$B$2:$B$21,MATCH($B$14,AI_ho_so_che_do!$A$2:$A$21,0))&amp;""="",0,LEN(INDEX(AI_ho_so_che_do!$B$2:$B$21,MATCH($B$14,AI_ho_so_che_do!$A$2:$A$21,0))&amp;"")-LEN(SUBSTITUTE(INDEX(AI_ho_so_che_do!$B$2:$B$21,MATCH($B$14,AI_ho_so_che_do!$A$2:$A$21,0))&amp;"",";",""))+1))</f>
        <v/>
      </c>
      <c r="F14">
        <f>IF(OR($E$14&lt;=1,ISNUMBER(FIND(";noGeneralTactic;",";"&amp;INDEX(AI_ho_so_che_do!$O$2:$O$21,MATCH($B$14,AI_ho_so_che_do!$A$2:$A$21,0))&amp;";"))),"Never",$D$14)</f>
        <v/>
      </c>
      <c r="G14" t="inlineStr">
        <is>
          <t>Never</t>
        </is>
      </c>
      <c r="H14">
        <f>IF($D$14="Never","KHONG_DOI",IF($F$14="Never","HO_SO_CHAN","DO_KHO_CHO_DOI"))</f>
        <v/>
      </c>
      <c r="I14">
        <f>COUNTIFS(AI_ho_so_pha!$B$2:$B$6,$B$14)</f>
        <v/>
      </c>
      <c r="J14" t="inlineStr">
        <is>
          <t>Sim/AI/Commander.cs:45 (AiSkill.For Easy); balance.json aiModeProfiles.profiles.conquest</t>
        </is>
      </c>
      <c r="K14" t="inlineStr"/>
    </row>
    <row r="15">
      <c r="A15" t="inlineStr">
        <is>
          <t>conquest/Hard</t>
        </is>
      </c>
      <c r="B15" t="inlineStr">
        <is>
          <t>conquest</t>
        </is>
      </c>
      <c r="C15" t="inlineStr">
        <is>
          <t>Hard</t>
        </is>
      </c>
      <c r="D15" t="inlineStr">
        <is>
          <t>WhenLosing</t>
        </is>
      </c>
      <c r="E15">
        <f>IF(INDEX(AI_ho_so_che_do!$B$2:$B$21,MATCH($B$15,AI_ho_so_che_do!$A$2:$A$21,0))&amp;""="*",COUNTIFS(Chien_thuat!$A$2:$A$17,"*"),IF(INDEX(AI_ho_so_che_do!$B$2:$B$21,MATCH($B$15,AI_ho_so_che_do!$A$2:$A$21,0))&amp;""="",0,LEN(INDEX(AI_ho_so_che_do!$B$2:$B$21,MATCH($B$15,AI_ho_so_che_do!$A$2:$A$21,0))&amp;"")-LEN(SUBSTITUTE(INDEX(AI_ho_so_che_do!$B$2:$B$21,MATCH($B$15,AI_ho_so_che_do!$A$2:$A$21,0))&amp;"",";",""))+1))</f>
        <v/>
      </c>
      <c r="F15">
        <f>IF(OR($E$15&lt;=1,ISNUMBER(FIND(";noGeneralTactic;",";"&amp;INDEX(AI_ho_so_che_do!$O$2:$O$21,MATCH($B$15,AI_ho_so_che_do!$A$2:$A$21,0))&amp;";"))),"Never",$D$15)</f>
        <v/>
      </c>
      <c r="G15" t="inlineStr">
        <is>
          <t>WhenLosing</t>
        </is>
      </c>
      <c r="H15">
        <f>IF($D$15="Never","KHONG_DOI",IF($F$15="Never","HO_SO_CHAN","DO_KHO_CHO_DOI"))</f>
        <v/>
      </c>
      <c r="I15">
        <f>COUNTIFS(AI_ho_so_pha!$B$2:$B$6,$B$15)</f>
        <v/>
      </c>
      <c r="J15" t="inlineStr">
        <is>
          <t>Sim/AI/Commander.cs:46 (AiSkill.For Hard); balance.json aiModeProfiles.profiles.conquest</t>
        </is>
      </c>
      <c r="K15" t="inlineStr"/>
    </row>
    <row r="16">
      <c r="A16" t="inlineStr">
        <is>
          <t>conquest/Normal</t>
        </is>
      </c>
      <c r="B16" t="inlineStr">
        <is>
          <t>conquest</t>
        </is>
      </c>
      <c r="C16" t="inlineStr">
        <is>
          <t>Normal</t>
        </is>
      </c>
      <c r="D16" t="inlineStr">
        <is>
          <t>Never</t>
        </is>
      </c>
      <c r="E16">
        <f>IF(INDEX(AI_ho_so_che_do!$B$2:$B$21,MATCH($B$16,AI_ho_so_che_do!$A$2:$A$21,0))&amp;""="*",COUNTIFS(Chien_thuat!$A$2:$A$17,"*"),IF(INDEX(AI_ho_so_che_do!$B$2:$B$21,MATCH($B$16,AI_ho_so_che_do!$A$2:$A$21,0))&amp;""="",0,LEN(INDEX(AI_ho_so_che_do!$B$2:$B$21,MATCH($B$16,AI_ho_so_che_do!$A$2:$A$21,0))&amp;"")-LEN(SUBSTITUTE(INDEX(AI_ho_so_che_do!$B$2:$B$21,MATCH($B$16,AI_ho_so_che_do!$A$2:$A$21,0))&amp;"",";",""))+1))</f>
        <v/>
      </c>
      <c r="F16">
        <f>IF(OR($E$16&lt;=1,ISNUMBER(FIND(";noGeneralTactic;",";"&amp;INDEX(AI_ho_so_che_do!$O$2:$O$21,MATCH($B$16,AI_ho_so_che_do!$A$2:$A$21,0))&amp;";"))),"Never",$D$16)</f>
        <v/>
      </c>
      <c r="G16" t="inlineStr">
        <is>
          <t>Never</t>
        </is>
      </c>
      <c r="H16">
        <f>IF($D$16="Never","KHONG_DOI",IF($F$16="Never","HO_SO_CHAN","DO_KHO_CHO_DOI"))</f>
        <v/>
      </c>
      <c r="I16">
        <f>COUNTIFS(AI_ho_so_pha!$B$2:$B$6,$B$16)</f>
        <v/>
      </c>
      <c r="J16" t="inlineStr">
        <is>
          <t>Sim/AI/Commander.cs:57 (AiSkill.For Normal); balance.json aiModeProfiles.profiles.conquest</t>
        </is>
      </c>
      <c r="K16" t="inlineStr"/>
    </row>
    <row r="17">
      <c r="A17" t="inlineStr">
        <is>
          <t>conquest/VeryHard</t>
        </is>
      </c>
      <c r="B17" t="inlineStr">
        <is>
          <t>conquest</t>
        </is>
      </c>
      <c r="C17" t="inlineStr">
        <is>
          <t>VeryHard</t>
        </is>
      </c>
      <c r="D17" t="inlineStr">
        <is>
          <t>Counter</t>
        </is>
      </c>
      <c r="E17">
        <f>IF(INDEX(AI_ho_so_che_do!$B$2:$B$21,MATCH($B$17,AI_ho_so_che_do!$A$2:$A$21,0))&amp;""="*",COUNTIFS(Chien_thuat!$A$2:$A$17,"*"),IF(INDEX(AI_ho_so_che_do!$B$2:$B$21,MATCH($B$17,AI_ho_so_che_do!$A$2:$A$21,0))&amp;""="",0,LEN(INDEX(AI_ho_so_che_do!$B$2:$B$21,MATCH($B$17,AI_ho_so_che_do!$A$2:$A$21,0))&amp;"")-LEN(SUBSTITUTE(INDEX(AI_ho_so_che_do!$B$2:$B$21,MATCH($B$17,AI_ho_so_che_do!$A$2:$A$21,0))&amp;"",";",""))+1))</f>
        <v/>
      </c>
      <c r="F17">
        <f>IF(OR($E$17&lt;=1,ISNUMBER(FIND(";noGeneralTactic;",";"&amp;INDEX(AI_ho_so_che_do!$O$2:$O$21,MATCH($B$17,AI_ho_so_che_do!$A$2:$A$21,0))&amp;";"))),"Never",$D$17)</f>
        <v/>
      </c>
      <c r="G17" t="inlineStr">
        <is>
          <t>Counter</t>
        </is>
      </c>
      <c r="H17">
        <f>IF($D$17="Never","KHONG_DOI",IF($F$17="Never","HO_SO_CHAN","DO_KHO_CHO_DOI"))</f>
        <v/>
      </c>
      <c r="I17">
        <f>COUNTIFS(AI_ho_so_pha!$B$2:$B$6,$B$17)</f>
        <v/>
      </c>
      <c r="J17" t="inlineStr">
        <is>
          <t>Sim/AI/Commander.cs:52 (AiSkill.For VeryHard); balance.json aiModeProfiles.profiles.conquest</t>
        </is>
      </c>
      <c r="K17" t="inlineStr"/>
    </row>
    <row r="18">
      <c r="A18" t="inlineStr">
        <is>
          <t>deathmatch/Easy</t>
        </is>
      </c>
      <c r="B18" t="inlineStr">
        <is>
          <t>deathmatch</t>
        </is>
      </c>
      <c r="C18" t="inlineStr">
        <is>
          <t>Easy</t>
        </is>
      </c>
      <c r="D18" t="inlineStr">
        <is>
          <t>Never</t>
        </is>
      </c>
      <c r="E18">
        <f>IF(INDEX(AI_ho_so_che_do!$B$2:$B$21,MATCH($B$18,AI_ho_so_che_do!$A$2:$A$21,0))&amp;""="*",COUNTIFS(Chien_thuat!$A$2:$A$17,"*"),IF(INDEX(AI_ho_so_che_do!$B$2:$B$21,MATCH($B$18,AI_ho_so_che_do!$A$2:$A$21,0))&amp;""="",0,LEN(INDEX(AI_ho_so_che_do!$B$2:$B$21,MATCH($B$18,AI_ho_so_che_do!$A$2:$A$21,0))&amp;"")-LEN(SUBSTITUTE(INDEX(AI_ho_so_che_do!$B$2:$B$21,MATCH($B$18,AI_ho_so_che_do!$A$2:$A$21,0))&amp;"",";",""))+1))</f>
        <v/>
      </c>
      <c r="F18">
        <f>IF(OR($E$18&lt;=1,ISNUMBER(FIND(";noGeneralTactic;",";"&amp;INDEX(AI_ho_so_che_do!$O$2:$O$21,MATCH($B$18,AI_ho_so_che_do!$A$2:$A$21,0))&amp;";"))),"Never",$D$18)</f>
        <v/>
      </c>
      <c r="G18" t="inlineStr">
        <is>
          <t>Never</t>
        </is>
      </c>
      <c r="H18">
        <f>IF($D$18="Never","KHONG_DOI",IF($F$18="Never","HO_SO_CHAN","DO_KHO_CHO_DOI"))</f>
        <v/>
      </c>
      <c r="I18">
        <f>COUNTIFS(AI_ho_so_pha!$B$2:$B$6,$B$18)</f>
        <v/>
      </c>
      <c r="J18" t="inlineStr">
        <is>
          <t>Sim/AI/Commander.cs:45 (AiSkill.For Easy); balance.json aiModeProfiles.profiles.deathmatch</t>
        </is>
      </c>
      <c r="K18" t="inlineStr"/>
    </row>
    <row r="19">
      <c r="A19" t="inlineStr">
        <is>
          <t>deathmatch/Hard</t>
        </is>
      </c>
      <c r="B19" t="inlineStr">
        <is>
          <t>deathmatch</t>
        </is>
      </c>
      <c r="C19" t="inlineStr">
        <is>
          <t>Hard</t>
        </is>
      </c>
      <c r="D19" t="inlineStr">
        <is>
          <t>WhenLosing</t>
        </is>
      </c>
      <c r="E19">
        <f>IF(INDEX(AI_ho_so_che_do!$B$2:$B$21,MATCH($B$19,AI_ho_so_che_do!$A$2:$A$21,0))&amp;""="*",COUNTIFS(Chien_thuat!$A$2:$A$17,"*"),IF(INDEX(AI_ho_so_che_do!$B$2:$B$21,MATCH($B$19,AI_ho_so_che_do!$A$2:$A$21,0))&amp;""="",0,LEN(INDEX(AI_ho_so_che_do!$B$2:$B$21,MATCH($B$19,AI_ho_so_che_do!$A$2:$A$21,0))&amp;"")-LEN(SUBSTITUTE(INDEX(AI_ho_so_che_do!$B$2:$B$21,MATCH($B$19,AI_ho_so_che_do!$A$2:$A$21,0))&amp;"",";",""))+1))</f>
        <v/>
      </c>
      <c r="F19">
        <f>IF(OR($E$19&lt;=1,ISNUMBER(FIND(";noGeneralTactic;",";"&amp;INDEX(AI_ho_so_che_do!$O$2:$O$21,MATCH($B$19,AI_ho_so_che_do!$A$2:$A$21,0))&amp;";"))),"Never",$D$19)</f>
        <v/>
      </c>
      <c r="G19" t="inlineStr">
        <is>
          <t>WhenLosing</t>
        </is>
      </c>
      <c r="H19">
        <f>IF($D$19="Never","KHONG_DOI",IF($F$19="Never","HO_SO_CHAN","DO_KHO_CHO_DOI"))</f>
        <v/>
      </c>
      <c r="I19">
        <f>COUNTIFS(AI_ho_so_pha!$B$2:$B$6,$B$19)</f>
        <v/>
      </c>
      <c r="J19" t="inlineStr">
        <is>
          <t>Sim/AI/Commander.cs:46 (AiSkill.For Hard); balance.json aiModeProfiles.profiles.deathmatch</t>
        </is>
      </c>
      <c r="K19" t="inlineStr"/>
    </row>
    <row r="20">
      <c r="A20" t="inlineStr">
        <is>
          <t>deathmatch/Normal</t>
        </is>
      </c>
      <c r="B20" t="inlineStr">
        <is>
          <t>deathmatch</t>
        </is>
      </c>
      <c r="C20" t="inlineStr">
        <is>
          <t>Normal</t>
        </is>
      </c>
      <c r="D20" t="inlineStr">
        <is>
          <t>Never</t>
        </is>
      </c>
      <c r="E20">
        <f>IF(INDEX(AI_ho_so_che_do!$B$2:$B$21,MATCH($B$20,AI_ho_so_che_do!$A$2:$A$21,0))&amp;""="*",COUNTIFS(Chien_thuat!$A$2:$A$17,"*"),IF(INDEX(AI_ho_so_che_do!$B$2:$B$21,MATCH($B$20,AI_ho_so_che_do!$A$2:$A$21,0))&amp;""="",0,LEN(INDEX(AI_ho_so_che_do!$B$2:$B$21,MATCH($B$20,AI_ho_so_che_do!$A$2:$A$21,0))&amp;"")-LEN(SUBSTITUTE(INDEX(AI_ho_so_che_do!$B$2:$B$21,MATCH($B$20,AI_ho_so_che_do!$A$2:$A$21,0))&amp;"",";",""))+1))</f>
        <v/>
      </c>
      <c r="F20">
        <f>IF(OR($E$20&lt;=1,ISNUMBER(FIND(";noGeneralTactic;",";"&amp;INDEX(AI_ho_so_che_do!$O$2:$O$21,MATCH($B$20,AI_ho_so_che_do!$A$2:$A$21,0))&amp;";"))),"Never",$D$20)</f>
        <v/>
      </c>
      <c r="G20" t="inlineStr">
        <is>
          <t>Never</t>
        </is>
      </c>
      <c r="H20">
        <f>IF($D$20="Never","KHONG_DOI",IF($F$20="Never","HO_SO_CHAN","DO_KHO_CHO_DOI"))</f>
        <v/>
      </c>
      <c r="I20">
        <f>COUNTIFS(AI_ho_so_pha!$B$2:$B$6,$B$20)</f>
        <v/>
      </c>
      <c r="J20" t="inlineStr">
        <is>
          <t>Sim/AI/Commander.cs:57 (AiSkill.For Normal); balance.json aiModeProfiles.profiles.deathmatch</t>
        </is>
      </c>
      <c r="K20" t="inlineStr"/>
    </row>
    <row r="21">
      <c r="A21" t="inlineStr">
        <is>
          <t>deathmatch/VeryHard</t>
        </is>
      </c>
      <c r="B21" t="inlineStr">
        <is>
          <t>deathmatch</t>
        </is>
      </c>
      <c r="C21" t="inlineStr">
        <is>
          <t>VeryHard</t>
        </is>
      </c>
      <c r="D21" t="inlineStr">
        <is>
          <t>Counter</t>
        </is>
      </c>
      <c r="E21">
        <f>IF(INDEX(AI_ho_so_che_do!$B$2:$B$21,MATCH($B$21,AI_ho_so_che_do!$A$2:$A$21,0))&amp;""="*",COUNTIFS(Chien_thuat!$A$2:$A$17,"*"),IF(INDEX(AI_ho_so_che_do!$B$2:$B$21,MATCH($B$21,AI_ho_so_che_do!$A$2:$A$21,0))&amp;""="",0,LEN(INDEX(AI_ho_so_che_do!$B$2:$B$21,MATCH($B$21,AI_ho_so_che_do!$A$2:$A$21,0))&amp;"")-LEN(SUBSTITUTE(INDEX(AI_ho_so_che_do!$B$2:$B$21,MATCH($B$21,AI_ho_so_che_do!$A$2:$A$21,0))&amp;"",";",""))+1))</f>
        <v/>
      </c>
      <c r="F21">
        <f>IF(OR($E$21&lt;=1,ISNUMBER(FIND(";noGeneralTactic;",";"&amp;INDEX(AI_ho_so_che_do!$O$2:$O$21,MATCH($B$21,AI_ho_so_che_do!$A$2:$A$21,0))&amp;";"))),"Never",$D$21)</f>
        <v/>
      </c>
      <c r="G21" t="inlineStr">
        <is>
          <t>Counter</t>
        </is>
      </c>
      <c r="H21">
        <f>IF($D$21="Never","KHONG_DOI",IF($F$21="Never","HO_SO_CHAN","DO_KHO_CHO_DOI"))</f>
        <v/>
      </c>
      <c r="I21">
        <f>COUNTIFS(AI_ho_so_pha!$B$2:$B$6,$B$21)</f>
        <v/>
      </c>
      <c r="J21" t="inlineStr">
        <is>
          <t>Sim/AI/Commander.cs:52 (AiSkill.For VeryHard); balance.json aiModeProfiles.profiles.deathmatch</t>
        </is>
      </c>
      <c r="K21" t="inlineStr"/>
    </row>
    <row r="22">
      <c r="A22" t="inlineStr">
        <is>
          <t>defend/Easy</t>
        </is>
      </c>
      <c r="B22" t="inlineStr">
        <is>
          <t>defend</t>
        </is>
      </c>
      <c r="C22" t="inlineStr">
        <is>
          <t>Easy</t>
        </is>
      </c>
      <c r="D22" t="inlineStr">
        <is>
          <t>Never</t>
        </is>
      </c>
      <c r="E22">
        <f>IF(INDEX(AI_ho_so_che_do!$B$2:$B$21,MATCH($B$22,AI_ho_so_che_do!$A$2:$A$21,0))&amp;""="*",COUNTIFS(Chien_thuat!$A$2:$A$17,"*"),IF(INDEX(AI_ho_so_che_do!$B$2:$B$21,MATCH($B$22,AI_ho_so_che_do!$A$2:$A$21,0))&amp;""="",0,LEN(INDEX(AI_ho_so_che_do!$B$2:$B$21,MATCH($B$22,AI_ho_so_che_do!$A$2:$A$21,0))&amp;"")-LEN(SUBSTITUTE(INDEX(AI_ho_so_che_do!$B$2:$B$21,MATCH($B$22,AI_ho_so_che_do!$A$2:$A$21,0))&amp;"",";",""))+1))</f>
        <v/>
      </c>
      <c r="F22">
        <f>IF(OR($E$22&lt;=1,ISNUMBER(FIND(";noGeneralTactic;",";"&amp;INDEX(AI_ho_so_che_do!$O$2:$O$21,MATCH($B$22,AI_ho_so_che_do!$A$2:$A$21,0))&amp;";"))),"Never",$D$22)</f>
        <v/>
      </c>
      <c r="G22" t="inlineStr">
        <is>
          <t>Never</t>
        </is>
      </c>
      <c r="H22">
        <f>IF($D$22="Never","KHONG_DOI",IF($F$22="Never","HO_SO_CHAN","DO_KHO_CHO_DOI"))</f>
        <v/>
      </c>
      <c r="I22">
        <f>COUNTIFS(AI_ho_so_pha!$B$2:$B$6,$B$22)</f>
        <v/>
      </c>
      <c r="J22" t="inlineStr">
        <is>
          <t>Sim/AI/Commander.cs:45 (AiSkill.For Easy); balance.json aiModeProfiles.profiles.defend</t>
        </is>
      </c>
      <c r="K22" t="inlineStr"/>
    </row>
    <row r="23">
      <c r="A23" t="inlineStr">
        <is>
          <t>defend/Hard</t>
        </is>
      </c>
      <c r="B23" t="inlineStr">
        <is>
          <t>defend</t>
        </is>
      </c>
      <c r="C23" t="inlineStr">
        <is>
          <t>Hard</t>
        </is>
      </c>
      <c r="D23" t="inlineStr">
        <is>
          <t>WhenLosing</t>
        </is>
      </c>
      <c r="E23">
        <f>IF(INDEX(AI_ho_so_che_do!$B$2:$B$21,MATCH($B$23,AI_ho_so_che_do!$A$2:$A$21,0))&amp;""="*",COUNTIFS(Chien_thuat!$A$2:$A$17,"*"),IF(INDEX(AI_ho_so_che_do!$B$2:$B$21,MATCH($B$23,AI_ho_so_che_do!$A$2:$A$21,0))&amp;""="",0,LEN(INDEX(AI_ho_so_che_do!$B$2:$B$21,MATCH($B$23,AI_ho_so_che_do!$A$2:$A$21,0))&amp;"")-LEN(SUBSTITUTE(INDEX(AI_ho_so_che_do!$B$2:$B$21,MATCH($B$23,AI_ho_so_che_do!$A$2:$A$21,0))&amp;"",";",""))+1))</f>
        <v/>
      </c>
      <c r="F23">
        <f>IF(OR($E$23&lt;=1,ISNUMBER(FIND(";noGeneralTactic;",";"&amp;INDEX(AI_ho_so_che_do!$O$2:$O$21,MATCH($B$23,AI_ho_so_che_do!$A$2:$A$21,0))&amp;";"))),"Never",$D$23)</f>
        <v/>
      </c>
      <c r="G23" t="inlineStr">
        <is>
          <t>Never</t>
        </is>
      </c>
      <c r="H23">
        <f>IF($D$23="Never","KHONG_DOI",IF($F$23="Never","HO_SO_CHAN","DO_KHO_CHO_DOI"))</f>
        <v/>
      </c>
      <c r="I23">
        <f>COUNTIFS(AI_ho_so_pha!$B$2:$B$6,$B$23)</f>
        <v/>
      </c>
      <c r="J23" t="inlineStr">
        <is>
          <t>Sim/AI/Commander.cs:46 (AiSkill.For Hard); balance.json aiModeProfiles.profiles.defend</t>
        </is>
      </c>
      <c r="K23" t="inlineStr"/>
    </row>
    <row r="24">
      <c r="A24" t="inlineStr">
        <is>
          <t>defend/Normal</t>
        </is>
      </c>
      <c r="B24" t="inlineStr">
        <is>
          <t>defend</t>
        </is>
      </c>
      <c r="C24" t="inlineStr">
        <is>
          <t>Normal</t>
        </is>
      </c>
      <c r="D24" t="inlineStr">
        <is>
          <t>Never</t>
        </is>
      </c>
      <c r="E24">
        <f>IF(INDEX(AI_ho_so_che_do!$B$2:$B$21,MATCH($B$24,AI_ho_so_che_do!$A$2:$A$21,0))&amp;""="*",COUNTIFS(Chien_thuat!$A$2:$A$17,"*"),IF(INDEX(AI_ho_so_che_do!$B$2:$B$21,MATCH($B$24,AI_ho_so_che_do!$A$2:$A$21,0))&amp;""="",0,LEN(INDEX(AI_ho_so_che_do!$B$2:$B$21,MATCH($B$24,AI_ho_so_che_do!$A$2:$A$21,0))&amp;"")-LEN(SUBSTITUTE(INDEX(AI_ho_so_che_do!$B$2:$B$21,MATCH($B$24,AI_ho_so_che_do!$A$2:$A$21,0))&amp;"",";",""))+1))</f>
        <v/>
      </c>
      <c r="F24">
        <f>IF(OR($E$24&lt;=1,ISNUMBER(FIND(";noGeneralTactic;",";"&amp;INDEX(AI_ho_so_che_do!$O$2:$O$21,MATCH($B$24,AI_ho_so_che_do!$A$2:$A$21,0))&amp;";"))),"Never",$D$24)</f>
        <v/>
      </c>
      <c r="G24" t="inlineStr">
        <is>
          <t>Never</t>
        </is>
      </c>
      <c r="H24">
        <f>IF($D$24="Never","KHONG_DOI",IF($F$24="Never","HO_SO_CHAN","DO_KHO_CHO_DOI"))</f>
        <v/>
      </c>
      <c r="I24">
        <f>COUNTIFS(AI_ho_so_pha!$B$2:$B$6,$B$24)</f>
        <v/>
      </c>
      <c r="J24" t="inlineStr">
        <is>
          <t>Sim/AI/Commander.cs:57 (AiSkill.For Normal); balance.json aiModeProfiles.profiles.defend</t>
        </is>
      </c>
      <c r="K24" t="inlineStr"/>
    </row>
    <row r="25">
      <c r="A25" t="inlineStr">
        <is>
          <t>defend/VeryHard</t>
        </is>
      </c>
      <c r="B25" t="inlineStr">
        <is>
          <t>defend</t>
        </is>
      </c>
      <c r="C25" t="inlineStr">
        <is>
          <t>VeryHard</t>
        </is>
      </c>
      <c r="D25" t="inlineStr">
        <is>
          <t>Counter</t>
        </is>
      </c>
      <c r="E25">
        <f>IF(INDEX(AI_ho_so_che_do!$B$2:$B$21,MATCH($B$25,AI_ho_so_che_do!$A$2:$A$21,0))&amp;""="*",COUNTIFS(Chien_thuat!$A$2:$A$17,"*"),IF(INDEX(AI_ho_so_che_do!$B$2:$B$21,MATCH($B$25,AI_ho_so_che_do!$A$2:$A$21,0))&amp;""="",0,LEN(INDEX(AI_ho_so_che_do!$B$2:$B$21,MATCH($B$25,AI_ho_so_che_do!$A$2:$A$21,0))&amp;"")-LEN(SUBSTITUTE(INDEX(AI_ho_so_che_do!$B$2:$B$21,MATCH($B$25,AI_ho_so_che_do!$A$2:$A$21,0))&amp;"",";",""))+1))</f>
        <v/>
      </c>
      <c r="F25">
        <f>IF(OR($E$25&lt;=1,ISNUMBER(FIND(";noGeneralTactic;",";"&amp;INDEX(AI_ho_so_che_do!$O$2:$O$21,MATCH($B$25,AI_ho_so_che_do!$A$2:$A$21,0))&amp;";"))),"Never",$D$25)</f>
        <v/>
      </c>
      <c r="G25" t="inlineStr">
        <is>
          <t>Never</t>
        </is>
      </c>
      <c r="H25">
        <f>IF($D$25="Never","KHONG_DOI",IF($F$25="Never","HO_SO_CHAN","DO_KHO_CHO_DOI"))</f>
        <v/>
      </c>
      <c r="I25">
        <f>COUNTIFS(AI_ho_so_pha!$B$2:$B$6,$B$25)</f>
        <v/>
      </c>
      <c r="J25" t="inlineStr">
        <is>
          <t>Sim/AI/Commander.cs:52 (AiSkill.For VeryHard); balance.json aiModeProfiles.profiles.defend</t>
        </is>
      </c>
      <c r="K25" t="inlineStr"/>
    </row>
    <row r="26">
      <c r="A26" t="inlineStr">
        <is>
          <t>escort/Easy</t>
        </is>
      </c>
      <c r="B26" t="inlineStr">
        <is>
          <t>escort</t>
        </is>
      </c>
      <c r="C26" t="inlineStr">
        <is>
          <t>Easy</t>
        </is>
      </c>
      <c r="D26" t="inlineStr">
        <is>
          <t>Never</t>
        </is>
      </c>
      <c r="E26">
        <f>IF(INDEX(AI_ho_so_che_do!$B$2:$B$21,MATCH($B$26,AI_ho_so_che_do!$A$2:$A$21,0))&amp;""="*",COUNTIFS(Chien_thuat!$A$2:$A$17,"*"),IF(INDEX(AI_ho_so_che_do!$B$2:$B$21,MATCH($B$26,AI_ho_so_che_do!$A$2:$A$21,0))&amp;""="",0,LEN(INDEX(AI_ho_so_che_do!$B$2:$B$21,MATCH($B$26,AI_ho_so_che_do!$A$2:$A$21,0))&amp;"")-LEN(SUBSTITUTE(INDEX(AI_ho_so_che_do!$B$2:$B$21,MATCH($B$26,AI_ho_so_che_do!$A$2:$A$21,0))&amp;"",";",""))+1))</f>
        <v/>
      </c>
      <c r="F26">
        <f>IF(OR($E$26&lt;=1,ISNUMBER(FIND(";noGeneralTactic;",";"&amp;INDEX(AI_ho_so_che_do!$O$2:$O$21,MATCH($B$26,AI_ho_so_che_do!$A$2:$A$21,0))&amp;";"))),"Never",$D$26)</f>
        <v/>
      </c>
      <c r="G26" t="inlineStr">
        <is>
          <t>Never</t>
        </is>
      </c>
      <c r="H26">
        <f>IF($D$26="Never","KHONG_DOI",IF($F$26="Never","HO_SO_CHAN","DO_KHO_CHO_DOI"))</f>
        <v/>
      </c>
      <c r="I26">
        <f>COUNTIFS(AI_ho_so_pha!$B$2:$B$6,$B$26)</f>
        <v/>
      </c>
      <c r="J26" t="inlineStr">
        <is>
          <t>Sim/AI/Commander.cs:45 (AiSkill.For Easy); balance.json aiModeProfiles.profiles.escort</t>
        </is>
      </c>
      <c r="K26" t="inlineStr"/>
    </row>
    <row r="27">
      <c r="A27" t="inlineStr">
        <is>
          <t>escort/Hard</t>
        </is>
      </c>
      <c r="B27" t="inlineStr">
        <is>
          <t>escort</t>
        </is>
      </c>
      <c r="C27" t="inlineStr">
        <is>
          <t>Hard</t>
        </is>
      </c>
      <c r="D27" t="inlineStr">
        <is>
          <t>WhenLosing</t>
        </is>
      </c>
      <c r="E27">
        <f>IF(INDEX(AI_ho_so_che_do!$B$2:$B$21,MATCH($B$27,AI_ho_so_che_do!$A$2:$A$21,0))&amp;""="*",COUNTIFS(Chien_thuat!$A$2:$A$17,"*"),IF(INDEX(AI_ho_so_che_do!$B$2:$B$21,MATCH($B$27,AI_ho_so_che_do!$A$2:$A$21,0))&amp;""="",0,LEN(INDEX(AI_ho_so_che_do!$B$2:$B$21,MATCH($B$27,AI_ho_so_che_do!$A$2:$A$21,0))&amp;"")-LEN(SUBSTITUTE(INDEX(AI_ho_so_che_do!$B$2:$B$21,MATCH($B$27,AI_ho_so_che_do!$A$2:$A$21,0))&amp;"",";",""))+1))</f>
        <v/>
      </c>
      <c r="F27">
        <f>IF(OR($E$27&lt;=1,ISNUMBER(FIND(";noGeneralTactic;",";"&amp;INDEX(AI_ho_so_che_do!$O$2:$O$21,MATCH($B$27,AI_ho_so_che_do!$A$2:$A$21,0))&amp;";"))),"Never",$D$27)</f>
        <v/>
      </c>
      <c r="G27" t="inlineStr">
        <is>
          <t>WhenLosing</t>
        </is>
      </c>
      <c r="H27">
        <f>IF($D$27="Never","KHONG_DOI",IF($F$27="Never","HO_SO_CHAN","DO_KHO_CHO_DOI"))</f>
        <v/>
      </c>
      <c r="I27">
        <f>COUNTIFS(AI_ho_so_pha!$B$2:$B$6,$B$27)</f>
        <v/>
      </c>
      <c r="J27" t="inlineStr">
        <is>
          <t>Sim/AI/Commander.cs:46 (AiSkill.For Hard); balance.json aiModeProfiles.profiles.escort</t>
        </is>
      </c>
      <c r="K27" t="inlineStr"/>
    </row>
    <row r="28">
      <c r="A28" t="inlineStr">
        <is>
          <t>escort/Normal</t>
        </is>
      </c>
      <c r="B28" t="inlineStr">
        <is>
          <t>escort</t>
        </is>
      </c>
      <c r="C28" t="inlineStr">
        <is>
          <t>Normal</t>
        </is>
      </c>
      <c r="D28" t="inlineStr">
        <is>
          <t>Never</t>
        </is>
      </c>
      <c r="E28">
        <f>IF(INDEX(AI_ho_so_che_do!$B$2:$B$21,MATCH($B$28,AI_ho_so_che_do!$A$2:$A$21,0))&amp;""="*",COUNTIFS(Chien_thuat!$A$2:$A$17,"*"),IF(INDEX(AI_ho_so_che_do!$B$2:$B$21,MATCH($B$28,AI_ho_so_che_do!$A$2:$A$21,0))&amp;""="",0,LEN(INDEX(AI_ho_so_che_do!$B$2:$B$21,MATCH($B$28,AI_ho_so_che_do!$A$2:$A$21,0))&amp;"")-LEN(SUBSTITUTE(INDEX(AI_ho_so_che_do!$B$2:$B$21,MATCH($B$28,AI_ho_so_che_do!$A$2:$A$21,0))&amp;"",";",""))+1))</f>
        <v/>
      </c>
      <c r="F28">
        <f>IF(OR($E$28&lt;=1,ISNUMBER(FIND(";noGeneralTactic;",";"&amp;INDEX(AI_ho_so_che_do!$O$2:$O$21,MATCH($B$28,AI_ho_so_che_do!$A$2:$A$21,0))&amp;";"))),"Never",$D$28)</f>
        <v/>
      </c>
      <c r="G28" t="inlineStr">
        <is>
          <t>Never</t>
        </is>
      </c>
      <c r="H28">
        <f>IF($D$28="Never","KHONG_DOI",IF($F$28="Never","HO_SO_CHAN","DO_KHO_CHO_DOI"))</f>
        <v/>
      </c>
      <c r="I28">
        <f>COUNTIFS(AI_ho_so_pha!$B$2:$B$6,$B$28)</f>
        <v/>
      </c>
      <c r="J28" t="inlineStr">
        <is>
          <t>Sim/AI/Commander.cs:57 (AiSkill.For Normal); balance.json aiModeProfiles.profiles.escort</t>
        </is>
      </c>
      <c r="K28" t="inlineStr"/>
    </row>
    <row r="29">
      <c r="A29" t="inlineStr">
        <is>
          <t>escort/VeryHard</t>
        </is>
      </c>
      <c r="B29" t="inlineStr">
        <is>
          <t>escort</t>
        </is>
      </c>
      <c r="C29" t="inlineStr">
        <is>
          <t>VeryHard</t>
        </is>
      </c>
      <c r="D29" t="inlineStr">
        <is>
          <t>Counter</t>
        </is>
      </c>
      <c r="E29">
        <f>IF(INDEX(AI_ho_so_che_do!$B$2:$B$21,MATCH($B$29,AI_ho_so_che_do!$A$2:$A$21,0))&amp;""="*",COUNTIFS(Chien_thuat!$A$2:$A$17,"*"),IF(INDEX(AI_ho_so_che_do!$B$2:$B$21,MATCH($B$29,AI_ho_so_che_do!$A$2:$A$21,0))&amp;""="",0,LEN(INDEX(AI_ho_so_che_do!$B$2:$B$21,MATCH($B$29,AI_ho_so_che_do!$A$2:$A$21,0))&amp;"")-LEN(SUBSTITUTE(INDEX(AI_ho_so_che_do!$B$2:$B$21,MATCH($B$29,AI_ho_so_che_do!$A$2:$A$21,0))&amp;"",";",""))+1))</f>
        <v/>
      </c>
      <c r="F29">
        <f>IF(OR($E$29&lt;=1,ISNUMBER(FIND(";noGeneralTactic;",";"&amp;INDEX(AI_ho_so_che_do!$O$2:$O$21,MATCH($B$29,AI_ho_so_che_do!$A$2:$A$21,0))&amp;";"))),"Never",$D$29)</f>
        <v/>
      </c>
      <c r="G29" t="inlineStr">
        <is>
          <t>Counter</t>
        </is>
      </c>
      <c r="H29">
        <f>IF($D$29="Never","KHONG_DOI",IF($F$29="Never","HO_SO_CHAN","DO_KHO_CHO_DOI"))</f>
        <v/>
      </c>
      <c r="I29">
        <f>COUNTIFS(AI_ho_so_pha!$B$2:$B$6,$B$29)</f>
        <v/>
      </c>
      <c r="J29" t="inlineStr">
        <is>
          <t>Sim/AI/Commander.cs:52 (AiSkill.For VeryHard); balance.json aiModeProfiles.profiles.escort</t>
        </is>
      </c>
      <c r="K29" t="inlineStr"/>
    </row>
    <row r="30">
      <c r="A30" t="inlineStr">
        <is>
          <t>fixed_deck/Easy</t>
        </is>
      </c>
      <c r="B30" t="inlineStr">
        <is>
          <t>fixed_deck</t>
        </is>
      </c>
      <c r="C30" t="inlineStr">
        <is>
          <t>Easy</t>
        </is>
      </c>
      <c r="D30" t="inlineStr">
        <is>
          <t>Never</t>
        </is>
      </c>
      <c r="E30">
        <f>IF(INDEX(AI_ho_so_che_do!$B$2:$B$21,MATCH($B$30,AI_ho_so_che_do!$A$2:$A$21,0))&amp;""="*",COUNTIFS(Chien_thuat!$A$2:$A$17,"*"),IF(INDEX(AI_ho_so_che_do!$B$2:$B$21,MATCH($B$30,AI_ho_so_che_do!$A$2:$A$21,0))&amp;""="",0,LEN(INDEX(AI_ho_so_che_do!$B$2:$B$21,MATCH($B$30,AI_ho_so_che_do!$A$2:$A$21,0))&amp;"")-LEN(SUBSTITUTE(INDEX(AI_ho_so_che_do!$B$2:$B$21,MATCH($B$30,AI_ho_so_che_do!$A$2:$A$21,0))&amp;"",";",""))+1))</f>
        <v/>
      </c>
      <c r="F30">
        <f>IF(OR($E$30&lt;=1,ISNUMBER(FIND(";noGeneralTactic;",";"&amp;INDEX(AI_ho_so_che_do!$O$2:$O$21,MATCH($B$30,AI_ho_so_che_do!$A$2:$A$21,0))&amp;";"))),"Never",$D$30)</f>
        <v/>
      </c>
      <c r="G30" t="inlineStr">
        <is>
          <t>Never</t>
        </is>
      </c>
      <c r="H30">
        <f>IF($D$30="Never","KHONG_DOI",IF($F$30="Never","HO_SO_CHAN","DO_KHO_CHO_DOI"))</f>
        <v/>
      </c>
      <c r="I30">
        <f>COUNTIFS(AI_ho_so_pha!$B$2:$B$6,$B$30)</f>
        <v/>
      </c>
      <c r="J30" t="inlineStr">
        <is>
          <t>Sim/AI/Commander.cs:45 (AiSkill.For Easy); balance.json aiModeProfiles.profiles.fixed_deck</t>
        </is>
      </c>
      <c r="K30" t="inlineStr"/>
    </row>
    <row r="31">
      <c r="A31" t="inlineStr">
        <is>
          <t>fixed_deck/Hard</t>
        </is>
      </c>
      <c r="B31" t="inlineStr">
        <is>
          <t>fixed_deck</t>
        </is>
      </c>
      <c r="C31" t="inlineStr">
        <is>
          <t>Hard</t>
        </is>
      </c>
      <c r="D31" t="inlineStr">
        <is>
          <t>WhenLosing</t>
        </is>
      </c>
      <c r="E31">
        <f>IF(INDEX(AI_ho_so_che_do!$B$2:$B$21,MATCH($B$31,AI_ho_so_che_do!$A$2:$A$21,0))&amp;""="*",COUNTIFS(Chien_thuat!$A$2:$A$17,"*"),IF(INDEX(AI_ho_so_che_do!$B$2:$B$21,MATCH($B$31,AI_ho_so_che_do!$A$2:$A$21,0))&amp;""="",0,LEN(INDEX(AI_ho_so_che_do!$B$2:$B$21,MATCH($B$31,AI_ho_so_che_do!$A$2:$A$21,0))&amp;"")-LEN(SUBSTITUTE(INDEX(AI_ho_so_che_do!$B$2:$B$21,MATCH($B$31,AI_ho_so_che_do!$A$2:$A$21,0))&amp;"",";",""))+1))</f>
        <v/>
      </c>
      <c r="F31">
        <f>IF(OR($E$31&lt;=1,ISNUMBER(FIND(";noGeneralTactic;",";"&amp;INDEX(AI_ho_so_che_do!$O$2:$O$21,MATCH($B$31,AI_ho_so_che_do!$A$2:$A$21,0))&amp;";"))),"Never",$D$31)</f>
        <v/>
      </c>
      <c r="G31" t="inlineStr">
        <is>
          <t>WhenLosing</t>
        </is>
      </c>
      <c r="H31">
        <f>IF($D$31="Never","KHONG_DOI",IF($F$31="Never","HO_SO_CHAN","DO_KHO_CHO_DOI"))</f>
        <v/>
      </c>
      <c r="I31">
        <f>COUNTIFS(AI_ho_so_pha!$B$2:$B$6,$B$31)</f>
        <v/>
      </c>
      <c r="J31" t="inlineStr">
        <is>
          <t>Sim/AI/Commander.cs:46 (AiSkill.For Hard); balance.json aiModeProfiles.profiles.fixed_deck</t>
        </is>
      </c>
      <c r="K31" t="inlineStr"/>
    </row>
    <row r="32">
      <c r="A32" t="inlineStr">
        <is>
          <t>fixed_deck/Normal</t>
        </is>
      </c>
      <c r="B32" t="inlineStr">
        <is>
          <t>fixed_deck</t>
        </is>
      </c>
      <c r="C32" t="inlineStr">
        <is>
          <t>Normal</t>
        </is>
      </c>
      <c r="D32" t="inlineStr">
        <is>
          <t>Never</t>
        </is>
      </c>
      <c r="E32">
        <f>IF(INDEX(AI_ho_so_che_do!$B$2:$B$21,MATCH($B$32,AI_ho_so_che_do!$A$2:$A$21,0))&amp;""="*",COUNTIFS(Chien_thuat!$A$2:$A$17,"*"),IF(INDEX(AI_ho_so_che_do!$B$2:$B$21,MATCH($B$32,AI_ho_so_che_do!$A$2:$A$21,0))&amp;""="",0,LEN(INDEX(AI_ho_so_che_do!$B$2:$B$21,MATCH($B$32,AI_ho_so_che_do!$A$2:$A$21,0))&amp;"")-LEN(SUBSTITUTE(INDEX(AI_ho_so_che_do!$B$2:$B$21,MATCH($B$32,AI_ho_so_che_do!$A$2:$A$21,0))&amp;"",";",""))+1))</f>
        <v/>
      </c>
      <c r="F32">
        <f>IF(OR($E$32&lt;=1,ISNUMBER(FIND(";noGeneralTactic;",";"&amp;INDEX(AI_ho_so_che_do!$O$2:$O$21,MATCH($B$32,AI_ho_so_che_do!$A$2:$A$21,0))&amp;";"))),"Never",$D$32)</f>
        <v/>
      </c>
      <c r="G32" t="inlineStr">
        <is>
          <t>Never</t>
        </is>
      </c>
      <c r="H32">
        <f>IF($D$32="Never","KHONG_DOI",IF($F$32="Never","HO_SO_CHAN","DO_KHO_CHO_DOI"))</f>
        <v/>
      </c>
      <c r="I32">
        <f>COUNTIFS(AI_ho_so_pha!$B$2:$B$6,$B$32)</f>
        <v/>
      </c>
      <c r="J32" t="inlineStr">
        <is>
          <t>Sim/AI/Commander.cs:57 (AiSkill.For Normal); balance.json aiModeProfiles.profiles.fixed_deck</t>
        </is>
      </c>
      <c r="K32" t="inlineStr"/>
    </row>
    <row r="33">
      <c r="A33" t="inlineStr">
        <is>
          <t>fixed_deck/VeryHard</t>
        </is>
      </c>
      <c r="B33" t="inlineStr">
        <is>
          <t>fixed_deck</t>
        </is>
      </c>
      <c r="C33" t="inlineStr">
        <is>
          <t>VeryHard</t>
        </is>
      </c>
      <c r="D33" t="inlineStr">
        <is>
          <t>Counter</t>
        </is>
      </c>
      <c r="E33">
        <f>IF(INDEX(AI_ho_so_che_do!$B$2:$B$21,MATCH($B$33,AI_ho_so_che_do!$A$2:$A$21,0))&amp;""="*",COUNTIFS(Chien_thuat!$A$2:$A$17,"*"),IF(INDEX(AI_ho_so_che_do!$B$2:$B$21,MATCH($B$33,AI_ho_so_che_do!$A$2:$A$21,0))&amp;""="",0,LEN(INDEX(AI_ho_so_che_do!$B$2:$B$21,MATCH($B$33,AI_ho_so_che_do!$A$2:$A$21,0))&amp;"")-LEN(SUBSTITUTE(INDEX(AI_ho_so_che_do!$B$2:$B$21,MATCH($B$33,AI_ho_so_che_do!$A$2:$A$21,0))&amp;"",";",""))+1))</f>
        <v/>
      </c>
      <c r="F33">
        <f>IF(OR($E$33&lt;=1,ISNUMBER(FIND(";noGeneralTactic;",";"&amp;INDEX(AI_ho_so_che_do!$O$2:$O$21,MATCH($B$33,AI_ho_so_che_do!$A$2:$A$21,0))&amp;";"))),"Never",$D$33)</f>
        <v/>
      </c>
      <c r="G33" t="inlineStr">
        <is>
          <t>Counter</t>
        </is>
      </c>
      <c r="H33">
        <f>IF($D$33="Never","KHONG_DOI",IF($F$33="Never","HO_SO_CHAN","DO_KHO_CHO_DOI"))</f>
        <v/>
      </c>
      <c r="I33">
        <f>COUNTIFS(AI_ho_so_pha!$B$2:$B$6,$B$33)</f>
        <v/>
      </c>
      <c r="J33" t="inlineStr">
        <is>
          <t>Sim/AI/Commander.cs:52 (AiSkill.For VeryHard); balance.json aiModeProfiles.profiles.fixed_deck</t>
        </is>
      </c>
      <c r="K33" t="inlineStr"/>
    </row>
    <row r="34">
      <c r="A34" t="inlineStr">
        <is>
          <t>hill/Easy</t>
        </is>
      </c>
      <c r="B34" t="inlineStr">
        <is>
          <t>hill</t>
        </is>
      </c>
      <c r="C34" t="inlineStr">
        <is>
          <t>Easy</t>
        </is>
      </c>
      <c r="D34" t="inlineStr">
        <is>
          <t>Never</t>
        </is>
      </c>
      <c r="E34">
        <f>IF(INDEX(AI_ho_so_che_do!$B$2:$B$21,MATCH($B$34,AI_ho_so_che_do!$A$2:$A$21,0))&amp;""="*",COUNTIFS(Chien_thuat!$A$2:$A$17,"*"),IF(INDEX(AI_ho_so_che_do!$B$2:$B$21,MATCH($B$34,AI_ho_so_che_do!$A$2:$A$21,0))&amp;""="",0,LEN(INDEX(AI_ho_so_che_do!$B$2:$B$21,MATCH($B$34,AI_ho_so_che_do!$A$2:$A$21,0))&amp;"")-LEN(SUBSTITUTE(INDEX(AI_ho_so_che_do!$B$2:$B$21,MATCH($B$34,AI_ho_so_che_do!$A$2:$A$21,0))&amp;"",";",""))+1))</f>
        <v/>
      </c>
      <c r="F34">
        <f>IF(OR($E$34&lt;=1,ISNUMBER(FIND(";noGeneralTactic;",";"&amp;INDEX(AI_ho_so_che_do!$O$2:$O$21,MATCH($B$34,AI_ho_so_che_do!$A$2:$A$21,0))&amp;";"))),"Never",$D$34)</f>
        <v/>
      </c>
      <c r="G34" t="inlineStr">
        <is>
          <t>Never</t>
        </is>
      </c>
      <c r="H34">
        <f>IF($D$34="Never","KHONG_DOI",IF($F$34="Never","HO_SO_CHAN","DO_KHO_CHO_DOI"))</f>
        <v/>
      </c>
      <c r="I34">
        <f>COUNTIFS(AI_ho_so_pha!$B$2:$B$6,$B$34)</f>
        <v/>
      </c>
      <c r="J34" t="inlineStr">
        <is>
          <t>Sim/AI/Commander.cs:45 (AiSkill.For Easy); balance.json aiModeProfiles.profiles.hill</t>
        </is>
      </c>
      <c r="K34" t="inlineStr"/>
    </row>
    <row r="35">
      <c r="A35" t="inlineStr">
        <is>
          <t>hill/Hard</t>
        </is>
      </c>
      <c r="B35" t="inlineStr">
        <is>
          <t>hill</t>
        </is>
      </c>
      <c r="C35" t="inlineStr">
        <is>
          <t>Hard</t>
        </is>
      </c>
      <c r="D35" t="inlineStr">
        <is>
          <t>WhenLosing</t>
        </is>
      </c>
      <c r="E35">
        <f>IF(INDEX(AI_ho_so_che_do!$B$2:$B$21,MATCH($B$35,AI_ho_so_che_do!$A$2:$A$21,0))&amp;""="*",COUNTIFS(Chien_thuat!$A$2:$A$17,"*"),IF(INDEX(AI_ho_so_che_do!$B$2:$B$21,MATCH($B$35,AI_ho_so_che_do!$A$2:$A$21,0))&amp;""="",0,LEN(INDEX(AI_ho_so_che_do!$B$2:$B$21,MATCH($B$35,AI_ho_so_che_do!$A$2:$A$21,0))&amp;"")-LEN(SUBSTITUTE(INDEX(AI_ho_so_che_do!$B$2:$B$21,MATCH($B$35,AI_ho_so_che_do!$A$2:$A$21,0))&amp;"",";",""))+1))</f>
        <v/>
      </c>
      <c r="F35">
        <f>IF(OR($E$35&lt;=1,ISNUMBER(FIND(";noGeneralTactic;",";"&amp;INDEX(AI_ho_so_che_do!$O$2:$O$21,MATCH($B$35,AI_ho_so_che_do!$A$2:$A$21,0))&amp;";"))),"Never",$D$35)</f>
        <v/>
      </c>
      <c r="G35" t="inlineStr">
        <is>
          <t>WhenLosing</t>
        </is>
      </c>
      <c r="H35">
        <f>IF($D$35="Never","KHONG_DOI",IF($F$35="Never","HO_SO_CHAN","DO_KHO_CHO_DOI"))</f>
        <v/>
      </c>
      <c r="I35">
        <f>COUNTIFS(AI_ho_so_pha!$B$2:$B$6,$B$35)</f>
        <v/>
      </c>
      <c r="J35" t="inlineStr">
        <is>
          <t>Sim/AI/Commander.cs:46 (AiSkill.For Hard); balance.json aiModeProfiles.profiles.hill</t>
        </is>
      </c>
      <c r="K35" t="inlineStr"/>
    </row>
    <row r="36">
      <c r="A36" t="inlineStr">
        <is>
          <t>hill/Normal</t>
        </is>
      </c>
      <c r="B36" t="inlineStr">
        <is>
          <t>hill</t>
        </is>
      </c>
      <c r="C36" t="inlineStr">
        <is>
          <t>Normal</t>
        </is>
      </c>
      <c r="D36" t="inlineStr">
        <is>
          <t>Never</t>
        </is>
      </c>
      <c r="E36">
        <f>IF(INDEX(AI_ho_so_che_do!$B$2:$B$21,MATCH($B$36,AI_ho_so_che_do!$A$2:$A$21,0))&amp;""="*",COUNTIFS(Chien_thuat!$A$2:$A$17,"*"),IF(INDEX(AI_ho_so_che_do!$B$2:$B$21,MATCH($B$36,AI_ho_so_che_do!$A$2:$A$21,0))&amp;""="",0,LEN(INDEX(AI_ho_so_che_do!$B$2:$B$21,MATCH($B$36,AI_ho_so_che_do!$A$2:$A$21,0))&amp;"")-LEN(SUBSTITUTE(INDEX(AI_ho_so_che_do!$B$2:$B$21,MATCH($B$36,AI_ho_so_che_do!$A$2:$A$21,0))&amp;"",";",""))+1))</f>
        <v/>
      </c>
      <c r="F36">
        <f>IF(OR($E$36&lt;=1,ISNUMBER(FIND(";noGeneralTactic;",";"&amp;INDEX(AI_ho_so_che_do!$O$2:$O$21,MATCH($B$36,AI_ho_so_che_do!$A$2:$A$21,0))&amp;";"))),"Never",$D$36)</f>
        <v/>
      </c>
      <c r="G36" t="inlineStr">
        <is>
          <t>Never</t>
        </is>
      </c>
      <c r="H36">
        <f>IF($D$36="Never","KHONG_DOI",IF($F$36="Never","HO_SO_CHAN","DO_KHO_CHO_DOI"))</f>
        <v/>
      </c>
      <c r="I36">
        <f>COUNTIFS(AI_ho_so_pha!$B$2:$B$6,$B$36)</f>
        <v/>
      </c>
      <c r="J36" t="inlineStr">
        <is>
          <t>Sim/AI/Commander.cs:57 (AiSkill.For Normal); balance.json aiModeProfiles.profiles.hill</t>
        </is>
      </c>
      <c r="K36" t="inlineStr"/>
    </row>
    <row r="37">
      <c r="A37" t="inlineStr">
        <is>
          <t>hill/VeryHard</t>
        </is>
      </c>
      <c r="B37" t="inlineStr">
        <is>
          <t>hill</t>
        </is>
      </c>
      <c r="C37" t="inlineStr">
        <is>
          <t>VeryHard</t>
        </is>
      </c>
      <c r="D37" t="inlineStr">
        <is>
          <t>Counter</t>
        </is>
      </c>
      <c r="E37">
        <f>IF(INDEX(AI_ho_so_che_do!$B$2:$B$21,MATCH($B$37,AI_ho_so_che_do!$A$2:$A$21,0))&amp;""="*",COUNTIFS(Chien_thuat!$A$2:$A$17,"*"),IF(INDEX(AI_ho_so_che_do!$B$2:$B$21,MATCH($B$37,AI_ho_so_che_do!$A$2:$A$21,0))&amp;""="",0,LEN(INDEX(AI_ho_so_che_do!$B$2:$B$21,MATCH($B$37,AI_ho_so_che_do!$A$2:$A$21,0))&amp;"")-LEN(SUBSTITUTE(INDEX(AI_ho_so_che_do!$B$2:$B$21,MATCH($B$37,AI_ho_so_che_do!$A$2:$A$21,0))&amp;"",";",""))+1))</f>
        <v/>
      </c>
      <c r="F37">
        <f>IF(OR($E$37&lt;=1,ISNUMBER(FIND(";noGeneralTactic;",";"&amp;INDEX(AI_ho_so_che_do!$O$2:$O$21,MATCH($B$37,AI_ho_so_che_do!$A$2:$A$21,0))&amp;";"))),"Never",$D$37)</f>
        <v/>
      </c>
      <c r="G37" t="inlineStr">
        <is>
          <t>Counter</t>
        </is>
      </c>
      <c r="H37">
        <f>IF($D$37="Never","KHONG_DOI",IF($F$37="Never","HO_SO_CHAN","DO_KHO_CHO_DOI"))</f>
        <v/>
      </c>
      <c r="I37">
        <f>COUNTIFS(AI_ho_so_pha!$B$2:$B$6,$B$37)</f>
        <v/>
      </c>
      <c r="J37" t="inlineStr">
        <is>
          <t>Sim/AI/Commander.cs:52 (AiSkill.For VeryHard); balance.json aiModeProfiles.profiles.hill</t>
        </is>
      </c>
      <c r="K37" t="inlineStr"/>
    </row>
    <row r="38">
      <c r="A38" t="inlineStr">
        <is>
          <t>hold/Easy</t>
        </is>
      </c>
      <c r="B38" t="inlineStr">
        <is>
          <t>hold</t>
        </is>
      </c>
      <c r="C38" t="inlineStr">
        <is>
          <t>Easy</t>
        </is>
      </c>
      <c r="D38" t="inlineStr">
        <is>
          <t>Never</t>
        </is>
      </c>
      <c r="E38">
        <f>IF(INDEX(AI_ho_so_che_do!$B$2:$B$21,MATCH($B$38,AI_ho_so_che_do!$A$2:$A$21,0))&amp;""="*",COUNTIFS(Chien_thuat!$A$2:$A$17,"*"),IF(INDEX(AI_ho_so_che_do!$B$2:$B$21,MATCH($B$38,AI_ho_so_che_do!$A$2:$A$21,0))&amp;""="",0,LEN(INDEX(AI_ho_so_che_do!$B$2:$B$21,MATCH($B$38,AI_ho_so_che_do!$A$2:$A$21,0))&amp;"")-LEN(SUBSTITUTE(INDEX(AI_ho_so_che_do!$B$2:$B$21,MATCH($B$38,AI_ho_so_che_do!$A$2:$A$21,0))&amp;"",";",""))+1))</f>
        <v/>
      </c>
      <c r="F38">
        <f>IF(OR($E$38&lt;=1,ISNUMBER(FIND(";noGeneralTactic;",";"&amp;INDEX(AI_ho_so_che_do!$O$2:$O$21,MATCH($B$38,AI_ho_so_che_do!$A$2:$A$21,0))&amp;";"))),"Never",$D$38)</f>
        <v/>
      </c>
      <c r="G38" t="inlineStr">
        <is>
          <t>Never</t>
        </is>
      </c>
      <c r="H38">
        <f>IF($D$38="Never","KHONG_DOI",IF($F$38="Never","HO_SO_CHAN","DO_KHO_CHO_DOI"))</f>
        <v/>
      </c>
      <c r="I38">
        <f>COUNTIFS(AI_ho_so_pha!$B$2:$B$6,$B$38)</f>
        <v/>
      </c>
      <c r="J38" t="inlineStr">
        <is>
          <t>Sim/AI/Commander.cs:45 (AiSkill.For Easy); balance.json aiModeProfiles.profiles.hold</t>
        </is>
      </c>
      <c r="K38" t="inlineStr"/>
    </row>
    <row r="39">
      <c r="A39" t="inlineStr">
        <is>
          <t>hold/Hard</t>
        </is>
      </c>
      <c r="B39" t="inlineStr">
        <is>
          <t>hold</t>
        </is>
      </c>
      <c r="C39" t="inlineStr">
        <is>
          <t>Hard</t>
        </is>
      </c>
      <c r="D39" t="inlineStr">
        <is>
          <t>WhenLosing</t>
        </is>
      </c>
      <c r="E39">
        <f>IF(INDEX(AI_ho_so_che_do!$B$2:$B$21,MATCH($B$39,AI_ho_so_che_do!$A$2:$A$21,0))&amp;""="*",COUNTIFS(Chien_thuat!$A$2:$A$17,"*"),IF(INDEX(AI_ho_so_che_do!$B$2:$B$21,MATCH($B$39,AI_ho_so_che_do!$A$2:$A$21,0))&amp;""="",0,LEN(INDEX(AI_ho_so_che_do!$B$2:$B$21,MATCH($B$39,AI_ho_so_che_do!$A$2:$A$21,0))&amp;"")-LEN(SUBSTITUTE(INDEX(AI_ho_so_che_do!$B$2:$B$21,MATCH($B$39,AI_ho_so_che_do!$A$2:$A$21,0))&amp;"",";",""))+1))</f>
        <v/>
      </c>
      <c r="F39">
        <f>IF(OR($E$39&lt;=1,ISNUMBER(FIND(";noGeneralTactic;",";"&amp;INDEX(AI_ho_so_che_do!$O$2:$O$21,MATCH($B$39,AI_ho_so_che_do!$A$2:$A$21,0))&amp;";"))),"Never",$D$39)</f>
        <v/>
      </c>
      <c r="G39" t="inlineStr">
        <is>
          <t>WhenLosing</t>
        </is>
      </c>
      <c r="H39">
        <f>IF($D$39="Never","KHONG_DOI",IF($F$39="Never","HO_SO_CHAN","DO_KHO_CHO_DOI"))</f>
        <v/>
      </c>
      <c r="I39">
        <f>COUNTIFS(AI_ho_so_pha!$B$2:$B$6,$B$39)</f>
        <v/>
      </c>
      <c r="J39" t="inlineStr">
        <is>
          <t>Sim/AI/Commander.cs:46 (AiSkill.For Hard); balance.json aiModeProfiles.profiles.hold</t>
        </is>
      </c>
      <c r="K39" t="inlineStr"/>
    </row>
    <row r="40">
      <c r="A40" t="inlineStr">
        <is>
          <t>hold/Normal</t>
        </is>
      </c>
      <c r="B40" t="inlineStr">
        <is>
          <t>hold</t>
        </is>
      </c>
      <c r="C40" t="inlineStr">
        <is>
          <t>Normal</t>
        </is>
      </c>
      <c r="D40" t="inlineStr">
        <is>
          <t>Never</t>
        </is>
      </c>
      <c r="E40">
        <f>IF(INDEX(AI_ho_so_che_do!$B$2:$B$21,MATCH($B$40,AI_ho_so_che_do!$A$2:$A$21,0))&amp;""="*",COUNTIFS(Chien_thuat!$A$2:$A$17,"*"),IF(INDEX(AI_ho_so_che_do!$B$2:$B$21,MATCH($B$40,AI_ho_so_che_do!$A$2:$A$21,0))&amp;""="",0,LEN(INDEX(AI_ho_so_che_do!$B$2:$B$21,MATCH($B$40,AI_ho_so_che_do!$A$2:$A$21,0))&amp;"")-LEN(SUBSTITUTE(INDEX(AI_ho_so_che_do!$B$2:$B$21,MATCH($B$40,AI_ho_so_che_do!$A$2:$A$21,0))&amp;"",";",""))+1))</f>
        <v/>
      </c>
      <c r="F40">
        <f>IF(OR($E$40&lt;=1,ISNUMBER(FIND(";noGeneralTactic;",";"&amp;INDEX(AI_ho_so_che_do!$O$2:$O$21,MATCH($B$40,AI_ho_so_che_do!$A$2:$A$21,0))&amp;";"))),"Never",$D$40)</f>
        <v/>
      </c>
      <c r="G40" t="inlineStr">
        <is>
          <t>Never</t>
        </is>
      </c>
      <c r="H40">
        <f>IF($D$40="Never","KHONG_DOI",IF($F$40="Never","HO_SO_CHAN","DO_KHO_CHO_DOI"))</f>
        <v/>
      </c>
      <c r="I40">
        <f>COUNTIFS(AI_ho_so_pha!$B$2:$B$6,$B$40)</f>
        <v/>
      </c>
      <c r="J40" t="inlineStr">
        <is>
          <t>Sim/AI/Commander.cs:57 (AiSkill.For Normal); balance.json aiModeProfiles.profiles.hold</t>
        </is>
      </c>
      <c r="K40" t="inlineStr"/>
    </row>
    <row r="41">
      <c r="A41" t="inlineStr">
        <is>
          <t>hold/VeryHard</t>
        </is>
      </c>
      <c r="B41" t="inlineStr">
        <is>
          <t>hold</t>
        </is>
      </c>
      <c r="C41" t="inlineStr">
        <is>
          <t>VeryHard</t>
        </is>
      </c>
      <c r="D41" t="inlineStr">
        <is>
          <t>Counter</t>
        </is>
      </c>
      <c r="E41">
        <f>IF(INDEX(AI_ho_so_che_do!$B$2:$B$21,MATCH($B$41,AI_ho_so_che_do!$A$2:$A$21,0))&amp;""="*",COUNTIFS(Chien_thuat!$A$2:$A$17,"*"),IF(INDEX(AI_ho_so_che_do!$B$2:$B$21,MATCH($B$41,AI_ho_so_che_do!$A$2:$A$21,0))&amp;""="",0,LEN(INDEX(AI_ho_so_che_do!$B$2:$B$21,MATCH($B$41,AI_ho_so_che_do!$A$2:$A$21,0))&amp;"")-LEN(SUBSTITUTE(INDEX(AI_ho_so_che_do!$B$2:$B$21,MATCH($B$41,AI_ho_so_che_do!$A$2:$A$21,0))&amp;"",";",""))+1))</f>
        <v/>
      </c>
      <c r="F41">
        <f>IF(OR($E$41&lt;=1,ISNUMBER(FIND(";noGeneralTactic;",";"&amp;INDEX(AI_ho_so_che_do!$O$2:$O$21,MATCH($B$41,AI_ho_so_che_do!$A$2:$A$21,0))&amp;";"))),"Never",$D$41)</f>
        <v/>
      </c>
      <c r="G41" t="inlineStr">
        <is>
          <t>Counter</t>
        </is>
      </c>
      <c r="H41">
        <f>IF($D$41="Never","KHONG_DOI",IF($F$41="Never","HO_SO_CHAN","DO_KHO_CHO_DOI"))</f>
        <v/>
      </c>
      <c r="I41">
        <f>COUNTIFS(AI_ho_so_pha!$B$2:$B$6,$B$41)</f>
        <v/>
      </c>
      <c r="J41" t="inlineStr">
        <is>
          <t>Sim/AI/Commander.cs:52 (AiSkill.For VeryHard); balance.json aiModeProfiles.profiles.hold</t>
        </is>
      </c>
      <c r="K41" t="inlineStr"/>
    </row>
    <row r="42">
      <c r="A42" t="inlineStr">
        <is>
          <t>hunt/Easy</t>
        </is>
      </c>
      <c r="B42" t="inlineStr">
        <is>
          <t>hunt</t>
        </is>
      </c>
      <c r="C42" t="inlineStr">
        <is>
          <t>Easy</t>
        </is>
      </c>
      <c r="D42" t="inlineStr">
        <is>
          <t>Never</t>
        </is>
      </c>
      <c r="E42">
        <f>IF(INDEX(AI_ho_so_che_do!$B$2:$B$21,MATCH($B$42,AI_ho_so_che_do!$A$2:$A$21,0))&amp;""="*",COUNTIFS(Chien_thuat!$A$2:$A$17,"*"),IF(INDEX(AI_ho_so_che_do!$B$2:$B$21,MATCH($B$42,AI_ho_so_che_do!$A$2:$A$21,0))&amp;""="",0,LEN(INDEX(AI_ho_so_che_do!$B$2:$B$21,MATCH($B$42,AI_ho_so_che_do!$A$2:$A$21,0))&amp;"")-LEN(SUBSTITUTE(INDEX(AI_ho_so_che_do!$B$2:$B$21,MATCH($B$42,AI_ho_so_che_do!$A$2:$A$21,0))&amp;"",";",""))+1))</f>
        <v/>
      </c>
      <c r="F42">
        <f>IF(OR($E$42&lt;=1,ISNUMBER(FIND(";noGeneralTactic;",";"&amp;INDEX(AI_ho_so_che_do!$O$2:$O$21,MATCH($B$42,AI_ho_so_che_do!$A$2:$A$21,0))&amp;";"))),"Never",$D$42)</f>
        <v/>
      </c>
      <c r="G42" t="inlineStr">
        <is>
          <t>Never</t>
        </is>
      </c>
      <c r="H42">
        <f>IF($D$42="Never","KHONG_DOI",IF($F$42="Never","HO_SO_CHAN","DO_KHO_CHO_DOI"))</f>
        <v/>
      </c>
      <c r="I42">
        <f>COUNTIFS(AI_ho_so_pha!$B$2:$B$6,$B$42)</f>
        <v/>
      </c>
      <c r="J42" t="inlineStr">
        <is>
          <t>Sim/AI/Commander.cs:45 (AiSkill.For Easy); balance.json aiModeProfiles.profiles.hunt</t>
        </is>
      </c>
      <c r="K42" t="inlineStr"/>
    </row>
    <row r="43">
      <c r="A43" t="inlineStr">
        <is>
          <t>hunt/Hard</t>
        </is>
      </c>
      <c r="B43" t="inlineStr">
        <is>
          <t>hunt</t>
        </is>
      </c>
      <c r="C43" t="inlineStr">
        <is>
          <t>Hard</t>
        </is>
      </c>
      <c r="D43" t="inlineStr">
        <is>
          <t>WhenLosing</t>
        </is>
      </c>
      <c r="E43">
        <f>IF(INDEX(AI_ho_so_che_do!$B$2:$B$21,MATCH($B$43,AI_ho_so_che_do!$A$2:$A$21,0))&amp;""="*",COUNTIFS(Chien_thuat!$A$2:$A$17,"*"),IF(INDEX(AI_ho_so_che_do!$B$2:$B$21,MATCH($B$43,AI_ho_so_che_do!$A$2:$A$21,0))&amp;""="",0,LEN(INDEX(AI_ho_so_che_do!$B$2:$B$21,MATCH($B$43,AI_ho_so_che_do!$A$2:$A$21,0))&amp;"")-LEN(SUBSTITUTE(INDEX(AI_ho_so_che_do!$B$2:$B$21,MATCH($B$43,AI_ho_so_che_do!$A$2:$A$21,0))&amp;"",";",""))+1))</f>
        <v/>
      </c>
      <c r="F43">
        <f>IF(OR($E$43&lt;=1,ISNUMBER(FIND(";noGeneralTactic;",";"&amp;INDEX(AI_ho_so_che_do!$O$2:$O$21,MATCH($B$43,AI_ho_so_che_do!$A$2:$A$21,0))&amp;";"))),"Never",$D$43)</f>
        <v/>
      </c>
      <c r="G43" t="inlineStr">
        <is>
          <t>WhenLosing</t>
        </is>
      </c>
      <c r="H43">
        <f>IF($D$43="Never","KHONG_DOI",IF($F$43="Never","HO_SO_CHAN","DO_KHO_CHO_DOI"))</f>
        <v/>
      </c>
      <c r="I43">
        <f>COUNTIFS(AI_ho_so_pha!$B$2:$B$6,$B$43)</f>
        <v/>
      </c>
      <c r="J43" t="inlineStr">
        <is>
          <t>Sim/AI/Commander.cs:46 (AiSkill.For Hard); balance.json aiModeProfiles.profiles.hunt</t>
        </is>
      </c>
      <c r="K43" t="inlineStr"/>
    </row>
    <row r="44">
      <c r="A44" t="inlineStr">
        <is>
          <t>hunt/Normal</t>
        </is>
      </c>
      <c r="B44" t="inlineStr">
        <is>
          <t>hunt</t>
        </is>
      </c>
      <c r="C44" t="inlineStr">
        <is>
          <t>Normal</t>
        </is>
      </c>
      <c r="D44" t="inlineStr">
        <is>
          <t>Never</t>
        </is>
      </c>
      <c r="E44">
        <f>IF(INDEX(AI_ho_so_che_do!$B$2:$B$21,MATCH($B$44,AI_ho_so_che_do!$A$2:$A$21,0))&amp;""="*",COUNTIFS(Chien_thuat!$A$2:$A$17,"*"),IF(INDEX(AI_ho_so_che_do!$B$2:$B$21,MATCH($B$44,AI_ho_so_che_do!$A$2:$A$21,0))&amp;""="",0,LEN(INDEX(AI_ho_so_che_do!$B$2:$B$21,MATCH($B$44,AI_ho_so_che_do!$A$2:$A$21,0))&amp;"")-LEN(SUBSTITUTE(INDEX(AI_ho_so_che_do!$B$2:$B$21,MATCH($B$44,AI_ho_so_che_do!$A$2:$A$21,0))&amp;"",";",""))+1))</f>
        <v/>
      </c>
      <c r="F44">
        <f>IF(OR($E$44&lt;=1,ISNUMBER(FIND(";noGeneralTactic;",";"&amp;INDEX(AI_ho_so_che_do!$O$2:$O$21,MATCH($B$44,AI_ho_so_che_do!$A$2:$A$21,0))&amp;";"))),"Never",$D$44)</f>
        <v/>
      </c>
      <c r="G44" t="inlineStr">
        <is>
          <t>Never</t>
        </is>
      </c>
      <c r="H44">
        <f>IF($D$44="Never","KHONG_DOI",IF($F$44="Never","HO_SO_CHAN","DO_KHO_CHO_DOI"))</f>
        <v/>
      </c>
      <c r="I44">
        <f>COUNTIFS(AI_ho_so_pha!$B$2:$B$6,$B$44)</f>
        <v/>
      </c>
      <c r="J44" t="inlineStr">
        <is>
          <t>Sim/AI/Commander.cs:57 (AiSkill.For Normal); balance.json aiModeProfiles.profiles.hunt</t>
        </is>
      </c>
      <c r="K44" t="inlineStr"/>
    </row>
    <row r="45">
      <c r="A45" t="inlineStr">
        <is>
          <t>hunt/VeryHard</t>
        </is>
      </c>
      <c r="B45" t="inlineStr">
        <is>
          <t>hunt</t>
        </is>
      </c>
      <c r="C45" t="inlineStr">
        <is>
          <t>VeryHard</t>
        </is>
      </c>
      <c r="D45" t="inlineStr">
        <is>
          <t>Counter</t>
        </is>
      </c>
      <c r="E45">
        <f>IF(INDEX(AI_ho_so_che_do!$B$2:$B$21,MATCH($B$45,AI_ho_so_che_do!$A$2:$A$21,0))&amp;""="*",COUNTIFS(Chien_thuat!$A$2:$A$17,"*"),IF(INDEX(AI_ho_so_che_do!$B$2:$B$21,MATCH($B$45,AI_ho_so_che_do!$A$2:$A$21,0))&amp;""="",0,LEN(INDEX(AI_ho_so_che_do!$B$2:$B$21,MATCH($B$45,AI_ho_so_che_do!$A$2:$A$21,0))&amp;"")-LEN(SUBSTITUTE(INDEX(AI_ho_so_che_do!$B$2:$B$21,MATCH($B$45,AI_ho_so_che_do!$A$2:$A$21,0))&amp;"",";",""))+1))</f>
        <v/>
      </c>
      <c r="F45">
        <f>IF(OR($E$45&lt;=1,ISNUMBER(FIND(";noGeneralTactic;",";"&amp;INDEX(AI_ho_so_che_do!$O$2:$O$21,MATCH($B$45,AI_ho_so_che_do!$A$2:$A$21,0))&amp;";"))),"Never",$D$45)</f>
        <v/>
      </c>
      <c r="G45" t="inlineStr">
        <is>
          <t>Counter</t>
        </is>
      </c>
      <c r="H45">
        <f>IF($D$45="Never","KHONG_DOI",IF($F$45="Never","HO_SO_CHAN","DO_KHO_CHO_DOI"))</f>
        <v/>
      </c>
      <c r="I45">
        <f>COUNTIFS(AI_ho_so_pha!$B$2:$B$6,$B$45)</f>
        <v/>
      </c>
      <c r="J45" t="inlineStr">
        <is>
          <t>Sim/AI/Commander.cs:52 (AiSkill.For VeryHard); balance.json aiModeProfiles.profiles.hunt</t>
        </is>
      </c>
      <c r="K45" t="inlineStr"/>
    </row>
    <row r="46">
      <c r="A46" t="inlineStr">
        <is>
          <t>operation/Easy</t>
        </is>
      </c>
      <c r="B46" t="inlineStr">
        <is>
          <t>operation</t>
        </is>
      </c>
      <c r="C46" t="inlineStr">
        <is>
          <t>Easy</t>
        </is>
      </c>
      <c r="D46" t="inlineStr">
        <is>
          <t>Never</t>
        </is>
      </c>
      <c r="E46">
        <f>IF(INDEX(AI_ho_so_che_do!$B$2:$B$21,MATCH($B$46,AI_ho_so_che_do!$A$2:$A$21,0))&amp;""="*",COUNTIFS(Chien_thuat!$A$2:$A$17,"*"),IF(INDEX(AI_ho_so_che_do!$B$2:$B$21,MATCH($B$46,AI_ho_so_che_do!$A$2:$A$21,0))&amp;""="",0,LEN(INDEX(AI_ho_so_che_do!$B$2:$B$21,MATCH($B$46,AI_ho_so_che_do!$A$2:$A$21,0))&amp;"")-LEN(SUBSTITUTE(INDEX(AI_ho_so_che_do!$B$2:$B$21,MATCH($B$46,AI_ho_so_che_do!$A$2:$A$21,0))&amp;"",";",""))+1))</f>
        <v/>
      </c>
      <c r="F46">
        <f>IF(OR($E$46&lt;=1,ISNUMBER(FIND(";noGeneralTactic;",";"&amp;INDEX(AI_ho_so_che_do!$O$2:$O$21,MATCH($B$46,AI_ho_so_che_do!$A$2:$A$21,0))&amp;";"))),"Never",$D$46)</f>
        <v/>
      </c>
      <c r="G46" t="inlineStr">
        <is>
          <t>Never</t>
        </is>
      </c>
      <c r="H46">
        <f>IF($D$46="Never","KHONG_DOI",IF($F$46="Never","HO_SO_CHAN","DO_KHO_CHO_DOI"))</f>
        <v/>
      </c>
      <c r="I46">
        <f>COUNTIFS(AI_ho_so_pha!$B$2:$B$6,$B$46)</f>
        <v/>
      </c>
      <c r="J46" t="inlineStr">
        <is>
          <t>Sim/AI/Commander.cs:45 (AiSkill.For Easy); balance.json aiModeProfiles.profiles.operation</t>
        </is>
      </c>
      <c r="K46" t="inlineStr"/>
    </row>
    <row r="47">
      <c r="A47" t="inlineStr">
        <is>
          <t>operation/Hard</t>
        </is>
      </c>
      <c r="B47" t="inlineStr">
        <is>
          <t>operation</t>
        </is>
      </c>
      <c r="C47" t="inlineStr">
        <is>
          <t>Hard</t>
        </is>
      </c>
      <c r="D47" t="inlineStr">
        <is>
          <t>WhenLosing</t>
        </is>
      </c>
      <c r="E47">
        <f>IF(INDEX(AI_ho_so_che_do!$B$2:$B$21,MATCH($B$47,AI_ho_so_che_do!$A$2:$A$21,0))&amp;""="*",COUNTIFS(Chien_thuat!$A$2:$A$17,"*"),IF(INDEX(AI_ho_so_che_do!$B$2:$B$21,MATCH($B$47,AI_ho_so_che_do!$A$2:$A$21,0))&amp;""="",0,LEN(INDEX(AI_ho_so_che_do!$B$2:$B$21,MATCH($B$47,AI_ho_so_che_do!$A$2:$A$21,0))&amp;"")-LEN(SUBSTITUTE(INDEX(AI_ho_so_che_do!$B$2:$B$21,MATCH($B$47,AI_ho_so_che_do!$A$2:$A$21,0))&amp;"",";",""))+1))</f>
        <v/>
      </c>
      <c r="F47">
        <f>IF(OR($E$47&lt;=1,ISNUMBER(FIND(";noGeneralTactic;",";"&amp;INDEX(AI_ho_so_che_do!$O$2:$O$21,MATCH($B$47,AI_ho_so_che_do!$A$2:$A$21,0))&amp;";"))),"Never",$D$47)</f>
        <v/>
      </c>
      <c r="G47" t="inlineStr">
        <is>
          <t>WhenLosing</t>
        </is>
      </c>
      <c r="H47">
        <f>IF($D$47="Never","KHONG_DOI",IF($F$47="Never","HO_SO_CHAN","DO_KHO_CHO_DOI"))</f>
        <v/>
      </c>
      <c r="I47">
        <f>COUNTIFS(AI_ho_so_pha!$B$2:$B$6,$B$47)</f>
        <v/>
      </c>
      <c r="J47" t="inlineStr">
        <is>
          <t>Sim/AI/Commander.cs:46 (AiSkill.For Hard); balance.json aiModeProfiles.profiles.operation</t>
        </is>
      </c>
      <c r="K47" t="inlineStr"/>
    </row>
    <row r="48">
      <c r="A48" t="inlineStr">
        <is>
          <t>operation/Normal</t>
        </is>
      </c>
      <c r="B48" t="inlineStr">
        <is>
          <t>operation</t>
        </is>
      </c>
      <c r="C48" t="inlineStr">
        <is>
          <t>Normal</t>
        </is>
      </c>
      <c r="D48" t="inlineStr">
        <is>
          <t>Never</t>
        </is>
      </c>
      <c r="E48">
        <f>IF(INDEX(AI_ho_so_che_do!$B$2:$B$21,MATCH($B$48,AI_ho_so_che_do!$A$2:$A$21,0))&amp;""="*",COUNTIFS(Chien_thuat!$A$2:$A$17,"*"),IF(INDEX(AI_ho_so_che_do!$B$2:$B$21,MATCH($B$48,AI_ho_so_che_do!$A$2:$A$21,0))&amp;""="",0,LEN(INDEX(AI_ho_so_che_do!$B$2:$B$21,MATCH($B$48,AI_ho_so_che_do!$A$2:$A$21,0))&amp;"")-LEN(SUBSTITUTE(INDEX(AI_ho_so_che_do!$B$2:$B$21,MATCH($B$48,AI_ho_so_che_do!$A$2:$A$21,0))&amp;"",";",""))+1))</f>
        <v/>
      </c>
      <c r="F48">
        <f>IF(OR($E$48&lt;=1,ISNUMBER(FIND(";noGeneralTactic;",";"&amp;INDEX(AI_ho_so_che_do!$O$2:$O$21,MATCH($B$48,AI_ho_so_che_do!$A$2:$A$21,0))&amp;";"))),"Never",$D$48)</f>
        <v/>
      </c>
      <c r="G48" t="inlineStr">
        <is>
          <t>Never</t>
        </is>
      </c>
      <c r="H48">
        <f>IF($D$48="Never","KHONG_DOI",IF($F$48="Never","HO_SO_CHAN","DO_KHO_CHO_DOI"))</f>
        <v/>
      </c>
      <c r="I48">
        <f>COUNTIFS(AI_ho_so_pha!$B$2:$B$6,$B$48)</f>
        <v/>
      </c>
      <c r="J48" t="inlineStr">
        <is>
          <t>Sim/AI/Commander.cs:57 (AiSkill.For Normal); balance.json aiModeProfiles.profiles.operation</t>
        </is>
      </c>
      <c r="K48" t="inlineStr"/>
    </row>
    <row r="49">
      <c r="A49" t="inlineStr">
        <is>
          <t>operation/VeryHard</t>
        </is>
      </c>
      <c r="B49" t="inlineStr">
        <is>
          <t>operation</t>
        </is>
      </c>
      <c r="C49" t="inlineStr">
        <is>
          <t>VeryHard</t>
        </is>
      </c>
      <c r="D49" t="inlineStr">
        <is>
          <t>Counter</t>
        </is>
      </c>
      <c r="E49">
        <f>IF(INDEX(AI_ho_so_che_do!$B$2:$B$21,MATCH($B$49,AI_ho_so_che_do!$A$2:$A$21,0))&amp;""="*",COUNTIFS(Chien_thuat!$A$2:$A$17,"*"),IF(INDEX(AI_ho_so_che_do!$B$2:$B$21,MATCH($B$49,AI_ho_so_che_do!$A$2:$A$21,0))&amp;""="",0,LEN(INDEX(AI_ho_so_che_do!$B$2:$B$21,MATCH($B$49,AI_ho_so_che_do!$A$2:$A$21,0))&amp;"")-LEN(SUBSTITUTE(INDEX(AI_ho_so_che_do!$B$2:$B$21,MATCH($B$49,AI_ho_so_che_do!$A$2:$A$21,0))&amp;"",";",""))+1))</f>
        <v/>
      </c>
      <c r="F49">
        <f>IF(OR($E$49&lt;=1,ISNUMBER(FIND(";noGeneralTactic;",";"&amp;INDEX(AI_ho_so_che_do!$O$2:$O$21,MATCH($B$49,AI_ho_so_che_do!$A$2:$A$21,0))&amp;";"))),"Never",$D$49)</f>
        <v/>
      </c>
      <c r="G49" t="inlineStr">
        <is>
          <t>Counter</t>
        </is>
      </c>
      <c r="H49">
        <f>IF($D$49="Never","KHONG_DOI",IF($F$49="Never","HO_SO_CHAN","DO_KHO_CHO_DOI"))</f>
        <v/>
      </c>
      <c r="I49">
        <f>COUNTIFS(AI_ho_so_pha!$B$2:$B$6,$B$49)</f>
        <v/>
      </c>
      <c r="J49" t="inlineStr">
        <is>
          <t>Sim/AI/Commander.cs:52 (AiSkill.For VeryHard); balance.json aiModeProfiles.profiles.operation</t>
        </is>
      </c>
      <c r="K49" t="inlineStr"/>
    </row>
    <row r="50">
      <c r="A50" t="inlineStr">
        <is>
          <t>outpost/Easy</t>
        </is>
      </c>
      <c r="B50" t="inlineStr">
        <is>
          <t>outpost</t>
        </is>
      </c>
      <c r="C50" t="inlineStr">
        <is>
          <t>Easy</t>
        </is>
      </c>
      <c r="D50" t="inlineStr">
        <is>
          <t>Never</t>
        </is>
      </c>
      <c r="E50">
        <f>IF(INDEX(AI_ho_so_che_do!$B$2:$B$21,MATCH($B$50,AI_ho_so_che_do!$A$2:$A$21,0))&amp;""="*",COUNTIFS(Chien_thuat!$A$2:$A$17,"*"),IF(INDEX(AI_ho_so_che_do!$B$2:$B$21,MATCH($B$50,AI_ho_so_che_do!$A$2:$A$21,0))&amp;""="",0,LEN(INDEX(AI_ho_so_che_do!$B$2:$B$21,MATCH($B$50,AI_ho_so_che_do!$A$2:$A$21,0))&amp;"")-LEN(SUBSTITUTE(INDEX(AI_ho_so_che_do!$B$2:$B$21,MATCH($B$50,AI_ho_so_che_do!$A$2:$A$21,0))&amp;"",";",""))+1))</f>
        <v/>
      </c>
      <c r="F50">
        <f>IF(OR($E$50&lt;=1,ISNUMBER(FIND(";noGeneralTactic;",";"&amp;INDEX(AI_ho_so_che_do!$O$2:$O$21,MATCH($B$50,AI_ho_so_che_do!$A$2:$A$21,0))&amp;";"))),"Never",$D$50)</f>
        <v/>
      </c>
      <c r="G50" t="inlineStr">
        <is>
          <t>Never</t>
        </is>
      </c>
      <c r="H50">
        <f>IF($D$50="Never","KHONG_DOI",IF($F$50="Never","HO_SO_CHAN","DO_KHO_CHO_DOI"))</f>
        <v/>
      </c>
      <c r="I50">
        <f>COUNTIFS(AI_ho_so_pha!$B$2:$B$6,$B$50)</f>
        <v/>
      </c>
      <c r="J50" t="inlineStr">
        <is>
          <t>Sim/AI/Commander.cs:45 (AiSkill.For Easy); balance.json aiModeProfiles.profiles.outpost</t>
        </is>
      </c>
      <c r="K50" t="inlineStr"/>
    </row>
    <row r="51">
      <c r="A51" t="inlineStr">
        <is>
          <t>outpost/Hard</t>
        </is>
      </c>
      <c r="B51" t="inlineStr">
        <is>
          <t>outpost</t>
        </is>
      </c>
      <c r="C51" t="inlineStr">
        <is>
          <t>Hard</t>
        </is>
      </c>
      <c r="D51" t="inlineStr">
        <is>
          <t>WhenLosing</t>
        </is>
      </c>
      <c r="E51">
        <f>IF(INDEX(AI_ho_so_che_do!$B$2:$B$21,MATCH($B$51,AI_ho_so_che_do!$A$2:$A$21,0))&amp;""="*",COUNTIFS(Chien_thuat!$A$2:$A$17,"*"),IF(INDEX(AI_ho_so_che_do!$B$2:$B$21,MATCH($B$51,AI_ho_so_che_do!$A$2:$A$21,0))&amp;""="",0,LEN(INDEX(AI_ho_so_che_do!$B$2:$B$21,MATCH($B$51,AI_ho_so_che_do!$A$2:$A$21,0))&amp;"")-LEN(SUBSTITUTE(INDEX(AI_ho_so_che_do!$B$2:$B$21,MATCH($B$51,AI_ho_so_che_do!$A$2:$A$21,0))&amp;"",";",""))+1))</f>
        <v/>
      </c>
      <c r="F51">
        <f>IF(OR($E$51&lt;=1,ISNUMBER(FIND(";noGeneralTactic;",";"&amp;INDEX(AI_ho_so_che_do!$O$2:$O$21,MATCH($B$51,AI_ho_so_che_do!$A$2:$A$21,0))&amp;";"))),"Never",$D$51)</f>
        <v/>
      </c>
      <c r="G51" t="inlineStr">
        <is>
          <t>WhenLosing</t>
        </is>
      </c>
      <c r="H51">
        <f>IF($D$51="Never","KHONG_DOI",IF($F$51="Never","HO_SO_CHAN","DO_KHO_CHO_DOI"))</f>
        <v/>
      </c>
      <c r="I51">
        <f>COUNTIFS(AI_ho_so_pha!$B$2:$B$6,$B$51)</f>
        <v/>
      </c>
      <c r="J51" t="inlineStr">
        <is>
          <t>Sim/AI/Commander.cs:46 (AiSkill.For Hard); balance.json aiModeProfiles.profiles.outpost</t>
        </is>
      </c>
      <c r="K51" t="inlineStr"/>
    </row>
    <row r="52">
      <c r="A52" t="inlineStr">
        <is>
          <t>outpost/Normal</t>
        </is>
      </c>
      <c r="B52" t="inlineStr">
        <is>
          <t>outpost</t>
        </is>
      </c>
      <c r="C52" t="inlineStr">
        <is>
          <t>Normal</t>
        </is>
      </c>
      <c r="D52" t="inlineStr">
        <is>
          <t>Never</t>
        </is>
      </c>
      <c r="E52">
        <f>IF(INDEX(AI_ho_so_che_do!$B$2:$B$21,MATCH($B$52,AI_ho_so_che_do!$A$2:$A$21,0))&amp;""="*",COUNTIFS(Chien_thuat!$A$2:$A$17,"*"),IF(INDEX(AI_ho_so_che_do!$B$2:$B$21,MATCH($B$52,AI_ho_so_che_do!$A$2:$A$21,0))&amp;""="",0,LEN(INDEX(AI_ho_so_che_do!$B$2:$B$21,MATCH($B$52,AI_ho_so_che_do!$A$2:$A$21,0))&amp;"")-LEN(SUBSTITUTE(INDEX(AI_ho_so_che_do!$B$2:$B$21,MATCH($B$52,AI_ho_so_che_do!$A$2:$A$21,0))&amp;"",";",""))+1))</f>
        <v/>
      </c>
      <c r="F52">
        <f>IF(OR($E$52&lt;=1,ISNUMBER(FIND(";noGeneralTactic;",";"&amp;INDEX(AI_ho_so_che_do!$O$2:$O$21,MATCH($B$52,AI_ho_so_che_do!$A$2:$A$21,0))&amp;";"))),"Never",$D$52)</f>
        <v/>
      </c>
      <c r="G52" t="inlineStr">
        <is>
          <t>Never</t>
        </is>
      </c>
      <c r="H52">
        <f>IF($D$52="Never","KHONG_DOI",IF($F$52="Never","HO_SO_CHAN","DO_KHO_CHO_DOI"))</f>
        <v/>
      </c>
      <c r="I52">
        <f>COUNTIFS(AI_ho_so_pha!$B$2:$B$6,$B$52)</f>
        <v/>
      </c>
      <c r="J52" t="inlineStr">
        <is>
          <t>Sim/AI/Commander.cs:57 (AiSkill.For Normal); balance.json aiModeProfiles.profiles.outpost</t>
        </is>
      </c>
      <c r="K52" t="inlineStr"/>
    </row>
    <row r="53">
      <c r="A53" t="inlineStr">
        <is>
          <t>outpost/VeryHard</t>
        </is>
      </c>
      <c r="B53" t="inlineStr">
        <is>
          <t>outpost</t>
        </is>
      </c>
      <c r="C53" t="inlineStr">
        <is>
          <t>VeryHard</t>
        </is>
      </c>
      <c r="D53" t="inlineStr">
        <is>
          <t>Counter</t>
        </is>
      </c>
      <c r="E53">
        <f>IF(INDEX(AI_ho_so_che_do!$B$2:$B$21,MATCH($B$53,AI_ho_so_che_do!$A$2:$A$21,0))&amp;""="*",COUNTIFS(Chien_thuat!$A$2:$A$17,"*"),IF(INDEX(AI_ho_so_che_do!$B$2:$B$21,MATCH($B$53,AI_ho_so_che_do!$A$2:$A$21,0))&amp;""="",0,LEN(INDEX(AI_ho_so_che_do!$B$2:$B$21,MATCH($B$53,AI_ho_so_che_do!$A$2:$A$21,0))&amp;"")-LEN(SUBSTITUTE(INDEX(AI_ho_so_che_do!$B$2:$B$21,MATCH($B$53,AI_ho_so_che_do!$A$2:$A$21,0))&amp;"",";",""))+1))</f>
        <v/>
      </c>
      <c r="F53">
        <f>IF(OR($E$53&lt;=1,ISNUMBER(FIND(";noGeneralTactic;",";"&amp;INDEX(AI_ho_so_che_do!$O$2:$O$21,MATCH($B$53,AI_ho_so_che_do!$A$2:$A$21,0))&amp;";"))),"Never",$D$53)</f>
        <v/>
      </c>
      <c r="G53" t="inlineStr">
        <is>
          <t>Counter</t>
        </is>
      </c>
      <c r="H53">
        <f>IF($D$53="Never","KHONG_DOI",IF($F$53="Never","HO_SO_CHAN","DO_KHO_CHO_DOI"))</f>
        <v/>
      </c>
      <c r="I53">
        <f>COUNTIFS(AI_ho_so_pha!$B$2:$B$6,$B$53)</f>
        <v/>
      </c>
      <c r="J53" t="inlineStr">
        <is>
          <t>Sim/AI/Commander.cs:52 (AiSkill.For VeryHard); balance.json aiModeProfiles.profiles.outpost</t>
        </is>
      </c>
      <c r="K53" t="inlineStr"/>
    </row>
    <row r="54">
      <c r="A54" t="inlineStr">
        <is>
          <t>protect/Easy</t>
        </is>
      </c>
      <c r="B54" t="inlineStr">
        <is>
          <t>protect</t>
        </is>
      </c>
      <c r="C54" t="inlineStr">
        <is>
          <t>Easy</t>
        </is>
      </c>
      <c r="D54" t="inlineStr">
        <is>
          <t>Never</t>
        </is>
      </c>
      <c r="E54">
        <f>IF(INDEX(AI_ho_so_che_do!$B$2:$B$21,MATCH($B$54,AI_ho_so_che_do!$A$2:$A$21,0))&amp;""="*",COUNTIFS(Chien_thuat!$A$2:$A$17,"*"),IF(INDEX(AI_ho_so_che_do!$B$2:$B$21,MATCH($B$54,AI_ho_so_che_do!$A$2:$A$21,0))&amp;""="",0,LEN(INDEX(AI_ho_so_che_do!$B$2:$B$21,MATCH($B$54,AI_ho_so_che_do!$A$2:$A$21,0))&amp;"")-LEN(SUBSTITUTE(INDEX(AI_ho_so_che_do!$B$2:$B$21,MATCH($B$54,AI_ho_so_che_do!$A$2:$A$21,0))&amp;"",";",""))+1))</f>
        <v/>
      </c>
      <c r="F54">
        <f>IF(OR($E$54&lt;=1,ISNUMBER(FIND(";noGeneralTactic;",";"&amp;INDEX(AI_ho_so_che_do!$O$2:$O$21,MATCH($B$54,AI_ho_so_che_do!$A$2:$A$21,0))&amp;";"))),"Never",$D$54)</f>
        <v/>
      </c>
      <c r="G54" t="inlineStr">
        <is>
          <t>Never</t>
        </is>
      </c>
      <c r="H54">
        <f>IF($D$54="Never","KHONG_DOI",IF($F$54="Never","HO_SO_CHAN","DO_KHO_CHO_DOI"))</f>
        <v/>
      </c>
      <c r="I54">
        <f>COUNTIFS(AI_ho_so_pha!$B$2:$B$6,$B$54)</f>
        <v/>
      </c>
      <c r="J54" t="inlineStr">
        <is>
          <t>Sim/AI/Commander.cs:45 (AiSkill.For Easy); balance.json aiModeProfiles.profiles.protect</t>
        </is>
      </c>
      <c r="K54" t="inlineStr"/>
    </row>
    <row r="55">
      <c r="A55" t="inlineStr">
        <is>
          <t>protect/Hard</t>
        </is>
      </c>
      <c r="B55" t="inlineStr">
        <is>
          <t>protect</t>
        </is>
      </c>
      <c r="C55" t="inlineStr">
        <is>
          <t>Hard</t>
        </is>
      </c>
      <c r="D55" t="inlineStr">
        <is>
          <t>WhenLosing</t>
        </is>
      </c>
      <c r="E55">
        <f>IF(INDEX(AI_ho_so_che_do!$B$2:$B$21,MATCH($B$55,AI_ho_so_che_do!$A$2:$A$21,0))&amp;""="*",COUNTIFS(Chien_thuat!$A$2:$A$17,"*"),IF(INDEX(AI_ho_so_che_do!$B$2:$B$21,MATCH($B$55,AI_ho_so_che_do!$A$2:$A$21,0))&amp;""="",0,LEN(INDEX(AI_ho_so_che_do!$B$2:$B$21,MATCH($B$55,AI_ho_so_che_do!$A$2:$A$21,0))&amp;"")-LEN(SUBSTITUTE(INDEX(AI_ho_so_che_do!$B$2:$B$21,MATCH($B$55,AI_ho_so_che_do!$A$2:$A$21,0))&amp;"",";",""))+1))</f>
        <v/>
      </c>
      <c r="F55">
        <f>IF(OR($E$55&lt;=1,ISNUMBER(FIND(";noGeneralTactic;",";"&amp;INDEX(AI_ho_so_che_do!$O$2:$O$21,MATCH($B$55,AI_ho_so_che_do!$A$2:$A$21,0))&amp;";"))),"Never",$D$55)</f>
        <v/>
      </c>
      <c r="G55" t="inlineStr">
        <is>
          <t>WhenLosing</t>
        </is>
      </c>
      <c r="H55">
        <f>IF($D$55="Never","KHONG_DOI",IF($F$55="Never","HO_SO_CHAN","DO_KHO_CHO_DOI"))</f>
        <v/>
      </c>
      <c r="I55">
        <f>COUNTIFS(AI_ho_so_pha!$B$2:$B$6,$B$55)</f>
        <v/>
      </c>
      <c r="J55" t="inlineStr">
        <is>
          <t>Sim/AI/Commander.cs:46 (AiSkill.For Hard); balance.json aiModeProfiles.profiles.protect</t>
        </is>
      </c>
      <c r="K55" t="inlineStr"/>
    </row>
    <row r="56">
      <c r="A56" t="inlineStr">
        <is>
          <t>protect/Normal</t>
        </is>
      </c>
      <c r="B56" t="inlineStr">
        <is>
          <t>protect</t>
        </is>
      </c>
      <c r="C56" t="inlineStr">
        <is>
          <t>Normal</t>
        </is>
      </c>
      <c r="D56" t="inlineStr">
        <is>
          <t>Never</t>
        </is>
      </c>
      <c r="E56">
        <f>IF(INDEX(AI_ho_so_che_do!$B$2:$B$21,MATCH($B$56,AI_ho_so_che_do!$A$2:$A$21,0))&amp;""="*",COUNTIFS(Chien_thuat!$A$2:$A$17,"*"),IF(INDEX(AI_ho_so_che_do!$B$2:$B$21,MATCH($B$56,AI_ho_so_che_do!$A$2:$A$21,0))&amp;""="",0,LEN(INDEX(AI_ho_so_che_do!$B$2:$B$21,MATCH($B$56,AI_ho_so_che_do!$A$2:$A$21,0))&amp;"")-LEN(SUBSTITUTE(INDEX(AI_ho_so_che_do!$B$2:$B$21,MATCH($B$56,AI_ho_so_che_do!$A$2:$A$21,0))&amp;"",";",""))+1))</f>
        <v/>
      </c>
      <c r="F56">
        <f>IF(OR($E$56&lt;=1,ISNUMBER(FIND(";noGeneralTactic;",";"&amp;INDEX(AI_ho_so_che_do!$O$2:$O$21,MATCH($B$56,AI_ho_so_che_do!$A$2:$A$21,0))&amp;";"))),"Never",$D$56)</f>
        <v/>
      </c>
      <c r="G56" t="inlineStr">
        <is>
          <t>Never</t>
        </is>
      </c>
      <c r="H56">
        <f>IF($D$56="Never","KHONG_DOI",IF($F$56="Never","HO_SO_CHAN","DO_KHO_CHO_DOI"))</f>
        <v/>
      </c>
      <c r="I56">
        <f>COUNTIFS(AI_ho_so_pha!$B$2:$B$6,$B$56)</f>
        <v/>
      </c>
      <c r="J56" t="inlineStr">
        <is>
          <t>Sim/AI/Commander.cs:57 (AiSkill.For Normal); balance.json aiModeProfiles.profiles.protect</t>
        </is>
      </c>
      <c r="K56" t="inlineStr"/>
    </row>
    <row r="57">
      <c r="A57" t="inlineStr">
        <is>
          <t>protect/VeryHard</t>
        </is>
      </c>
      <c r="B57" t="inlineStr">
        <is>
          <t>protect</t>
        </is>
      </c>
      <c r="C57" t="inlineStr">
        <is>
          <t>VeryHard</t>
        </is>
      </c>
      <c r="D57" t="inlineStr">
        <is>
          <t>Counter</t>
        </is>
      </c>
      <c r="E57">
        <f>IF(INDEX(AI_ho_so_che_do!$B$2:$B$21,MATCH($B$57,AI_ho_so_che_do!$A$2:$A$21,0))&amp;""="*",COUNTIFS(Chien_thuat!$A$2:$A$17,"*"),IF(INDEX(AI_ho_so_che_do!$B$2:$B$21,MATCH($B$57,AI_ho_so_che_do!$A$2:$A$21,0))&amp;""="",0,LEN(INDEX(AI_ho_so_che_do!$B$2:$B$21,MATCH($B$57,AI_ho_so_che_do!$A$2:$A$21,0))&amp;"")-LEN(SUBSTITUTE(INDEX(AI_ho_so_che_do!$B$2:$B$21,MATCH($B$57,AI_ho_so_che_do!$A$2:$A$21,0))&amp;"",";",""))+1))</f>
        <v/>
      </c>
      <c r="F57">
        <f>IF(OR($E$57&lt;=1,ISNUMBER(FIND(";noGeneralTactic;",";"&amp;INDEX(AI_ho_so_che_do!$O$2:$O$21,MATCH($B$57,AI_ho_so_che_do!$A$2:$A$21,0))&amp;";"))),"Never",$D$57)</f>
        <v/>
      </c>
      <c r="G57" t="inlineStr">
        <is>
          <t>Counter</t>
        </is>
      </c>
      <c r="H57">
        <f>IF($D$57="Never","KHONG_DOI",IF($F$57="Never","HO_SO_CHAN","DO_KHO_CHO_DOI"))</f>
        <v/>
      </c>
      <c r="I57">
        <f>COUNTIFS(AI_ho_so_pha!$B$2:$B$6,$B$57)</f>
        <v/>
      </c>
      <c r="J57" t="inlineStr">
        <is>
          <t>Sim/AI/Commander.cs:52 (AiSkill.For VeryHard); balance.json aiModeProfiles.profiles.protect</t>
        </is>
      </c>
      <c r="K57" t="inlineStr"/>
    </row>
    <row r="58">
      <c r="A58" t="inlineStr">
        <is>
          <t>recon/Easy</t>
        </is>
      </c>
      <c r="B58" t="inlineStr">
        <is>
          <t>recon</t>
        </is>
      </c>
      <c r="C58" t="inlineStr">
        <is>
          <t>Easy</t>
        </is>
      </c>
      <c r="D58" t="inlineStr">
        <is>
          <t>Never</t>
        </is>
      </c>
      <c r="E58">
        <f>IF(INDEX(AI_ho_so_che_do!$B$2:$B$21,MATCH($B$58,AI_ho_so_che_do!$A$2:$A$21,0))&amp;""="*",COUNTIFS(Chien_thuat!$A$2:$A$17,"*"),IF(INDEX(AI_ho_so_che_do!$B$2:$B$21,MATCH($B$58,AI_ho_so_che_do!$A$2:$A$21,0))&amp;""="",0,LEN(INDEX(AI_ho_so_che_do!$B$2:$B$21,MATCH($B$58,AI_ho_so_che_do!$A$2:$A$21,0))&amp;"")-LEN(SUBSTITUTE(INDEX(AI_ho_so_che_do!$B$2:$B$21,MATCH($B$58,AI_ho_so_che_do!$A$2:$A$21,0))&amp;"",";",""))+1))</f>
        <v/>
      </c>
      <c r="F58">
        <f>IF(OR($E$58&lt;=1,ISNUMBER(FIND(";noGeneralTactic;",";"&amp;INDEX(AI_ho_so_che_do!$O$2:$O$21,MATCH($B$58,AI_ho_so_che_do!$A$2:$A$21,0))&amp;";"))),"Never",$D$58)</f>
        <v/>
      </c>
      <c r="G58" t="inlineStr">
        <is>
          <t>Never</t>
        </is>
      </c>
      <c r="H58">
        <f>IF($D$58="Never","KHONG_DOI",IF($F$58="Never","HO_SO_CHAN","DO_KHO_CHO_DOI"))</f>
        <v/>
      </c>
      <c r="I58">
        <f>COUNTIFS(AI_ho_so_pha!$B$2:$B$6,$B$58)</f>
        <v/>
      </c>
      <c r="J58" t="inlineStr">
        <is>
          <t>Sim/AI/Commander.cs:45 (AiSkill.For Easy); balance.json aiModeProfiles.profiles.recon</t>
        </is>
      </c>
      <c r="K58" t="inlineStr"/>
    </row>
    <row r="59">
      <c r="A59" t="inlineStr">
        <is>
          <t>recon/Hard</t>
        </is>
      </c>
      <c r="B59" t="inlineStr">
        <is>
          <t>recon</t>
        </is>
      </c>
      <c r="C59" t="inlineStr">
        <is>
          <t>Hard</t>
        </is>
      </c>
      <c r="D59" t="inlineStr">
        <is>
          <t>WhenLosing</t>
        </is>
      </c>
      <c r="E59">
        <f>IF(INDEX(AI_ho_so_che_do!$B$2:$B$21,MATCH($B$59,AI_ho_so_che_do!$A$2:$A$21,0))&amp;""="*",COUNTIFS(Chien_thuat!$A$2:$A$17,"*"),IF(INDEX(AI_ho_so_che_do!$B$2:$B$21,MATCH($B$59,AI_ho_so_che_do!$A$2:$A$21,0))&amp;""="",0,LEN(INDEX(AI_ho_so_che_do!$B$2:$B$21,MATCH($B$59,AI_ho_so_che_do!$A$2:$A$21,0))&amp;"")-LEN(SUBSTITUTE(INDEX(AI_ho_so_che_do!$B$2:$B$21,MATCH($B$59,AI_ho_so_che_do!$A$2:$A$21,0))&amp;"",";",""))+1))</f>
        <v/>
      </c>
      <c r="F59">
        <f>IF(OR($E$59&lt;=1,ISNUMBER(FIND(";noGeneralTactic;",";"&amp;INDEX(AI_ho_so_che_do!$O$2:$O$21,MATCH($B$59,AI_ho_so_che_do!$A$2:$A$21,0))&amp;";"))),"Never",$D$59)</f>
        <v/>
      </c>
      <c r="G59" t="inlineStr">
        <is>
          <t>WhenLosing</t>
        </is>
      </c>
      <c r="H59">
        <f>IF($D$59="Never","KHONG_DOI",IF($F$59="Never","HO_SO_CHAN","DO_KHO_CHO_DOI"))</f>
        <v/>
      </c>
      <c r="I59">
        <f>COUNTIFS(AI_ho_so_pha!$B$2:$B$6,$B$59)</f>
        <v/>
      </c>
      <c r="J59" t="inlineStr">
        <is>
          <t>Sim/AI/Commander.cs:46 (AiSkill.For Hard); balance.json aiModeProfiles.profiles.recon</t>
        </is>
      </c>
      <c r="K59" t="inlineStr"/>
    </row>
    <row r="60">
      <c r="A60" t="inlineStr">
        <is>
          <t>recon/Normal</t>
        </is>
      </c>
      <c r="B60" t="inlineStr">
        <is>
          <t>recon</t>
        </is>
      </c>
      <c r="C60" t="inlineStr">
        <is>
          <t>Normal</t>
        </is>
      </c>
      <c r="D60" t="inlineStr">
        <is>
          <t>Never</t>
        </is>
      </c>
      <c r="E60">
        <f>IF(INDEX(AI_ho_so_che_do!$B$2:$B$21,MATCH($B$60,AI_ho_so_che_do!$A$2:$A$21,0))&amp;""="*",COUNTIFS(Chien_thuat!$A$2:$A$17,"*"),IF(INDEX(AI_ho_so_che_do!$B$2:$B$21,MATCH($B$60,AI_ho_so_che_do!$A$2:$A$21,0))&amp;""="",0,LEN(INDEX(AI_ho_so_che_do!$B$2:$B$21,MATCH($B$60,AI_ho_so_che_do!$A$2:$A$21,0))&amp;"")-LEN(SUBSTITUTE(INDEX(AI_ho_so_che_do!$B$2:$B$21,MATCH($B$60,AI_ho_so_che_do!$A$2:$A$21,0))&amp;"",";",""))+1))</f>
        <v/>
      </c>
      <c r="F60">
        <f>IF(OR($E$60&lt;=1,ISNUMBER(FIND(";noGeneralTactic;",";"&amp;INDEX(AI_ho_so_che_do!$O$2:$O$21,MATCH($B$60,AI_ho_so_che_do!$A$2:$A$21,0))&amp;";"))),"Never",$D$60)</f>
        <v/>
      </c>
      <c r="G60" t="inlineStr">
        <is>
          <t>Never</t>
        </is>
      </c>
      <c r="H60">
        <f>IF($D$60="Never","KHONG_DOI",IF($F$60="Never","HO_SO_CHAN","DO_KHO_CHO_DOI"))</f>
        <v/>
      </c>
      <c r="I60">
        <f>COUNTIFS(AI_ho_so_pha!$B$2:$B$6,$B$60)</f>
        <v/>
      </c>
      <c r="J60" t="inlineStr">
        <is>
          <t>Sim/AI/Commander.cs:57 (AiSkill.For Normal); balance.json aiModeProfiles.profiles.recon</t>
        </is>
      </c>
      <c r="K60" t="inlineStr"/>
    </row>
    <row r="61">
      <c r="A61" t="inlineStr">
        <is>
          <t>recon/VeryHard</t>
        </is>
      </c>
      <c r="B61" t="inlineStr">
        <is>
          <t>recon</t>
        </is>
      </c>
      <c r="C61" t="inlineStr">
        <is>
          <t>VeryHard</t>
        </is>
      </c>
      <c r="D61" t="inlineStr">
        <is>
          <t>Counter</t>
        </is>
      </c>
      <c r="E61">
        <f>IF(INDEX(AI_ho_so_che_do!$B$2:$B$21,MATCH($B$61,AI_ho_so_che_do!$A$2:$A$21,0))&amp;""="*",COUNTIFS(Chien_thuat!$A$2:$A$17,"*"),IF(INDEX(AI_ho_so_che_do!$B$2:$B$21,MATCH($B$61,AI_ho_so_che_do!$A$2:$A$21,0))&amp;""="",0,LEN(INDEX(AI_ho_so_che_do!$B$2:$B$21,MATCH($B$61,AI_ho_so_che_do!$A$2:$A$21,0))&amp;"")-LEN(SUBSTITUTE(INDEX(AI_ho_so_che_do!$B$2:$B$21,MATCH($B$61,AI_ho_so_che_do!$A$2:$A$21,0))&amp;"",";",""))+1))</f>
        <v/>
      </c>
      <c r="F61">
        <f>IF(OR($E$61&lt;=1,ISNUMBER(FIND(";noGeneralTactic;",";"&amp;INDEX(AI_ho_so_che_do!$O$2:$O$21,MATCH($B$61,AI_ho_so_che_do!$A$2:$A$21,0))&amp;";"))),"Never",$D$61)</f>
        <v/>
      </c>
      <c r="G61" t="inlineStr">
        <is>
          <t>Counter</t>
        </is>
      </c>
      <c r="H61">
        <f>IF($D$61="Never","KHONG_DOI",IF($F$61="Never","HO_SO_CHAN","DO_KHO_CHO_DOI"))</f>
        <v/>
      </c>
      <c r="I61">
        <f>COUNTIFS(AI_ho_so_pha!$B$2:$B$6,$B$61)</f>
        <v/>
      </c>
      <c r="J61" t="inlineStr">
        <is>
          <t>Sim/AI/Commander.cs:52 (AiSkill.For VeryHard); balance.json aiModeProfiles.profiles.recon</t>
        </is>
      </c>
      <c r="K61" t="inlineStr"/>
    </row>
    <row r="62">
      <c r="A62" t="inlineStr">
        <is>
          <t>relieve/Easy</t>
        </is>
      </c>
      <c r="B62" t="inlineStr">
        <is>
          <t>relieve</t>
        </is>
      </c>
      <c r="C62" t="inlineStr">
        <is>
          <t>Easy</t>
        </is>
      </c>
      <c r="D62" t="inlineStr">
        <is>
          <t>Never</t>
        </is>
      </c>
      <c r="E62">
        <f>IF(INDEX(AI_ho_so_che_do!$B$2:$B$21,MATCH($B$62,AI_ho_so_che_do!$A$2:$A$21,0))&amp;""="*",COUNTIFS(Chien_thuat!$A$2:$A$17,"*"),IF(INDEX(AI_ho_so_che_do!$B$2:$B$21,MATCH($B$62,AI_ho_so_che_do!$A$2:$A$21,0))&amp;""="",0,LEN(INDEX(AI_ho_so_che_do!$B$2:$B$21,MATCH($B$62,AI_ho_so_che_do!$A$2:$A$21,0))&amp;"")-LEN(SUBSTITUTE(INDEX(AI_ho_so_che_do!$B$2:$B$21,MATCH($B$62,AI_ho_so_che_do!$A$2:$A$21,0))&amp;"",";",""))+1))</f>
        <v/>
      </c>
      <c r="F62">
        <f>IF(OR($E$62&lt;=1,ISNUMBER(FIND(";noGeneralTactic;",";"&amp;INDEX(AI_ho_so_che_do!$O$2:$O$21,MATCH($B$62,AI_ho_so_che_do!$A$2:$A$21,0))&amp;";"))),"Never",$D$62)</f>
        <v/>
      </c>
      <c r="G62" t="inlineStr">
        <is>
          <t>Never</t>
        </is>
      </c>
      <c r="H62">
        <f>IF($D$62="Never","KHONG_DOI",IF($F$62="Never","HO_SO_CHAN","DO_KHO_CHO_DOI"))</f>
        <v/>
      </c>
      <c r="I62">
        <f>COUNTIFS(AI_ho_so_pha!$B$2:$B$6,$B$62)</f>
        <v/>
      </c>
      <c r="J62" t="inlineStr">
        <is>
          <t>Sim/AI/Commander.cs:45 (AiSkill.For Easy); balance.json aiModeProfiles.profiles.relieve</t>
        </is>
      </c>
      <c r="K62" t="inlineStr"/>
    </row>
    <row r="63">
      <c r="A63" t="inlineStr">
        <is>
          <t>relieve/Hard</t>
        </is>
      </c>
      <c r="B63" t="inlineStr">
        <is>
          <t>relieve</t>
        </is>
      </c>
      <c r="C63" t="inlineStr">
        <is>
          <t>Hard</t>
        </is>
      </c>
      <c r="D63" t="inlineStr">
        <is>
          <t>WhenLosing</t>
        </is>
      </c>
      <c r="E63">
        <f>IF(INDEX(AI_ho_so_che_do!$B$2:$B$21,MATCH($B$63,AI_ho_so_che_do!$A$2:$A$21,0))&amp;""="*",COUNTIFS(Chien_thuat!$A$2:$A$17,"*"),IF(INDEX(AI_ho_so_che_do!$B$2:$B$21,MATCH($B$63,AI_ho_so_che_do!$A$2:$A$21,0))&amp;""="",0,LEN(INDEX(AI_ho_so_che_do!$B$2:$B$21,MATCH($B$63,AI_ho_so_che_do!$A$2:$A$21,0))&amp;"")-LEN(SUBSTITUTE(INDEX(AI_ho_so_che_do!$B$2:$B$21,MATCH($B$63,AI_ho_so_che_do!$A$2:$A$21,0))&amp;"",";",""))+1))</f>
        <v/>
      </c>
      <c r="F63">
        <f>IF(OR($E$63&lt;=1,ISNUMBER(FIND(";noGeneralTactic;",";"&amp;INDEX(AI_ho_so_che_do!$O$2:$O$21,MATCH($B$63,AI_ho_so_che_do!$A$2:$A$21,0))&amp;";"))),"Never",$D$63)</f>
        <v/>
      </c>
      <c r="G63" t="inlineStr">
        <is>
          <t>WhenLosing</t>
        </is>
      </c>
      <c r="H63">
        <f>IF($D$63="Never","KHONG_DOI",IF($F$63="Never","HO_SO_CHAN","DO_KHO_CHO_DOI"))</f>
        <v/>
      </c>
      <c r="I63">
        <f>COUNTIFS(AI_ho_so_pha!$B$2:$B$6,$B$63)</f>
        <v/>
      </c>
      <c r="J63" t="inlineStr">
        <is>
          <t>Sim/AI/Commander.cs:46 (AiSkill.For Hard); balance.json aiModeProfiles.profiles.relieve</t>
        </is>
      </c>
      <c r="K63" t="inlineStr"/>
    </row>
    <row r="64">
      <c r="A64" t="inlineStr">
        <is>
          <t>relieve/Normal</t>
        </is>
      </c>
      <c r="B64" t="inlineStr">
        <is>
          <t>relieve</t>
        </is>
      </c>
      <c r="C64" t="inlineStr">
        <is>
          <t>Normal</t>
        </is>
      </c>
      <c r="D64" t="inlineStr">
        <is>
          <t>Never</t>
        </is>
      </c>
      <c r="E64">
        <f>IF(INDEX(AI_ho_so_che_do!$B$2:$B$21,MATCH($B$64,AI_ho_so_che_do!$A$2:$A$21,0))&amp;""="*",COUNTIFS(Chien_thuat!$A$2:$A$17,"*"),IF(INDEX(AI_ho_so_che_do!$B$2:$B$21,MATCH($B$64,AI_ho_so_che_do!$A$2:$A$21,0))&amp;""="",0,LEN(INDEX(AI_ho_so_che_do!$B$2:$B$21,MATCH($B$64,AI_ho_so_che_do!$A$2:$A$21,0))&amp;"")-LEN(SUBSTITUTE(INDEX(AI_ho_so_che_do!$B$2:$B$21,MATCH($B$64,AI_ho_so_che_do!$A$2:$A$21,0))&amp;"",";",""))+1))</f>
        <v/>
      </c>
      <c r="F64">
        <f>IF(OR($E$64&lt;=1,ISNUMBER(FIND(";noGeneralTactic;",";"&amp;INDEX(AI_ho_so_che_do!$O$2:$O$21,MATCH($B$64,AI_ho_so_che_do!$A$2:$A$21,0))&amp;";"))),"Never",$D$64)</f>
        <v/>
      </c>
      <c r="G64" t="inlineStr">
        <is>
          <t>Never</t>
        </is>
      </c>
      <c r="H64">
        <f>IF($D$64="Never","KHONG_DOI",IF($F$64="Never","HO_SO_CHAN","DO_KHO_CHO_DOI"))</f>
        <v/>
      </c>
      <c r="I64">
        <f>COUNTIFS(AI_ho_so_pha!$B$2:$B$6,$B$64)</f>
        <v/>
      </c>
      <c r="J64" t="inlineStr">
        <is>
          <t>Sim/AI/Commander.cs:57 (AiSkill.For Normal); balance.json aiModeProfiles.profiles.relieve</t>
        </is>
      </c>
      <c r="K64" t="inlineStr"/>
    </row>
    <row r="65">
      <c r="A65" t="inlineStr">
        <is>
          <t>relieve/VeryHard</t>
        </is>
      </c>
      <c r="B65" t="inlineStr">
        <is>
          <t>relieve</t>
        </is>
      </c>
      <c r="C65" t="inlineStr">
        <is>
          <t>VeryHard</t>
        </is>
      </c>
      <c r="D65" t="inlineStr">
        <is>
          <t>Counter</t>
        </is>
      </c>
      <c r="E65">
        <f>IF(INDEX(AI_ho_so_che_do!$B$2:$B$21,MATCH($B$65,AI_ho_so_che_do!$A$2:$A$21,0))&amp;""="*",COUNTIFS(Chien_thuat!$A$2:$A$17,"*"),IF(INDEX(AI_ho_so_che_do!$B$2:$B$21,MATCH($B$65,AI_ho_so_che_do!$A$2:$A$21,0))&amp;""="",0,LEN(INDEX(AI_ho_so_che_do!$B$2:$B$21,MATCH($B$65,AI_ho_so_che_do!$A$2:$A$21,0))&amp;"")-LEN(SUBSTITUTE(INDEX(AI_ho_so_che_do!$B$2:$B$21,MATCH($B$65,AI_ho_so_che_do!$A$2:$A$21,0))&amp;"",";",""))+1))</f>
        <v/>
      </c>
      <c r="F65">
        <f>IF(OR($E$65&lt;=1,ISNUMBER(FIND(";noGeneralTactic;",";"&amp;INDEX(AI_ho_so_che_do!$O$2:$O$21,MATCH($B$65,AI_ho_so_che_do!$A$2:$A$21,0))&amp;";"))),"Never",$D$65)</f>
        <v/>
      </c>
      <c r="G65" t="inlineStr">
        <is>
          <t>Counter</t>
        </is>
      </c>
      <c r="H65">
        <f>IF($D$65="Never","KHONG_DOI",IF($F$65="Never","HO_SO_CHAN","DO_KHO_CHO_DOI"))</f>
        <v/>
      </c>
      <c r="I65">
        <f>COUNTIFS(AI_ho_so_pha!$B$2:$B$6,$B$65)</f>
        <v/>
      </c>
      <c r="J65" t="inlineStr">
        <is>
          <t>Sim/AI/Commander.cs:52 (AiSkill.For VeryHard); balance.json aiModeProfiles.profiles.relieve</t>
        </is>
      </c>
      <c r="K65" t="inlineStr"/>
    </row>
    <row r="66">
      <c r="A66" t="inlineStr">
        <is>
          <t>shootdown/Easy</t>
        </is>
      </c>
      <c r="B66" t="inlineStr">
        <is>
          <t>shootdown</t>
        </is>
      </c>
      <c r="C66" t="inlineStr">
        <is>
          <t>Easy</t>
        </is>
      </c>
      <c r="D66" t="inlineStr">
        <is>
          <t>Never</t>
        </is>
      </c>
      <c r="E66">
        <f>IF(INDEX(AI_ho_so_che_do!$B$2:$B$21,MATCH($B$66,AI_ho_so_che_do!$A$2:$A$21,0))&amp;""="*",COUNTIFS(Chien_thuat!$A$2:$A$17,"*"),IF(INDEX(AI_ho_so_che_do!$B$2:$B$21,MATCH($B$66,AI_ho_so_che_do!$A$2:$A$21,0))&amp;""="",0,LEN(INDEX(AI_ho_so_che_do!$B$2:$B$21,MATCH($B$66,AI_ho_so_che_do!$A$2:$A$21,0))&amp;"")-LEN(SUBSTITUTE(INDEX(AI_ho_so_che_do!$B$2:$B$21,MATCH($B$66,AI_ho_so_che_do!$A$2:$A$21,0))&amp;"",";",""))+1))</f>
        <v/>
      </c>
      <c r="F66">
        <f>IF(OR($E$66&lt;=1,ISNUMBER(FIND(";noGeneralTactic;",";"&amp;INDEX(AI_ho_so_che_do!$O$2:$O$21,MATCH($B$66,AI_ho_so_che_do!$A$2:$A$21,0))&amp;";"))),"Never",$D$66)</f>
        <v/>
      </c>
      <c r="G66" t="inlineStr">
        <is>
          <t>Never</t>
        </is>
      </c>
      <c r="H66">
        <f>IF($D$66="Never","KHONG_DOI",IF($F$66="Never","HO_SO_CHAN","DO_KHO_CHO_DOI"))</f>
        <v/>
      </c>
      <c r="I66">
        <f>COUNTIFS(AI_ho_so_pha!$B$2:$B$6,$B$66)</f>
        <v/>
      </c>
      <c r="J66" t="inlineStr">
        <is>
          <t>Sim/AI/Commander.cs:45 (AiSkill.For Easy); balance.json aiModeProfiles.profiles.shootdown</t>
        </is>
      </c>
      <c r="K66" t="inlineStr"/>
    </row>
    <row r="67">
      <c r="A67" t="inlineStr">
        <is>
          <t>shootdown/Hard</t>
        </is>
      </c>
      <c r="B67" t="inlineStr">
        <is>
          <t>shootdown</t>
        </is>
      </c>
      <c r="C67" t="inlineStr">
        <is>
          <t>Hard</t>
        </is>
      </c>
      <c r="D67" t="inlineStr">
        <is>
          <t>WhenLosing</t>
        </is>
      </c>
      <c r="E67">
        <f>IF(INDEX(AI_ho_so_che_do!$B$2:$B$21,MATCH($B$67,AI_ho_so_che_do!$A$2:$A$21,0))&amp;""="*",COUNTIFS(Chien_thuat!$A$2:$A$17,"*"),IF(INDEX(AI_ho_so_che_do!$B$2:$B$21,MATCH($B$67,AI_ho_so_che_do!$A$2:$A$21,0))&amp;""="",0,LEN(INDEX(AI_ho_so_che_do!$B$2:$B$21,MATCH($B$67,AI_ho_so_che_do!$A$2:$A$21,0))&amp;"")-LEN(SUBSTITUTE(INDEX(AI_ho_so_che_do!$B$2:$B$21,MATCH($B$67,AI_ho_so_che_do!$A$2:$A$21,0))&amp;"",";",""))+1))</f>
        <v/>
      </c>
      <c r="F67">
        <f>IF(OR($E$67&lt;=1,ISNUMBER(FIND(";noGeneralTactic;",";"&amp;INDEX(AI_ho_so_che_do!$O$2:$O$21,MATCH($B$67,AI_ho_so_che_do!$A$2:$A$21,0))&amp;";"))),"Never",$D$67)</f>
        <v/>
      </c>
      <c r="G67" t="inlineStr">
        <is>
          <t>WhenLosing</t>
        </is>
      </c>
      <c r="H67">
        <f>IF($D$67="Never","KHONG_DOI",IF($F$67="Never","HO_SO_CHAN","DO_KHO_CHO_DOI"))</f>
        <v/>
      </c>
      <c r="I67">
        <f>COUNTIFS(AI_ho_so_pha!$B$2:$B$6,$B$67)</f>
        <v/>
      </c>
      <c r="J67" t="inlineStr">
        <is>
          <t>Sim/AI/Commander.cs:46 (AiSkill.For Hard); balance.json aiModeProfiles.profiles.shootdown</t>
        </is>
      </c>
      <c r="K67" t="inlineStr"/>
    </row>
    <row r="68">
      <c r="A68" t="inlineStr">
        <is>
          <t>shootdown/Normal</t>
        </is>
      </c>
      <c r="B68" t="inlineStr">
        <is>
          <t>shootdown</t>
        </is>
      </c>
      <c r="C68" t="inlineStr">
        <is>
          <t>Normal</t>
        </is>
      </c>
      <c r="D68" t="inlineStr">
        <is>
          <t>Never</t>
        </is>
      </c>
      <c r="E68">
        <f>IF(INDEX(AI_ho_so_che_do!$B$2:$B$21,MATCH($B$68,AI_ho_so_che_do!$A$2:$A$21,0))&amp;""="*",COUNTIFS(Chien_thuat!$A$2:$A$17,"*"),IF(INDEX(AI_ho_so_che_do!$B$2:$B$21,MATCH($B$68,AI_ho_so_che_do!$A$2:$A$21,0))&amp;""="",0,LEN(INDEX(AI_ho_so_che_do!$B$2:$B$21,MATCH($B$68,AI_ho_so_che_do!$A$2:$A$21,0))&amp;"")-LEN(SUBSTITUTE(INDEX(AI_ho_so_che_do!$B$2:$B$21,MATCH($B$68,AI_ho_so_che_do!$A$2:$A$21,0))&amp;"",";",""))+1))</f>
        <v/>
      </c>
      <c r="F68">
        <f>IF(OR($E$68&lt;=1,ISNUMBER(FIND(";noGeneralTactic;",";"&amp;INDEX(AI_ho_so_che_do!$O$2:$O$21,MATCH($B$68,AI_ho_so_che_do!$A$2:$A$21,0))&amp;";"))),"Never",$D$68)</f>
        <v/>
      </c>
      <c r="G68" t="inlineStr">
        <is>
          <t>Never</t>
        </is>
      </c>
      <c r="H68">
        <f>IF($D$68="Never","KHONG_DOI",IF($F$68="Never","HO_SO_CHAN","DO_KHO_CHO_DOI"))</f>
        <v/>
      </c>
      <c r="I68">
        <f>COUNTIFS(AI_ho_so_pha!$B$2:$B$6,$B$68)</f>
        <v/>
      </c>
      <c r="J68" t="inlineStr">
        <is>
          <t>Sim/AI/Commander.cs:57 (AiSkill.For Normal); balance.json aiModeProfiles.profiles.shootdown</t>
        </is>
      </c>
      <c r="K68" t="inlineStr"/>
    </row>
    <row r="69">
      <c r="A69" t="inlineStr">
        <is>
          <t>shootdown/VeryHard</t>
        </is>
      </c>
      <c r="B69" t="inlineStr">
        <is>
          <t>shootdown</t>
        </is>
      </c>
      <c r="C69" t="inlineStr">
        <is>
          <t>VeryHard</t>
        </is>
      </c>
      <c r="D69" t="inlineStr">
        <is>
          <t>Counter</t>
        </is>
      </c>
      <c r="E69">
        <f>IF(INDEX(AI_ho_so_che_do!$B$2:$B$21,MATCH($B$69,AI_ho_so_che_do!$A$2:$A$21,0))&amp;""="*",COUNTIFS(Chien_thuat!$A$2:$A$17,"*"),IF(INDEX(AI_ho_so_che_do!$B$2:$B$21,MATCH($B$69,AI_ho_so_che_do!$A$2:$A$21,0))&amp;""="",0,LEN(INDEX(AI_ho_so_che_do!$B$2:$B$21,MATCH($B$69,AI_ho_so_che_do!$A$2:$A$21,0))&amp;"")-LEN(SUBSTITUTE(INDEX(AI_ho_so_che_do!$B$2:$B$21,MATCH($B$69,AI_ho_so_che_do!$A$2:$A$21,0))&amp;"",";",""))+1))</f>
        <v/>
      </c>
      <c r="F69">
        <f>IF(OR($E$69&lt;=1,ISNUMBER(FIND(";noGeneralTactic;",";"&amp;INDEX(AI_ho_so_che_do!$O$2:$O$21,MATCH($B$69,AI_ho_so_che_do!$A$2:$A$21,0))&amp;";"))),"Never",$D$69)</f>
        <v/>
      </c>
      <c r="G69" t="inlineStr">
        <is>
          <t>Counter</t>
        </is>
      </c>
      <c r="H69">
        <f>IF($D$69="Never","KHONG_DOI",IF($F$69="Never","HO_SO_CHAN","DO_KHO_CHO_DOI"))</f>
        <v/>
      </c>
      <c r="I69">
        <f>COUNTIFS(AI_ho_so_pha!$B$2:$B$6,$B$69)</f>
        <v/>
      </c>
      <c r="J69" t="inlineStr">
        <is>
          <t>Sim/AI/Commander.cs:52 (AiSkill.For VeryHard); balance.json aiModeProfiles.profiles.shootdown</t>
        </is>
      </c>
      <c r="K69" t="inlineStr"/>
    </row>
    <row r="70">
      <c r="A70" t="inlineStr">
        <is>
          <t>showdown/Easy</t>
        </is>
      </c>
      <c r="B70" t="inlineStr">
        <is>
          <t>showdown</t>
        </is>
      </c>
      <c r="C70" t="inlineStr">
        <is>
          <t>Easy</t>
        </is>
      </c>
      <c r="D70" t="inlineStr">
        <is>
          <t>Never</t>
        </is>
      </c>
      <c r="E70">
        <f>IF(INDEX(AI_ho_so_che_do!$B$2:$B$21,MATCH($B$70,AI_ho_so_che_do!$A$2:$A$21,0))&amp;""="*",COUNTIFS(Chien_thuat!$A$2:$A$17,"*"),IF(INDEX(AI_ho_so_che_do!$B$2:$B$21,MATCH($B$70,AI_ho_so_che_do!$A$2:$A$21,0))&amp;""="",0,LEN(INDEX(AI_ho_so_che_do!$B$2:$B$21,MATCH($B$70,AI_ho_so_che_do!$A$2:$A$21,0))&amp;"")-LEN(SUBSTITUTE(INDEX(AI_ho_so_che_do!$B$2:$B$21,MATCH($B$70,AI_ho_so_che_do!$A$2:$A$21,0))&amp;"",";",""))+1))</f>
        <v/>
      </c>
      <c r="F70">
        <f>IF(OR($E$70&lt;=1,ISNUMBER(FIND(";noGeneralTactic;",";"&amp;INDEX(AI_ho_so_che_do!$O$2:$O$21,MATCH($B$70,AI_ho_so_che_do!$A$2:$A$21,0))&amp;";"))),"Never",$D$70)</f>
        <v/>
      </c>
      <c r="G70" t="inlineStr">
        <is>
          <t>Never</t>
        </is>
      </c>
      <c r="H70">
        <f>IF($D$70="Never","KHONG_DOI",IF($F$70="Never","HO_SO_CHAN","DO_KHO_CHO_DOI"))</f>
        <v/>
      </c>
      <c r="I70">
        <f>COUNTIFS(AI_ho_so_pha!$B$2:$B$6,$B$70)</f>
        <v/>
      </c>
      <c r="J70" t="inlineStr">
        <is>
          <t>Sim/AI/Commander.cs:45 (AiSkill.For Easy); balance.json aiModeProfiles.profiles.showdown</t>
        </is>
      </c>
      <c r="K70" t="inlineStr"/>
    </row>
    <row r="71">
      <c r="A71" t="inlineStr">
        <is>
          <t>showdown/Hard</t>
        </is>
      </c>
      <c r="B71" t="inlineStr">
        <is>
          <t>showdown</t>
        </is>
      </c>
      <c r="C71" t="inlineStr">
        <is>
          <t>Hard</t>
        </is>
      </c>
      <c r="D71" t="inlineStr">
        <is>
          <t>WhenLosing</t>
        </is>
      </c>
      <c r="E71">
        <f>IF(INDEX(AI_ho_so_che_do!$B$2:$B$21,MATCH($B$71,AI_ho_so_che_do!$A$2:$A$21,0))&amp;""="*",COUNTIFS(Chien_thuat!$A$2:$A$17,"*"),IF(INDEX(AI_ho_so_che_do!$B$2:$B$21,MATCH($B$71,AI_ho_so_che_do!$A$2:$A$21,0))&amp;""="",0,LEN(INDEX(AI_ho_so_che_do!$B$2:$B$21,MATCH($B$71,AI_ho_so_che_do!$A$2:$A$21,0))&amp;"")-LEN(SUBSTITUTE(INDEX(AI_ho_so_che_do!$B$2:$B$21,MATCH($B$71,AI_ho_so_che_do!$A$2:$A$21,0))&amp;"",";",""))+1))</f>
        <v/>
      </c>
      <c r="F71">
        <f>IF(OR($E$71&lt;=1,ISNUMBER(FIND(";noGeneralTactic;",";"&amp;INDEX(AI_ho_so_che_do!$O$2:$O$21,MATCH($B$71,AI_ho_so_che_do!$A$2:$A$21,0))&amp;";"))),"Never",$D$71)</f>
        <v/>
      </c>
      <c r="G71" t="inlineStr">
        <is>
          <t>WhenLosing</t>
        </is>
      </c>
      <c r="H71">
        <f>IF($D$71="Never","KHONG_DOI",IF($F$71="Never","HO_SO_CHAN","DO_KHO_CHO_DOI"))</f>
        <v/>
      </c>
      <c r="I71">
        <f>COUNTIFS(AI_ho_so_pha!$B$2:$B$6,$B$71)</f>
        <v/>
      </c>
      <c r="J71" t="inlineStr">
        <is>
          <t>Sim/AI/Commander.cs:46 (AiSkill.For Hard); balance.json aiModeProfiles.profiles.showdown</t>
        </is>
      </c>
      <c r="K71" t="inlineStr"/>
    </row>
    <row r="72">
      <c r="A72" t="inlineStr">
        <is>
          <t>showdown/Normal</t>
        </is>
      </c>
      <c r="B72" t="inlineStr">
        <is>
          <t>showdown</t>
        </is>
      </c>
      <c r="C72" t="inlineStr">
        <is>
          <t>Normal</t>
        </is>
      </c>
      <c r="D72" t="inlineStr">
        <is>
          <t>Never</t>
        </is>
      </c>
      <c r="E72">
        <f>IF(INDEX(AI_ho_so_che_do!$B$2:$B$21,MATCH($B$72,AI_ho_so_che_do!$A$2:$A$21,0))&amp;""="*",COUNTIFS(Chien_thuat!$A$2:$A$17,"*"),IF(INDEX(AI_ho_so_che_do!$B$2:$B$21,MATCH($B$72,AI_ho_so_che_do!$A$2:$A$21,0))&amp;""="",0,LEN(INDEX(AI_ho_so_che_do!$B$2:$B$21,MATCH($B$72,AI_ho_so_che_do!$A$2:$A$21,0))&amp;"")-LEN(SUBSTITUTE(INDEX(AI_ho_so_che_do!$B$2:$B$21,MATCH($B$72,AI_ho_so_che_do!$A$2:$A$21,0))&amp;"",";",""))+1))</f>
        <v/>
      </c>
      <c r="F72">
        <f>IF(OR($E$72&lt;=1,ISNUMBER(FIND(";noGeneralTactic;",";"&amp;INDEX(AI_ho_so_che_do!$O$2:$O$21,MATCH($B$72,AI_ho_so_che_do!$A$2:$A$21,0))&amp;";"))),"Never",$D$72)</f>
        <v/>
      </c>
      <c r="G72" t="inlineStr">
        <is>
          <t>Never</t>
        </is>
      </c>
      <c r="H72">
        <f>IF($D$72="Never","KHONG_DOI",IF($F$72="Never","HO_SO_CHAN","DO_KHO_CHO_DOI"))</f>
        <v/>
      </c>
      <c r="I72">
        <f>COUNTIFS(AI_ho_so_pha!$B$2:$B$6,$B$72)</f>
        <v/>
      </c>
      <c r="J72" t="inlineStr">
        <is>
          <t>Sim/AI/Commander.cs:57 (AiSkill.For Normal); balance.json aiModeProfiles.profiles.showdown</t>
        </is>
      </c>
      <c r="K72" t="inlineStr"/>
    </row>
    <row r="73">
      <c r="A73" t="inlineStr">
        <is>
          <t>showdown/VeryHard</t>
        </is>
      </c>
      <c r="B73" t="inlineStr">
        <is>
          <t>showdown</t>
        </is>
      </c>
      <c r="C73" t="inlineStr">
        <is>
          <t>VeryHard</t>
        </is>
      </c>
      <c r="D73" t="inlineStr">
        <is>
          <t>Counter</t>
        </is>
      </c>
      <c r="E73">
        <f>IF(INDEX(AI_ho_so_che_do!$B$2:$B$21,MATCH($B$73,AI_ho_so_che_do!$A$2:$A$21,0))&amp;""="*",COUNTIFS(Chien_thuat!$A$2:$A$17,"*"),IF(INDEX(AI_ho_so_che_do!$B$2:$B$21,MATCH($B$73,AI_ho_so_che_do!$A$2:$A$21,0))&amp;""="",0,LEN(INDEX(AI_ho_so_che_do!$B$2:$B$21,MATCH($B$73,AI_ho_so_che_do!$A$2:$A$21,0))&amp;"")-LEN(SUBSTITUTE(INDEX(AI_ho_so_che_do!$B$2:$B$21,MATCH($B$73,AI_ho_so_che_do!$A$2:$A$21,0))&amp;"",";",""))+1))</f>
        <v/>
      </c>
      <c r="F73">
        <f>IF(OR($E$73&lt;=1,ISNUMBER(FIND(";noGeneralTactic;",";"&amp;INDEX(AI_ho_so_che_do!$O$2:$O$21,MATCH($B$73,AI_ho_so_che_do!$A$2:$A$21,0))&amp;";"))),"Never",$D$73)</f>
        <v/>
      </c>
      <c r="G73" t="inlineStr">
        <is>
          <t>Counter</t>
        </is>
      </c>
      <c r="H73">
        <f>IF($D$73="Never","KHONG_DOI",IF($F$73="Never","HO_SO_CHAN","DO_KHO_CHO_DOI"))</f>
        <v/>
      </c>
      <c r="I73">
        <f>COUNTIFS(AI_ho_so_pha!$B$2:$B$6,$B$73)</f>
        <v/>
      </c>
      <c r="J73" t="inlineStr">
        <is>
          <t>Sim/AI/Commander.cs:52 (AiSkill.For VeryHard); balance.json aiModeProfiles.profiles.showdown</t>
        </is>
      </c>
      <c r="K73" t="inlineStr"/>
    </row>
    <row r="74">
      <c r="A74" t="inlineStr">
        <is>
          <t>siege/Easy</t>
        </is>
      </c>
      <c r="B74" t="inlineStr">
        <is>
          <t>siege</t>
        </is>
      </c>
      <c r="C74" t="inlineStr">
        <is>
          <t>Easy</t>
        </is>
      </c>
      <c r="D74" t="inlineStr">
        <is>
          <t>Never</t>
        </is>
      </c>
      <c r="E74">
        <f>IF(INDEX(AI_ho_so_che_do!$B$2:$B$21,MATCH($B$74,AI_ho_so_che_do!$A$2:$A$21,0))&amp;""="*",COUNTIFS(Chien_thuat!$A$2:$A$17,"*"),IF(INDEX(AI_ho_so_che_do!$B$2:$B$21,MATCH($B$74,AI_ho_so_che_do!$A$2:$A$21,0))&amp;""="",0,LEN(INDEX(AI_ho_so_che_do!$B$2:$B$21,MATCH($B$74,AI_ho_so_che_do!$A$2:$A$21,0))&amp;"")-LEN(SUBSTITUTE(INDEX(AI_ho_so_che_do!$B$2:$B$21,MATCH($B$74,AI_ho_so_che_do!$A$2:$A$21,0))&amp;"",";",""))+1))</f>
        <v/>
      </c>
      <c r="F74">
        <f>IF(OR($E$74&lt;=1,ISNUMBER(FIND(";noGeneralTactic;",";"&amp;INDEX(AI_ho_so_che_do!$O$2:$O$21,MATCH($B$74,AI_ho_so_che_do!$A$2:$A$21,0))&amp;";"))),"Never",$D$74)</f>
        <v/>
      </c>
      <c r="G74" t="inlineStr">
        <is>
          <t>Never</t>
        </is>
      </c>
      <c r="H74">
        <f>IF($D$74="Never","KHONG_DOI",IF($F$74="Never","HO_SO_CHAN","DO_KHO_CHO_DOI"))</f>
        <v/>
      </c>
      <c r="I74">
        <f>COUNTIFS(AI_ho_so_pha!$B$2:$B$6,$B$74)</f>
        <v/>
      </c>
      <c r="J74" t="inlineStr">
        <is>
          <t>Sim/AI/Commander.cs:45 (AiSkill.For Easy); balance.json aiModeProfiles.profiles.siege</t>
        </is>
      </c>
      <c r="K74" t="inlineStr"/>
    </row>
    <row r="75">
      <c r="A75" t="inlineStr">
        <is>
          <t>siege/Hard</t>
        </is>
      </c>
      <c r="B75" t="inlineStr">
        <is>
          <t>siege</t>
        </is>
      </c>
      <c r="C75" t="inlineStr">
        <is>
          <t>Hard</t>
        </is>
      </c>
      <c r="D75" t="inlineStr">
        <is>
          <t>WhenLosing</t>
        </is>
      </c>
      <c r="E75">
        <f>IF(INDEX(AI_ho_so_che_do!$B$2:$B$21,MATCH($B$75,AI_ho_so_che_do!$A$2:$A$21,0))&amp;""="*",COUNTIFS(Chien_thuat!$A$2:$A$17,"*"),IF(INDEX(AI_ho_so_che_do!$B$2:$B$21,MATCH($B$75,AI_ho_so_che_do!$A$2:$A$21,0))&amp;""="",0,LEN(INDEX(AI_ho_so_che_do!$B$2:$B$21,MATCH($B$75,AI_ho_so_che_do!$A$2:$A$21,0))&amp;"")-LEN(SUBSTITUTE(INDEX(AI_ho_so_che_do!$B$2:$B$21,MATCH($B$75,AI_ho_so_che_do!$A$2:$A$21,0))&amp;"",";",""))+1))</f>
        <v/>
      </c>
      <c r="F75">
        <f>IF(OR($E$75&lt;=1,ISNUMBER(FIND(";noGeneralTactic;",";"&amp;INDEX(AI_ho_so_che_do!$O$2:$O$21,MATCH($B$75,AI_ho_so_che_do!$A$2:$A$21,0))&amp;";"))),"Never",$D$75)</f>
        <v/>
      </c>
      <c r="G75" t="inlineStr">
        <is>
          <t>WhenLosing</t>
        </is>
      </c>
      <c r="H75">
        <f>IF($D$75="Never","KHONG_DOI",IF($F$75="Never","HO_SO_CHAN","DO_KHO_CHO_DOI"))</f>
        <v/>
      </c>
      <c r="I75">
        <f>COUNTIFS(AI_ho_so_pha!$B$2:$B$6,$B$75)</f>
        <v/>
      </c>
      <c r="J75" t="inlineStr">
        <is>
          <t>Sim/AI/Commander.cs:46 (AiSkill.For Hard); balance.json aiModeProfiles.profiles.siege</t>
        </is>
      </c>
      <c r="K75" t="inlineStr"/>
    </row>
    <row r="76">
      <c r="A76" t="inlineStr">
        <is>
          <t>siege/Normal</t>
        </is>
      </c>
      <c r="B76" t="inlineStr">
        <is>
          <t>siege</t>
        </is>
      </c>
      <c r="C76" t="inlineStr">
        <is>
          <t>Normal</t>
        </is>
      </c>
      <c r="D76" t="inlineStr">
        <is>
          <t>Never</t>
        </is>
      </c>
      <c r="E76">
        <f>IF(INDEX(AI_ho_so_che_do!$B$2:$B$21,MATCH($B$76,AI_ho_so_che_do!$A$2:$A$21,0))&amp;""="*",COUNTIFS(Chien_thuat!$A$2:$A$17,"*"),IF(INDEX(AI_ho_so_che_do!$B$2:$B$21,MATCH($B$76,AI_ho_so_che_do!$A$2:$A$21,0))&amp;""="",0,LEN(INDEX(AI_ho_so_che_do!$B$2:$B$21,MATCH($B$76,AI_ho_so_che_do!$A$2:$A$21,0))&amp;"")-LEN(SUBSTITUTE(INDEX(AI_ho_so_che_do!$B$2:$B$21,MATCH($B$76,AI_ho_so_che_do!$A$2:$A$21,0))&amp;"",";",""))+1))</f>
        <v/>
      </c>
      <c r="F76">
        <f>IF(OR($E$76&lt;=1,ISNUMBER(FIND(";noGeneralTactic;",";"&amp;INDEX(AI_ho_so_che_do!$O$2:$O$21,MATCH($B$76,AI_ho_so_che_do!$A$2:$A$21,0))&amp;";"))),"Never",$D$76)</f>
        <v/>
      </c>
      <c r="G76" t="inlineStr">
        <is>
          <t>Never</t>
        </is>
      </c>
      <c r="H76">
        <f>IF($D$76="Never","KHONG_DOI",IF($F$76="Never","HO_SO_CHAN","DO_KHO_CHO_DOI"))</f>
        <v/>
      </c>
      <c r="I76">
        <f>COUNTIFS(AI_ho_so_pha!$B$2:$B$6,$B$76)</f>
        <v/>
      </c>
      <c r="J76" t="inlineStr">
        <is>
          <t>Sim/AI/Commander.cs:57 (AiSkill.For Normal); balance.json aiModeProfiles.profiles.siege</t>
        </is>
      </c>
      <c r="K76" t="inlineStr"/>
    </row>
    <row r="77">
      <c r="A77" t="inlineStr">
        <is>
          <t>siege/VeryHard</t>
        </is>
      </c>
      <c r="B77" t="inlineStr">
        <is>
          <t>siege</t>
        </is>
      </c>
      <c r="C77" t="inlineStr">
        <is>
          <t>VeryHard</t>
        </is>
      </c>
      <c r="D77" t="inlineStr">
        <is>
          <t>Counter</t>
        </is>
      </c>
      <c r="E77">
        <f>IF(INDEX(AI_ho_so_che_do!$B$2:$B$21,MATCH($B$77,AI_ho_so_che_do!$A$2:$A$21,0))&amp;""="*",COUNTIFS(Chien_thuat!$A$2:$A$17,"*"),IF(INDEX(AI_ho_so_che_do!$B$2:$B$21,MATCH($B$77,AI_ho_so_che_do!$A$2:$A$21,0))&amp;""="",0,LEN(INDEX(AI_ho_so_che_do!$B$2:$B$21,MATCH($B$77,AI_ho_so_che_do!$A$2:$A$21,0))&amp;"")-LEN(SUBSTITUTE(INDEX(AI_ho_so_che_do!$B$2:$B$21,MATCH($B$77,AI_ho_so_che_do!$A$2:$A$21,0))&amp;"",";",""))+1))</f>
        <v/>
      </c>
      <c r="F77">
        <f>IF(OR($E$77&lt;=1,ISNUMBER(FIND(";noGeneralTactic;",";"&amp;INDEX(AI_ho_so_che_do!$O$2:$O$21,MATCH($B$77,AI_ho_so_che_do!$A$2:$A$21,0))&amp;";"))),"Never",$D$77)</f>
        <v/>
      </c>
      <c r="G77" t="inlineStr">
        <is>
          <t>Counter</t>
        </is>
      </c>
      <c r="H77">
        <f>IF($D$77="Never","KHONG_DOI",IF($F$77="Never","HO_SO_CHAN","DO_KHO_CHO_DOI"))</f>
        <v/>
      </c>
      <c r="I77">
        <f>COUNTIFS(AI_ho_so_pha!$B$2:$B$6,$B$77)</f>
        <v/>
      </c>
      <c r="J77" t="inlineStr">
        <is>
          <t>Sim/AI/Commander.cs:52 (AiSkill.For VeryHard); balance.json aiModeProfiles.profiles.siege</t>
        </is>
      </c>
      <c r="K77" t="inlineStr"/>
    </row>
    <row r="78">
      <c r="A78" t="inlineStr">
        <is>
          <t>survival/Easy</t>
        </is>
      </c>
      <c r="B78" t="inlineStr">
        <is>
          <t>survival</t>
        </is>
      </c>
      <c r="C78" t="inlineStr">
        <is>
          <t>Easy</t>
        </is>
      </c>
      <c r="D78" t="inlineStr">
        <is>
          <t>Never</t>
        </is>
      </c>
      <c r="E78">
        <f>IF(INDEX(AI_ho_so_che_do!$B$2:$B$21,MATCH($B$78,AI_ho_so_che_do!$A$2:$A$21,0))&amp;""="*",COUNTIFS(Chien_thuat!$A$2:$A$17,"*"),IF(INDEX(AI_ho_so_che_do!$B$2:$B$21,MATCH($B$78,AI_ho_so_che_do!$A$2:$A$21,0))&amp;""="",0,LEN(INDEX(AI_ho_so_che_do!$B$2:$B$21,MATCH($B$78,AI_ho_so_che_do!$A$2:$A$21,0))&amp;"")-LEN(SUBSTITUTE(INDEX(AI_ho_so_che_do!$B$2:$B$21,MATCH($B$78,AI_ho_so_che_do!$A$2:$A$21,0))&amp;"",";",""))+1))</f>
        <v/>
      </c>
      <c r="F78">
        <f>IF(OR($E$78&lt;=1,ISNUMBER(FIND(";noGeneralTactic;",";"&amp;INDEX(AI_ho_so_che_do!$O$2:$O$21,MATCH($B$78,AI_ho_so_che_do!$A$2:$A$21,0))&amp;";"))),"Never",$D$78)</f>
        <v/>
      </c>
      <c r="G78" t="inlineStr">
        <is>
          <t>Never</t>
        </is>
      </c>
      <c r="H78">
        <f>IF($D$78="Never","KHONG_DOI",IF($F$78="Never","HO_SO_CHAN","DO_KHO_CHO_DOI"))</f>
        <v/>
      </c>
      <c r="I78">
        <f>COUNTIFS(AI_ho_so_pha!$B$2:$B$6,$B$78)</f>
        <v/>
      </c>
      <c r="J78" t="inlineStr">
        <is>
          <t>Sim/AI/Commander.cs:45 (AiSkill.For Easy); balance.json aiModeProfiles.profiles.survival</t>
        </is>
      </c>
      <c r="K78" t="inlineStr"/>
    </row>
    <row r="79">
      <c r="A79" t="inlineStr">
        <is>
          <t>survival/Hard</t>
        </is>
      </c>
      <c r="B79" t="inlineStr">
        <is>
          <t>survival</t>
        </is>
      </c>
      <c r="C79" t="inlineStr">
        <is>
          <t>Hard</t>
        </is>
      </c>
      <c r="D79" t="inlineStr">
        <is>
          <t>WhenLosing</t>
        </is>
      </c>
      <c r="E79">
        <f>IF(INDEX(AI_ho_so_che_do!$B$2:$B$21,MATCH($B$79,AI_ho_so_che_do!$A$2:$A$21,0))&amp;""="*",COUNTIFS(Chien_thuat!$A$2:$A$17,"*"),IF(INDEX(AI_ho_so_che_do!$B$2:$B$21,MATCH($B$79,AI_ho_so_che_do!$A$2:$A$21,0))&amp;""="",0,LEN(INDEX(AI_ho_so_che_do!$B$2:$B$21,MATCH($B$79,AI_ho_so_che_do!$A$2:$A$21,0))&amp;"")-LEN(SUBSTITUTE(INDEX(AI_ho_so_che_do!$B$2:$B$21,MATCH($B$79,AI_ho_so_che_do!$A$2:$A$21,0))&amp;"",";",""))+1))</f>
        <v/>
      </c>
      <c r="F79">
        <f>IF(OR($E$79&lt;=1,ISNUMBER(FIND(";noGeneralTactic;",";"&amp;INDEX(AI_ho_so_che_do!$O$2:$O$21,MATCH($B$79,AI_ho_so_che_do!$A$2:$A$21,0))&amp;";"))),"Never",$D$79)</f>
        <v/>
      </c>
      <c r="G79" t="inlineStr">
        <is>
          <t>Never</t>
        </is>
      </c>
      <c r="H79">
        <f>IF($D$79="Never","KHONG_DOI",IF($F$79="Never","HO_SO_CHAN","DO_KHO_CHO_DOI"))</f>
        <v/>
      </c>
      <c r="I79">
        <f>COUNTIFS(AI_ho_so_pha!$B$2:$B$6,$B$79)</f>
        <v/>
      </c>
      <c r="J79" t="inlineStr">
        <is>
          <t>Sim/AI/Commander.cs:46 (AiSkill.For Hard); balance.json aiModeProfiles.profiles.survival</t>
        </is>
      </c>
      <c r="K79" t="inlineStr"/>
    </row>
    <row r="80">
      <c r="A80" t="inlineStr">
        <is>
          <t>survival/Normal</t>
        </is>
      </c>
      <c r="B80" t="inlineStr">
        <is>
          <t>survival</t>
        </is>
      </c>
      <c r="C80" t="inlineStr">
        <is>
          <t>Normal</t>
        </is>
      </c>
      <c r="D80" t="inlineStr">
        <is>
          <t>Never</t>
        </is>
      </c>
      <c r="E80">
        <f>IF(INDEX(AI_ho_so_che_do!$B$2:$B$21,MATCH($B$80,AI_ho_so_che_do!$A$2:$A$21,0))&amp;""="*",COUNTIFS(Chien_thuat!$A$2:$A$17,"*"),IF(INDEX(AI_ho_so_che_do!$B$2:$B$21,MATCH($B$80,AI_ho_so_che_do!$A$2:$A$21,0))&amp;""="",0,LEN(INDEX(AI_ho_so_che_do!$B$2:$B$21,MATCH($B$80,AI_ho_so_che_do!$A$2:$A$21,0))&amp;"")-LEN(SUBSTITUTE(INDEX(AI_ho_so_che_do!$B$2:$B$21,MATCH($B$80,AI_ho_so_che_do!$A$2:$A$21,0))&amp;"",";",""))+1))</f>
        <v/>
      </c>
      <c r="F80">
        <f>IF(OR($E$80&lt;=1,ISNUMBER(FIND(";noGeneralTactic;",";"&amp;INDEX(AI_ho_so_che_do!$O$2:$O$21,MATCH($B$80,AI_ho_so_che_do!$A$2:$A$21,0))&amp;";"))),"Never",$D$80)</f>
        <v/>
      </c>
      <c r="G80" t="inlineStr">
        <is>
          <t>Never</t>
        </is>
      </c>
      <c r="H80">
        <f>IF($D$80="Never","KHONG_DOI",IF($F$80="Never","HO_SO_CHAN","DO_KHO_CHO_DOI"))</f>
        <v/>
      </c>
      <c r="I80">
        <f>COUNTIFS(AI_ho_so_pha!$B$2:$B$6,$B$80)</f>
        <v/>
      </c>
      <c r="J80" t="inlineStr">
        <is>
          <t>Sim/AI/Commander.cs:57 (AiSkill.For Normal); balance.json aiModeProfiles.profiles.survival</t>
        </is>
      </c>
      <c r="K80" t="inlineStr"/>
    </row>
    <row r="81">
      <c r="A81" t="inlineStr">
        <is>
          <t>survival/VeryHard</t>
        </is>
      </c>
      <c r="B81" t="inlineStr">
        <is>
          <t>survival</t>
        </is>
      </c>
      <c r="C81" t="inlineStr">
        <is>
          <t>VeryHard</t>
        </is>
      </c>
      <c r="D81" t="inlineStr">
        <is>
          <t>Counter</t>
        </is>
      </c>
      <c r="E81">
        <f>IF(INDEX(AI_ho_so_che_do!$B$2:$B$21,MATCH($B$81,AI_ho_so_che_do!$A$2:$A$21,0))&amp;""="*",COUNTIFS(Chien_thuat!$A$2:$A$17,"*"),IF(INDEX(AI_ho_so_che_do!$B$2:$B$21,MATCH($B$81,AI_ho_so_che_do!$A$2:$A$21,0))&amp;""="",0,LEN(INDEX(AI_ho_so_che_do!$B$2:$B$21,MATCH($B$81,AI_ho_so_che_do!$A$2:$A$21,0))&amp;"")-LEN(SUBSTITUTE(INDEX(AI_ho_so_che_do!$B$2:$B$21,MATCH($B$81,AI_ho_so_che_do!$A$2:$A$21,0))&amp;"",";",""))+1))</f>
        <v/>
      </c>
      <c r="F81">
        <f>IF(OR($E$81&lt;=1,ISNUMBER(FIND(";noGeneralTactic;",";"&amp;INDEX(AI_ho_so_che_do!$O$2:$O$21,MATCH($B$81,AI_ho_so_che_do!$A$2:$A$21,0))&amp;";"))),"Never",$D$81)</f>
        <v/>
      </c>
      <c r="G81" t="inlineStr">
        <is>
          <t>Never</t>
        </is>
      </c>
      <c r="H81">
        <f>IF($D$81="Never","KHONG_DOI",IF($F$81="Never","HO_SO_CHAN","DO_KHO_CHO_DOI"))</f>
        <v/>
      </c>
      <c r="I81">
        <f>COUNTIFS(AI_ho_so_pha!$B$2:$B$6,$B$81)</f>
        <v/>
      </c>
      <c r="J81" t="inlineStr">
        <is>
          <t>Sim/AI/Commander.cs:52 (AiSkill.For VeryHard); balance.json aiModeProfiles.profiles.survival</t>
        </is>
      </c>
      <c r="K81" t="inlineStr"/>
    </row>
  </sheetData>
  <autoFilter ref="A1:K81"/>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19" customWidth="1" min="3" max="3"/>
    <col width="60" customWidth="1" min="4" max="4"/>
    <col width="60" customWidth="1" min="5" max="5"/>
    <col width="38" customWidth="1" min="6" max="6"/>
    <col width="46" customWidth="1" min="7" max="7"/>
    <col width="10" customWidth="1" min="8" max="8"/>
  </cols>
  <sheetData>
    <row r="1">
      <c r="A1" s="1" t="inlineStr">
        <is>
          <t>id</t>
        </is>
      </c>
      <c r="B1" s="1" t="inlineStr">
        <is>
          <t>lop</t>
        </is>
      </c>
      <c r="C1" s="1" t="inlineStr">
        <is>
          <t>buoc</t>
        </is>
      </c>
      <c r="D1" s="1" t="inlineStr">
        <is>
          <t>dieu_kien</t>
        </is>
      </c>
      <c r="E1" s="1" t="inlineStr">
        <is>
          <t>ket_qua</t>
        </is>
      </c>
      <c r="F1" s="1" t="inlineStr">
        <is>
          <t>nguon_ma</t>
        </is>
      </c>
      <c r="G1" s="1" t="inlineStr">
        <is>
          <t>nguon</t>
        </is>
      </c>
      <c r="H1" s="1" t="inlineStr">
        <is>
          <t>raw_json</t>
        </is>
      </c>
    </row>
    <row r="2">
      <c r="A2" t="inlineStr">
        <is>
          <t>Doi/Doi_hinh</t>
        </is>
      </c>
      <c r="B2" t="inlineStr">
        <is>
          <t>Doi</t>
        </is>
      </c>
      <c r="C2" t="inlineStr">
        <is>
          <t>Doi_hinh</t>
        </is>
      </c>
      <c r="D2" t="inlineStr">
        <is>
          <t>Theo hành động đã chọn</t>
        </is>
      </c>
      <c r="E2" t="inlineStr">
        <is>
          <t>1 trong 5 đội hình: Travel, Spread, Hold, Flank, Regroup</t>
        </is>
      </c>
      <c r="F2" t="inlineStr">
        <is>
          <t>Squads.cs:39-47</t>
        </is>
      </c>
      <c r="G2" t="inlineStr">
        <is>
          <t>Sim/AI: Squads.cs:39-47</t>
        </is>
      </c>
      <c r="H2" t="inlineStr"/>
    </row>
    <row r="3">
      <c r="A3" t="inlineStr">
        <is>
          <t>Doi/Hanh_dong_doi</t>
        </is>
      </c>
      <c r="B3" t="inlineStr">
        <is>
          <t>Doi</t>
        </is>
      </c>
      <c r="C3" t="inlineStr">
        <is>
          <t>Hanh_dong_doi</t>
        </is>
      </c>
      <c r="D3" t="inlineStr">
        <is>
          <t>Theo trạng thái + StrategicIntent + AttackThreshold (tỷ lệ quân nhà/địch cần để đánh, giảm bởi 'dùng hoặc mất' khi hồ sơ có advancePressure)</t>
        </is>
      </c>
      <c r="E3" t="inlineStr">
        <is>
          <t>1 trong 9 hành động: Attack, Hold, FlankLeft, FlankRight, Overwatch, Reposition, Support, Join, Regroup</t>
        </is>
      </c>
      <c r="F3" t="inlineStr">
        <is>
          <t>Squads.cs:22-33; Commander.cs:140-150</t>
        </is>
      </c>
      <c r="G3" t="inlineStr">
        <is>
          <t>Sim/AI: Squads.cs:22-33; Commander.cs:140-150</t>
        </is>
      </c>
      <c r="H3" t="inlineStr"/>
    </row>
    <row r="4">
      <c r="A4" t="inlineStr">
        <is>
          <t>Doi/Trang_thai_doi</t>
        </is>
      </c>
      <c r="B4" t="inlineStr">
        <is>
          <t>Doi</t>
        </is>
      </c>
      <c r="C4" t="inlineStr">
        <is>
          <t>Trang_thai_doi</t>
        </is>
      </c>
      <c r="D4" t="inlineStr">
        <is>
          <t>Hết thời gian cam kết (aiBehaviour.states.&lt;state&gt;.commit, sheet AI_trang_thai) hoặc có sự kiện khẩn (mất mục tiêu chính, đòn lớn của địch, đổi pha boss)</t>
        </is>
      </c>
      <c r="E4" t="inlineStr">
        <is>
          <t>Chuyển 1 trong 7 trạng thái: Travel, Approach, Combat, Overwatch, Flank, Hold, Regroup (không có Retreat riêng)</t>
        </is>
      </c>
      <c r="F4" t="inlineStr">
        <is>
          <t>Squads.cs:13-20</t>
        </is>
      </c>
      <c r="G4" t="inlineStr">
        <is>
          <t>Sim/AI: Squads.cs:13-20</t>
        </is>
      </c>
      <c r="H4" t="inlineStr"/>
    </row>
    <row r="5">
      <c r="A5" t="inlineStr">
        <is>
          <t>DonVi/Chong_ket</t>
        </is>
      </c>
      <c r="B5" t="inlineStr">
        <is>
          <t>DonVi</t>
        </is>
      </c>
      <c r="C5" t="inlineStr">
        <is>
          <t>Chong_ket</t>
        </is>
      </c>
      <c r="D5" t="inlineStr">
        <is>
          <t>Đứng im quá lâu, không có gì để bắn (xem sheet AI_chong_ket)</t>
        </is>
      </c>
      <c r="E5" t="inlineStr">
        <is>
          <t>Tự đi về phía địch gần nhất đã biết, hoặc mục tiêu, bỏ qua đợi đội hình</t>
        </is>
      </c>
      <c r="F5" t="inlineStr">
        <is>
          <t>TacticalAi.cs:67-79,1464-1473</t>
        </is>
      </c>
      <c r="G5" t="inlineStr">
        <is>
          <t>Sim/AI: TacticalAi.cs:67-79,1464-1473</t>
        </is>
      </c>
      <c r="H5" t="inlineStr"/>
    </row>
    <row r="6">
      <c r="A6" t="inlineStr">
        <is>
          <t>DonVi/Tiep_te_may_bay</t>
        </is>
      </c>
      <c r="B6" t="inlineStr">
        <is>
          <t>DonVi</t>
        </is>
      </c>
      <c r="C6" t="inlineStr">
        <is>
          <t>Tiep_te_may_bay</t>
        </is>
      </c>
      <c r="D6" t="inlineStr">
        <is>
          <t>Máy bay hết đạn / máu thấp (xem sheet AI_may_bay_tiep_te)</t>
        </is>
      </c>
      <c r="E6" t="inlineStr">
        <is>
          <t>Về sân bay nạp lại, hoặc nạp đạn tại chỗ trong lúc nghỉ trận đánh</t>
        </is>
      </c>
      <c r="F6" t="inlineStr">
        <is>
          <t>TacticalAi.cs:471-560,770-822</t>
        </is>
      </c>
      <c r="G6" t="inlineStr">
        <is>
          <t>Sim/AI: TacticalAi.cs:471-560,770-822</t>
        </is>
      </c>
      <c r="H6" t="inlineStr"/>
    </row>
    <row r="7">
      <c r="A7" t="inlineStr">
        <is>
          <t>DonVi/Vai_tro</t>
        </is>
      </c>
      <c r="B7" t="inlineStr">
        <is>
          <t>DonVi</t>
        </is>
      </c>
      <c r="C7" t="inlineStr">
        <is>
          <t>Vai_tro</t>
        </is>
      </c>
      <c r="D7" t="inlineStr">
        <is>
          <t>aiBehaviour.units.&lt;đơn_vị&gt; (sheet AI_don_vi)</t>
        </is>
      </c>
      <c r="E7" t="inlineStr">
        <is>
          <t>Vai trò AI (sheet AI_vai_tro): ngưỡng giao chiến riêng, phản ứng khi bị áp đảo (giữ nguyên / lùi / đổi mục tiêu)</t>
        </is>
      </c>
      <c r="F7" t="inlineStr">
        <is>
          <t>AiBehaviour.cs; TacticalAi.cs</t>
        </is>
      </c>
      <c r="G7" t="inlineStr">
        <is>
          <t>Sim/AI: AiBehaviour.cs; TacticalAi.cs</t>
        </is>
      </c>
      <c r="H7" t="inlineStr"/>
    </row>
    <row r="8">
      <c r="A8" t="inlineStr">
        <is>
          <t>NhatKy/Canh_bao_doi_chieu</t>
        </is>
      </c>
      <c r="B8" t="inlineStr">
        <is>
          <t>NhatKy</t>
        </is>
      </c>
      <c r="C8" t="inlineStr">
        <is>
          <t>Canh_bao_doi_chieu</t>
        </is>
      </c>
      <c r="D8" t="inlineStr">
        <is>
          <t>Một đội đổi hành động/trạng thái/mục tiêu quá WarnPerMinute lần/phút (mặc định 6)</t>
        </is>
      </c>
      <c r="E8" t="inlineStr">
        <is>
          <t>Gắn cờ 'churning' (Churning), cảnh báo người xem AI đang phân vân quá nhiều</t>
        </is>
      </c>
      <c r="F8" t="inlineStr">
        <is>
          <t>DecisionLog.cs:118-171</t>
        </is>
      </c>
      <c r="G8" t="inlineStr">
        <is>
          <t>Sim/AI: DecisionLog.cs:118-171</t>
        </is>
      </c>
      <c r="H8" t="inlineStr"/>
    </row>
    <row r="9">
      <c r="A9" t="inlineStr">
        <is>
          <t>NhatKy/Vi_sao</t>
        </is>
      </c>
      <c r="B9" t="inlineStr">
        <is>
          <t>NhatKy</t>
        </is>
      </c>
      <c r="C9" t="inlineStr">
        <is>
          <t>Vi_sao</t>
        </is>
      </c>
      <c r="D9" t="inlineStr">
        <is>
          <t>Mỗi quyết định có điểm (AiCommander/Squad/đơn vị chấm nhiều lựa chọn)</t>
        </is>
      </c>
      <c r="E9" t="inlineStr">
        <is>
          <t>Giữ lựa chọn + điểm, 3 điểm cộng lớn nhất, 2 điểm trừ lớn nhất, á quân (Why, J.2); người xem đọc 'VÌ SAO'</t>
        </is>
      </c>
      <c r="F9" t="inlineStr">
        <is>
          <t>DecisionLog.cs:27-85</t>
        </is>
      </c>
      <c r="G9" t="inlineStr">
        <is>
          <t>Sim/AI: DecisionLog.cs:27-85</t>
        </is>
      </c>
      <c r="H9" t="inlineStr"/>
    </row>
    <row r="10">
      <c r="A10" t="inlineStr">
        <is>
          <t>TheGioi/Luoi_moi_de_doa</t>
        </is>
      </c>
      <c r="B10" t="inlineStr">
        <is>
          <t>TheGioi</t>
        </is>
      </c>
      <c r="C10" t="inlineStr">
        <is>
          <t>Luoi_moi_de_doa</t>
        </is>
      </c>
      <c r="D10" t="inlineStr">
        <is>
          <t>Mỗi tick, cập nhật lưới mờ (blur) 8 nhóm lực (ForceGroup) x 4 kiểu đe dọa (ThreatKind: AntiAir, AntiTank, Artillery, Splash), 8x8 ô</t>
        </is>
      </c>
      <c r="E10" t="inlineStr">
        <is>
          <t>Knowledge Unknown / Present / ConfirmedAbsent mỗi ô: 'chưa thấy' khác 'chắc chắn không có'</t>
        </is>
      </c>
      <c r="F10" t="inlineStr">
        <is>
          <t>WorldModel.cs:13-50,195-211</t>
        </is>
      </c>
      <c r="G10" t="inlineStr">
        <is>
          <t>Sim/AI: WorldModel.cs:13-50,195-211</t>
        </is>
      </c>
      <c r="H10" t="inlineStr"/>
    </row>
    <row r="11">
      <c r="A11" t="inlineStr">
        <is>
          <t>TheGioi/Su_kien_tinh_bao</t>
        </is>
      </c>
      <c r="B11" t="inlineStr">
        <is>
          <t>TheGioi</t>
        </is>
      </c>
      <c r="C11" t="inlineStr">
        <is>
          <t>Su_kien_tinh_bao</t>
        </is>
      </c>
      <c r="D11" t="inlineStr">
        <is>
          <t>Trinh sát phát hiện biến động</t>
        </is>
      </c>
      <c r="E11" t="inlineStr">
        <is>
          <t>Ghi IntelEventKind: Threat / Opportunity / Window / Mismatch / ObjectivePressure, nuôi StrategicIntent của tướng</t>
        </is>
      </c>
      <c r="F11" t="inlineStr">
        <is>
          <t>WorldModel.cs:35-42</t>
        </is>
      </c>
      <c r="G11" t="inlineStr">
        <is>
          <t>Sim/AI: WorldModel.cs:35-42</t>
        </is>
      </c>
      <c r="H11" t="inlineStr"/>
    </row>
    <row r="12">
      <c r="A12" t="inlineStr">
        <is>
          <t>Tuong/Doi_chien_thuat</t>
        </is>
      </c>
      <c r="B12" t="inlineStr">
        <is>
          <t>Tuong</t>
        </is>
      </c>
      <c r="C12" t="inlineStr">
        <is>
          <t>Doi_chien_thuat</t>
        </is>
      </c>
      <c r="D12" t="inlineStr">
        <is>
          <t>AiSkill.Switching (Never / WhenLosing / Counter) cho phép, còn cooldown hay FreeSwitch (giữa 2 boss của Boss Rush)</t>
        </is>
      </c>
      <c r="E12" t="inlineStr">
        <is>
          <t>RequestTactic -&gt; AllowedTactic lọc theo tactics/flags của hồ sơ chế độ (AI_ho_so_che_do); TacticSwitchResult: Done/Same/Cooldown/Unknown/NotAllowed</t>
        </is>
      </c>
      <c r="F12" t="inlineStr">
        <is>
          <t>Commander.cs:71-80</t>
        </is>
      </c>
      <c r="G12" t="inlineStr">
        <is>
          <t>Sim/AI: Commander.cs:71-80</t>
        </is>
      </c>
      <c r="H12" t="inlineStr"/>
    </row>
    <row r="13">
      <c r="A13" t="inlineStr">
        <is>
          <t>Tuong/Giao_viec_doi</t>
        </is>
      </c>
      <c r="B13" t="inlineStr">
        <is>
          <t>Tuong</t>
        </is>
      </c>
      <c r="C13" t="inlineStr">
        <is>
          <t>Giao_viec_doi</t>
        </is>
      </c>
      <c r="D13" t="inlineStr">
        <is>
          <t>Tướng chia quân theo SquadTask (TaskKind Primary/Secondary/Reserve; Objective; Hold; Window; FlankSide)</t>
        </is>
      </c>
      <c r="E13" t="inlineStr">
        <is>
          <t>Mỗi đội (Squad) tự chọn CÁCH làm (SquadLayer), tướng chỉ chọn CÁI GÌ/Ở ĐÂU</t>
        </is>
      </c>
      <c r="F13" t="inlineStr">
        <is>
          <t>Squads.cs:49-70</t>
        </is>
      </c>
      <c r="G13" t="inlineStr">
        <is>
          <t>Sim/AI: Squads.cs:49-70</t>
        </is>
      </c>
      <c r="H13" t="inlineStr"/>
    </row>
    <row r="14">
      <c r="A14" t="inlineStr">
        <is>
          <t>Tuong/Khoi_tao</t>
        </is>
      </c>
      <c r="B14" t="inlineStr">
        <is>
          <t>Tuong</t>
        </is>
      </c>
      <c r="C14" t="inlineStr">
        <is>
          <t>Khoi_tao</t>
        </is>
      </c>
      <c r="D14" t="inlineStr">
        <is>
          <t>Chưa có AiCommander (đầu trận)</t>
        </is>
      </c>
      <c r="E14" t="inlineStr">
        <is>
          <t>Tạo AiCommander: chiến thuật = hồ sơ chế độ có generalTactic (hoặc chế độ Weekly/Operation) -&gt; ưa thích của tướng (aiBehaviour.generals); khác -&gt; balanced; rồi lọc qua AllowedTactic (hồ sơ cho phép gì)</t>
        </is>
      </c>
      <c r="F14" t="inlineStr">
        <is>
          <t>ConquestAi.P28.cs:33-45</t>
        </is>
      </c>
      <c r="G14" t="inlineStr">
        <is>
          <t>Sim/AI: ConquestAi.P28.cs:33-45</t>
        </is>
      </c>
      <c r="H14" t="inlineStr"/>
    </row>
    <row r="15">
      <c r="A15" t="inlineStr">
        <is>
          <t>Tuong/Lap_y_dinh</t>
        </is>
      </c>
      <c r="B15" t="inlineStr">
        <is>
          <t>Tuong</t>
        </is>
      </c>
      <c r="C15" t="inlineStr">
        <is>
          <t>Lap_y_dinh</t>
        </is>
      </c>
      <c r="D15" t="inlineStr">
        <is>
          <t>Mỗi lần Tick (~1 s)</t>
        </is>
      </c>
      <c r="E15" t="inlineStr">
        <is>
          <t>StrategicIntent: mục tiêu chính/phụ, kiểu (attack/hold/flank/breakthrough/pincer/wait), có mở cửa sổ tấn công (AttackWindow) hay không và vì sao (WindowReason)</t>
        </is>
      </c>
      <c r="F15" t="inlineStr">
        <is>
          <t>Commander.cs:56-66</t>
        </is>
      </c>
      <c r="G15" t="inlineStr">
        <is>
          <t>Sim/AI: Commander.cs:56-66</t>
        </is>
      </c>
      <c r="H15" t="inlineStr"/>
    </row>
    <row r="16">
      <c r="A16" t="inlineStr">
        <is>
          <t>Tuong/Mua_quan</t>
        </is>
      </c>
      <c r="B16" t="inlineStr">
        <is>
          <t>Tuong</t>
        </is>
      </c>
      <c r="C16" t="inlineStr">
        <is>
          <t>Mua_quan</t>
        </is>
      </c>
      <c r="D16" t="inlineStr">
        <is>
          <t>Mỗi lá được NewCardScore (P17 C) và P25CardScore (P25 F2-A) chấm điểm theo tình huống (wingman cần máy bay, dome cần quân đông, SEAD cần phòng không địch mạnh, drone-killer cần có drone...)</t>
        </is>
      </c>
      <c r="E16" t="inlineStr">
        <is>
          <t>Chọn lá điểm cao nhất trong CP còn lại của tactic; thả dù rơi gần điểm chưa chiếm nếu đơn vị có Paradrop</t>
        </is>
      </c>
      <c r="F16" t="inlineStr">
        <is>
          <t>ConquestAi.P17.cs; ConquestAi.P25A.cs</t>
        </is>
      </c>
      <c r="G16" t="inlineStr">
        <is>
          <t>Sim/AI: ConquestAi.P17.cs; ConquestAi.P25A.cs</t>
        </is>
      </c>
      <c r="H16" t="inlineStr"/>
    </row>
    <row r="17">
      <c r="A17" t="inlineStr">
        <is>
          <t>Tuong/The_phong_thu</t>
        </is>
      </c>
      <c r="B17" t="inlineStr">
        <is>
          <t>Tuong</t>
        </is>
      </c>
      <c r="C17" t="inlineStr">
        <is>
          <t>The_phong_thu</t>
        </is>
      </c>
      <c r="D17" t="inlineStr">
        <is>
          <t>Stance == Defend, hoặc hồ sơ Engagement = AvoidUnlessBlocking và chưa có báo động (!Alarm)</t>
        </is>
      </c>
      <c r="E17" t="inlineStr">
        <is>
          <t>Commander.Defending = true: mọi đội giữ, không đuổi địch</t>
        </is>
      </c>
      <c r="F17" t="inlineStr">
        <is>
          <t>ConquestAi.P28.cs:48-49</t>
        </is>
      </c>
      <c r="G17" t="inlineStr">
        <is>
          <t>Sim/AI: ConquestAi.P28.cs:48-49</t>
        </is>
      </c>
      <c r="H17" t="inlineStr"/>
    </row>
    <row r="18">
      <c r="A18" t="inlineStr">
        <is>
          <t>Tuong/Xin_ho_tro</t>
        </is>
      </c>
      <c r="B18" t="inlineStr">
        <is>
          <t>Tuong</t>
        </is>
      </c>
      <c r="C18" t="inlineStr">
        <is>
          <t>Xin_ho_tro</t>
        </is>
      </c>
      <c r="D18" t="inlineStr">
        <is>
          <t>Commander.SupportWanted(world) trả về nhu cầu (khói trên đội bị pháo, SEAD trước cửa sổ không quân...)</t>
        </is>
      </c>
      <c r="E18" t="inlineStr">
        <is>
          <t>Mua/kích thẻ hỗ trợ cùng loại nếu sẵn sàng (Ready)</t>
        </is>
      </c>
      <c r="F18" t="inlineStr">
        <is>
          <t>ConquestAi.P28.cs:54-68</t>
        </is>
      </c>
      <c r="G18" t="inlineStr">
        <is>
          <t>Sim/AI: ConquestAi.P28.cs:54-68</t>
        </is>
      </c>
      <c r="H18" t="inlineStr"/>
    </row>
  </sheetData>
  <autoFilter ref="A1:H18"/>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8" customWidth="1" min="2" max="2"/>
    <col width="16" customWidth="1" min="3" max="3"/>
    <col width="60" customWidth="1" min="4" max="4"/>
    <col width="60" customWidth="1" min="5" max="5"/>
    <col width="60" customWidth="1" min="6" max="6"/>
    <col width="60" customWidth="1" min="7" max="7"/>
    <col width="10" customWidth="1" min="8" max="8"/>
  </cols>
  <sheetData>
    <row r="1">
      <c r="A1" s="1" t="inlineStr">
        <is>
          <t>id</t>
        </is>
      </c>
      <c r="B1" s="1" t="inlineStr">
        <is>
          <t>loai</t>
        </is>
      </c>
      <c r="C1" s="1" t="inlineStr">
        <is>
          <t>kieu</t>
        </is>
      </c>
      <c r="D1" s="1" t="inlineStr">
        <is>
          <t>cong_thuc</t>
        </is>
      </c>
      <c r="E1" s="1" t="inlineStr">
        <is>
          <t>dieu_kien</t>
        </is>
      </c>
      <c r="F1" s="1" t="inlineStr">
        <is>
          <t>nguon_ma</t>
        </is>
      </c>
      <c r="G1" s="1" t="inlineStr">
        <is>
          <t>nguon</t>
        </is>
      </c>
      <c r="H1" s="1" t="inlineStr">
        <is>
          <t>raw_json</t>
        </is>
      </c>
    </row>
    <row r="2">
      <c r="A2" t="inlineStr">
        <is>
          <t>boss/AntiAir</t>
        </is>
      </c>
      <c r="B2" t="inlineStr">
        <is>
          <t>boss</t>
        </is>
      </c>
      <c r="C2" t="inlineStr">
        <is>
          <t>AntiAir</t>
        </is>
      </c>
      <c r="D2" t="inlineStr">
        <is>
          <t>2.5 nếu bay, 1 nếu không</t>
        </is>
      </c>
      <c r="E2" t="inlineStr"/>
      <c r="F2" t="inlineStr">
        <is>
          <t>Combat/CombatSystem.P28Structures.cs:118</t>
        </is>
      </c>
      <c r="G2" t="inlineStr">
        <is>
          <t>Sim: Combat/CombatSystem.P28Structures.cs:118</t>
        </is>
      </c>
      <c r="H2" t="inlineStr"/>
    </row>
    <row r="3">
      <c r="A3" t="inlineStr">
        <is>
          <t>boss/AntiArtillery</t>
        </is>
      </c>
      <c r="B3" t="inlineStr">
        <is>
          <t>boss</t>
        </is>
      </c>
      <c r="C3" t="inlineStr">
        <is>
          <t>AntiArtillery</t>
        </is>
      </c>
      <c r="D3" t="inlineStr">
        <is>
          <t>3 nếu vũ khí có tầm tối thiểu; 1.3 nếu đứng yên; 1 nếu đang di chuyển</t>
        </is>
      </c>
      <c r="E3" t="inlineStr"/>
      <c r="F3" t="inlineStr">
        <is>
          <t>Bosses/BossSystem.P28.cs:103; Combat/CombatSystem.P28Structures.cs:119</t>
        </is>
      </c>
      <c r="G3" t="inlineStr">
        <is>
          <t>Sim: Bosses/BossSystem.P28.cs:103; Combat/CombatSystem.P28Structures.cs:119</t>
        </is>
      </c>
      <c r="H3" t="inlineStr"/>
    </row>
    <row r="4">
      <c r="A4" t="inlineStr">
        <is>
          <t>boss/AntiBlob</t>
        </is>
      </c>
      <c r="B4" t="inlineStr">
        <is>
          <t>boss</t>
        </is>
      </c>
      <c r="C4" t="inlineStr">
        <is>
          <t>AntiBlob</t>
        </is>
      </c>
      <c r="D4" t="inlineStr">
        <is>
          <t>1 + 0.4*so_dong_quanh(10m)</t>
        </is>
      </c>
      <c r="E4" t="inlineStr">
        <is>
          <t>Ưu tiên đám đông dày đặc</t>
        </is>
      </c>
      <c r="F4" t="inlineStr">
        <is>
          <t>Bosses/BossSystem.P28.cs:105; Combat/CombatSystem.P28Structures.cs:117</t>
        </is>
      </c>
      <c r="G4" t="inlineStr">
        <is>
          <t>Sim: Bosses/BossSystem.P28.cs:105; Combat/CombatSystem.P28Structures.cs:117</t>
        </is>
      </c>
      <c r="H4" t="inlineStr"/>
    </row>
    <row r="5">
      <c r="A5" t="inlineStr">
        <is>
          <t>boss/AreaDenial</t>
        </is>
      </c>
      <c r="B5" t="inlineStr">
        <is>
          <t>boss</t>
        </is>
      </c>
      <c r="C5" t="inlineStr">
        <is>
          <t>AreaDenial</t>
        </is>
      </c>
      <c r="D5" t="inlineStr">
        <is>
          <t>1.6 nếu mục tiêu đứng yên, 1 nếu đang di chuyển</t>
        </is>
      </c>
      <c r="E5" t="inlineStr">
        <is>
          <t>Phạt đứng một chỗ (giữ bãi)</t>
        </is>
      </c>
      <c r="F5" t="inlineStr">
        <is>
          <t>Bosses/BossSystem.P28.cs:104; Combat/CombatSystem.P28Structures.cs:122</t>
        </is>
      </c>
      <c r="G5" t="inlineStr">
        <is>
          <t>Sim: Bosses/BossSystem.P28.cs:104; Combat/CombatSystem.P28Structures.cs:122</t>
        </is>
      </c>
      <c r="H5" t="inlineStr"/>
    </row>
    <row r="6">
      <c r="A6" t="inlineStr">
        <is>
          <t>boss/CoreProtection</t>
        </is>
      </c>
      <c r="B6" t="inlineStr">
        <is>
          <t>boss</t>
        </is>
      </c>
      <c r="C6" t="inlineStr">
        <is>
          <t>CoreProtection</t>
        </is>
      </c>
      <c r="D6" t="inlineStr">
        <is>
          <t>2 (boss)/1.8 (khác) nếu mục tiêu đang nhắm vào 'lõi' trong 30 m, 1 nếu không</t>
        </is>
      </c>
      <c r="E6" t="inlineStr"/>
      <c r="F6" t="inlineStr">
        <is>
          <t>Bosses/BossSystem.P28.cs:106; Combat/CombatSystem.P28Structures.cs:120</t>
        </is>
      </c>
      <c r="G6" t="inlineStr">
        <is>
          <t>Sim: Bosses/BossSystem.P28.cs:106; Combat/CombatSystem.P28Structures.cs:120</t>
        </is>
      </c>
      <c r="H6" t="inlineStr"/>
    </row>
    <row r="7">
      <c r="A7" t="inlineStr">
        <is>
          <t>boss/FlankPunishment</t>
        </is>
      </c>
      <c r="B7" t="inlineStr">
        <is>
          <t>boss</t>
        </is>
      </c>
      <c r="C7" t="inlineStr">
        <is>
          <t>FlankPunishment</t>
        </is>
      </c>
      <c r="D7" t="inlineStr">
        <is>
          <t>2.2 nếu mục tiêu đánh từ sau lưng (Behind), 1 nếu không</t>
        </is>
      </c>
      <c r="E7" t="inlineStr"/>
      <c r="F7" t="inlineStr">
        <is>
          <t>Bosses/BossSystem.P28.cs:107; Combat/CombatSystem.P28Structures.cs:121</t>
        </is>
      </c>
      <c r="G7" t="inlineStr">
        <is>
          <t>Sim: Bosses/BossSystem.P28.cs:107; Combat/CombatSystem.P28Structures.cs:121</t>
        </is>
      </c>
      <c r="H7" t="inlineStr"/>
    </row>
    <row r="8">
      <c r="A8" t="inlineStr">
        <is>
          <t>thap/AirFirst</t>
        </is>
      </c>
      <c r="B8" t="inlineStr">
        <is>
          <t>thap</t>
        </is>
      </c>
      <c r="C8" t="inlineStr">
        <is>
          <t>AirFirst</t>
        </is>
      </c>
      <c r="D8" t="inlineStr">
        <is>
          <t>3 nếu bay, 1 nếu không</t>
        </is>
      </c>
      <c r="E8" t="inlineStr">
        <is>
          <t>Dùng chung công thức với MissilesFirst</t>
        </is>
      </c>
      <c r="F8" t="inlineStr">
        <is>
          <t>Combat/CombatSystem.P28Structures.cs:40</t>
        </is>
      </c>
      <c r="G8" t="inlineStr">
        <is>
          <t>Sim: Combat/CombatSystem.P28Structures.cs:40</t>
        </is>
      </c>
      <c r="H8" t="inlineStr"/>
    </row>
    <row r="9">
      <c r="A9" t="inlineStr">
        <is>
          <t>thap/ArtilleryFirst</t>
        </is>
      </c>
      <c r="B9" t="inlineStr">
        <is>
          <t>thap</t>
        </is>
      </c>
      <c r="C9" t="inlineStr">
        <is>
          <t>ArtilleryFirst</t>
        </is>
      </c>
      <c r="D9" t="inlineStr">
        <is>
          <t>3 nếu vũ khí có tầm tối thiểu (pháo), 1 nếu không</t>
        </is>
      </c>
      <c r="E9" t="inlineStr"/>
      <c r="F9" t="inlineStr">
        <is>
          <t>Combat/CombatSystem.P28Structures.cs:43</t>
        </is>
      </c>
      <c r="G9" t="inlineStr">
        <is>
          <t>Sim: Combat/CombatSystem.P28Structures.cs:43</t>
        </is>
      </c>
      <c r="H9" t="inlineStr"/>
    </row>
    <row r="10">
      <c r="A10" t="inlineStr">
        <is>
          <t>thap/BiggestAircraft</t>
        </is>
      </c>
      <c r="B10" t="inlineStr">
        <is>
          <t>thap</t>
        </is>
      </c>
      <c r="C10" t="inlineStr">
        <is>
          <t>BiggestAircraft</t>
        </is>
      </c>
      <c r="D10" t="inlineStr">
        <is>
          <t>nếu bay: 1 + maxHp/300; nếu không: 0.5</t>
        </is>
      </c>
      <c r="E10" t="inlineStr">
        <is>
          <t>Phạt nặng mục tiêu mặt đất</t>
        </is>
      </c>
      <c r="F10" t="inlineStr">
        <is>
          <t>Combat/CombatSystem.P28Structures.cs:41</t>
        </is>
      </c>
      <c r="G10" t="inlineStr">
        <is>
          <t>Sim: Combat/CombatSystem.P28Structures.cs:41</t>
        </is>
      </c>
      <c r="H10" t="inlineStr"/>
    </row>
    <row r="11">
      <c r="A11" t="inlineStr">
        <is>
          <t>thap/Cluster</t>
        </is>
      </c>
      <c r="B11" t="inlineStr">
        <is>
          <t>thap</t>
        </is>
      </c>
      <c r="C11" t="inlineStr">
        <is>
          <t>Cluster</t>
        </is>
      </c>
      <c r="D11" t="inlineStr">
        <is>
          <t>1 + 0.5*so_dong_quanh(8m)</t>
        </is>
      </c>
      <c r="E11" t="inlineStr">
        <is>
          <t>Crowd(): đếm địch trong bán kính 8 m</t>
        </is>
      </c>
      <c r="F11" t="inlineStr">
        <is>
          <t>Combat/CombatSystem.P28Structures.cs:42</t>
        </is>
      </c>
      <c r="G11" t="inlineStr">
        <is>
          <t>Sim: Combat/CombatSystem.P28Structures.cs:42</t>
        </is>
      </c>
      <c r="H11" t="inlineStr"/>
    </row>
    <row r="12">
      <c r="A12" t="inlineStr">
        <is>
          <t>thap/Default_None</t>
        </is>
      </c>
      <c r="B12" t="inlineStr">
        <is>
          <t>thap</t>
        </is>
      </c>
      <c r="C12" t="inlineStr">
        <is>
          <t>Default_None</t>
        </is>
      </c>
      <c r="D12" t="inlineStr">
        <is>
          <t>1 (không đổi điểm)</t>
        </is>
      </c>
      <c r="E12" t="inlineStr">
        <is>
          <t>Default: dùng mode mặc định của tháp (aiBehaviour.towers); None: tắt lọc đặc biệt</t>
        </is>
      </c>
      <c r="F12" t="inlineStr">
        <is>
          <t>AI/TowerModes.cs:11-23</t>
        </is>
      </c>
      <c r="G12" t="inlineStr">
        <is>
          <t>Sim: AI/TowerModes.cs:11-23</t>
        </is>
      </c>
      <c r="H12" t="inlineStr"/>
    </row>
    <row r="13">
      <c r="A13" t="inlineStr">
        <is>
          <t>thap/Lead</t>
        </is>
      </c>
      <c r="B13" t="inlineStr">
        <is>
          <t>thap</t>
        </is>
      </c>
      <c r="C13" t="inlineStr">
        <is>
          <t>Lead</t>
        </is>
      </c>
      <c r="D13" t="inlineStr">
        <is>
          <t>Lead(thap, muc_tieu) [dẫn bắn]</t>
        </is>
      </c>
      <c r="E13" t="inlineStr">
        <is>
          <t>Hàm Lead(): ưu tiên mục tiêu dễ đón đầu</t>
        </is>
      </c>
      <c r="F13" t="inlineStr">
        <is>
          <t>Combat/CombatSystem.P28Structures.cs:39</t>
        </is>
      </c>
      <c r="G13" t="inlineStr">
        <is>
          <t>Sim: Combat/CombatSystem.P28Structures.cs:39</t>
        </is>
      </c>
      <c r="H13" t="inlineStr"/>
    </row>
    <row r="14">
      <c r="A14" t="inlineStr">
        <is>
          <t>thap/MissilesFirst</t>
        </is>
      </c>
      <c r="B14" t="inlineStr">
        <is>
          <t>thap</t>
        </is>
      </c>
      <c r="C14" t="inlineStr">
        <is>
          <t>MissilesFirst</t>
        </is>
      </c>
      <c r="D14" t="inlineStr">
        <is>
          <t>chỉ bắn đạn Missile/Rocket (loại khác bị loại hẳn, không phải hệ số)</t>
        </is>
      </c>
      <c r="E14" t="inlineStr">
        <is>
          <t>Lọc cứng, không phải nhân điểm</t>
        </is>
      </c>
      <c r="F14" t="inlineStr">
        <is>
          <t>Combat/CombatSystem.P28Structures.cs:135</t>
        </is>
      </c>
      <c r="G14" t="inlineStr">
        <is>
          <t>Sim: Combat/CombatSystem.P28Structures.cs:135</t>
        </is>
      </c>
      <c r="H14" t="inlineStr"/>
    </row>
    <row r="15">
      <c r="A15" t="inlineStr">
        <is>
          <t>thap/Nearest</t>
        </is>
      </c>
      <c r="B15" t="inlineStr">
        <is>
          <t>thap</t>
        </is>
      </c>
      <c r="C15" t="inlineStr">
        <is>
          <t>Nearest</t>
        </is>
      </c>
      <c r="D15" t="inlineStr">
        <is>
          <t>1 / (1 + 2*khoang_cach/tam_ban)</t>
        </is>
      </c>
      <c r="E15" t="inlineStr">
        <is>
          <t>NearestRound, ShieldKey dùng chung công thức này</t>
        </is>
      </c>
      <c r="F15" t="inlineStr">
        <is>
          <t>Combat/CombatSystem.P28Structures.cs:36</t>
        </is>
      </c>
      <c r="G15" t="inlineStr">
        <is>
          <t>Sim: Combat/CombatSystem.P28Structures.cs:36</t>
        </is>
      </c>
      <c r="H15" t="inlineStr"/>
    </row>
    <row r="16">
      <c r="A16" t="inlineStr">
        <is>
          <t>thap/ShieldKey</t>
        </is>
      </c>
      <c r="B16" t="inlineStr">
        <is>
          <t>thap</t>
        </is>
      </c>
      <c r="C16" t="inlineStr">
        <is>
          <t>ShieldKey</t>
        </is>
      </c>
      <c r="D16" t="inlineStr">
        <is>
          <t>công thức Nearest, cộng: chỉ nhắm vào thứ phá khiên của boss nếu từ boss bắn ra</t>
        </is>
      </c>
      <c r="E16" t="inlineStr"/>
      <c r="F16" t="inlineStr">
        <is>
          <t>Combat/CombatSystem.P28Structures.cs:136-137</t>
        </is>
      </c>
      <c r="G16" t="inlineStr">
        <is>
          <t>Sim: Combat/CombatSystem.P28Structures.cs:136-137</t>
        </is>
      </c>
      <c r="H16" t="inlineStr"/>
    </row>
    <row r="17">
      <c r="A17" t="inlineStr">
        <is>
          <t>thap/Strongest</t>
        </is>
      </c>
      <c r="B17" t="inlineStr">
        <is>
          <t>thap</t>
        </is>
      </c>
      <c r="C17" t="inlineStr">
        <is>
          <t>Strongest</t>
        </is>
      </c>
      <c r="D17" t="inlineStr">
        <is>
          <t>sqrt(max(0.5, suc_manh_muc_tieu))</t>
        </is>
      </c>
      <c r="E17" t="inlineStr">
        <is>
          <t>StrengthOf: ước lượng sức mạnh từ TeamIntel</t>
        </is>
      </c>
      <c r="F17" t="inlineStr">
        <is>
          <t>Combat/CombatSystem.P28Structures.cs:37</t>
        </is>
      </c>
      <c r="G17" t="inlineStr">
        <is>
          <t>Sim: Combat/CombatSystem.P28Structures.cs:37</t>
        </is>
      </c>
      <c r="H17" t="inlineStr"/>
    </row>
    <row r="18">
      <c r="A18" t="inlineStr">
        <is>
          <t>thap/Weakest</t>
        </is>
      </c>
      <c r="B18" t="inlineStr">
        <is>
          <t>thap</t>
        </is>
      </c>
      <c r="C18" t="inlineStr">
        <is>
          <t>Weakest</t>
        </is>
      </c>
      <c r="D18" t="inlineStr">
        <is>
          <t>1.6 - hp_share + 200/max(50,hp)</t>
        </is>
      </c>
      <c r="E18" t="inlineStr">
        <is>
          <t>Ưu tiên máu thấp, thưởng thêm khi máu tuyệt đối nhỏ</t>
        </is>
      </c>
      <c r="F18" t="inlineStr">
        <is>
          <t>Combat/CombatSystem.P28Structures.cs:38</t>
        </is>
      </c>
      <c r="G18" t="inlineStr">
        <is>
          <t>Sim: Combat/CombatSystem.P28Structures.cs:38</t>
        </is>
      </c>
      <c r="H18" t="inlineStr"/>
    </row>
  </sheetData>
  <autoFilter ref="A1:H18"/>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33" customWidth="1" min="3" max="3"/>
    <col width="13" customWidth="1" min="4" max="4"/>
    <col width="8" customWidth="1" min="5" max="5"/>
    <col width="8" customWidth="1" min="6" max="6"/>
    <col width="8" customWidth="1" min="7" max="7"/>
    <col width="17" customWidth="1" min="8" max="8"/>
    <col width="26" customWidth="1" min="9" max="9"/>
    <col width="10" customWidth="1" min="10" max="10"/>
  </cols>
  <sheetData>
    <row r="1">
      <c r="A1" s="1" t="inlineStr">
        <is>
          <t>id</t>
        </is>
      </c>
      <c r="B1" s="1" t="inlineStr">
        <is>
          <t>do_kho</t>
        </is>
      </c>
      <c r="C1" s="1" t="inlineStr">
        <is>
          <t>reaction_delay</t>
        </is>
      </c>
      <c r="D1" s="1" t="inlineStr">
        <is>
          <t>decay_scale</t>
        </is>
      </c>
      <c r="E1" s="1" t="inlineStr">
        <is>
          <t>spread</t>
        </is>
      </c>
      <c r="F1" s="1" t="inlineStr">
        <is>
          <t>flank</t>
        </is>
      </c>
      <c r="G1" s="1" t="inlineStr">
        <is>
          <t>focus</t>
        </is>
      </c>
      <c r="H1" s="1" t="inlineStr">
        <is>
          <t>doi_chien_thuat</t>
        </is>
      </c>
      <c r="I1" s="1" t="inlineStr">
        <is>
          <t>nguon</t>
        </is>
      </c>
      <c r="J1" s="1" t="inlineStr">
        <is>
          <t>raw_json</t>
        </is>
      </c>
    </row>
    <row r="2">
      <c r="A2" t="inlineStr">
        <is>
          <t>Easy</t>
        </is>
      </c>
      <c r="B2" t="inlineStr">
        <is>
          <t>Easy</t>
        </is>
      </c>
      <c r="C2" t="inlineStr">
        <is>
          <t>max</t>
        </is>
      </c>
      <c r="D2" t="n">
        <v>1.5</v>
      </c>
      <c r="E2" t="n">
        <v>0.5</v>
      </c>
      <c r="F2" t="n">
        <v>0.5</v>
      </c>
      <c r="G2" t="n">
        <v>0</v>
      </c>
      <c r="H2" t="inlineStr">
        <is>
          <t>Never</t>
        </is>
      </c>
      <c r="I2" t="inlineStr">
        <is>
          <t>Sim/AI/Commander.cs:33-50</t>
        </is>
      </c>
      <c r="J2" t="inlineStr"/>
    </row>
    <row r="3">
      <c r="A3" t="inlineStr">
        <is>
          <t>Hard</t>
        </is>
      </c>
      <c r="B3" t="inlineStr">
        <is>
          <t>Hard</t>
        </is>
      </c>
      <c r="C3" t="inlineStr">
        <is>
          <t>normal - (normal-min)*0.6</t>
        </is>
      </c>
      <c r="D3" t="n">
        <v>0.85</v>
      </c>
      <c r="E3" t="n">
        <v>1</v>
      </c>
      <c r="F3" t="n">
        <v>1.3</v>
      </c>
      <c r="G3" t="n">
        <v>1.3</v>
      </c>
      <c r="H3" t="inlineStr">
        <is>
          <t>WhenLosing</t>
        </is>
      </c>
      <c r="I3" t="inlineStr">
        <is>
          <t>Sim/AI/Commander.cs:33-50</t>
        </is>
      </c>
      <c r="J3" t="inlineStr"/>
    </row>
    <row r="4">
      <c r="A4" t="inlineStr">
        <is>
          <t>Normal</t>
        </is>
      </c>
      <c r="B4" t="inlineStr">
        <is>
          <t>Normal</t>
        </is>
      </c>
      <c r="C4" t="inlineStr">
        <is>
          <t>normal (ai.params.reactionDelay)</t>
        </is>
      </c>
      <c r="D4" t="n">
        <v>1</v>
      </c>
      <c r="E4" t="n">
        <v>1</v>
      </c>
      <c r="F4" t="n">
        <v>1</v>
      </c>
      <c r="G4" t="n">
        <v>1</v>
      </c>
      <c r="H4" t="inlineStr">
        <is>
          <t>Never</t>
        </is>
      </c>
      <c r="I4" t="inlineStr">
        <is>
          <t>Sim/AI/Commander.cs:33-50</t>
        </is>
      </c>
      <c r="J4" t="inlineStr"/>
    </row>
    <row r="5">
      <c r="A5" t="inlineStr">
        <is>
          <t>VeryHard</t>
        </is>
      </c>
      <c r="B5" t="inlineStr">
        <is>
          <t>VeryHard</t>
        </is>
      </c>
      <c r="C5" t="inlineStr">
        <is>
          <t>min</t>
        </is>
      </c>
      <c r="D5" t="n">
        <v>0.6</v>
      </c>
      <c r="E5" t="n">
        <v>1</v>
      </c>
      <c r="F5" t="n">
        <v>1.3</v>
      </c>
      <c r="G5" t="n">
        <v>1.3</v>
      </c>
      <c r="H5" t="inlineStr">
        <is>
          <t>Counter</t>
        </is>
      </c>
      <c r="I5" t="inlineStr">
        <is>
          <t>Sim/AI/Commander.cs:33-50</t>
        </is>
      </c>
      <c r="J5" t="inlineStr"/>
    </row>
  </sheetData>
  <autoFilter ref="A1:J5"/>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9" customWidth="1" min="3" max="3"/>
    <col width="60" customWidth="1" min="4" max="4"/>
    <col width="35" customWidth="1" min="5" max="5"/>
    <col width="42" customWidth="1" min="6" max="6"/>
    <col width="10" customWidth="1" min="7" max="7"/>
  </cols>
  <sheetData>
    <row r="1">
      <c r="A1" s="1" t="inlineStr">
        <is>
          <t>id</t>
        </is>
      </c>
      <c r="B1" s="1" t="inlineStr">
        <is>
          <t>ten</t>
        </is>
      </c>
      <c r="C1" s="1" t="inlineStr">
        <is>
          <t>gia_tri</t>
        </is>
      </c>
      <c r="D1" s="1" t="inlineStr">
        <is>
          <t>y_nghia</t>
        </is>
      </c>
      <c r="E1" s="1" t="inlineStr">
        <is>
          <t>nguon_ma</t>
        </is>
      </c>
      <c r="F1" s="1" t="inlineStr">
        <is>
          <t>nguon</t>
        </is>
      </c>
      <c r="G1" s="1" t="inlineStr">
        <is>
          <t>raw_json</t>
        </is>
      </c>
    </row>
    <row r="2">
      <c r="A2" t="inlineStr">
        <is>
          <t>ClusterSize</t>
        </is>
      </c>
      <c r="B2" t="inlineStr">
        <is>
          <t>ClusterSize</t>
        </is>
      </c>
      <c r="C2" t="n">
        <v>3</v>
      </c>
      <c r="D2" t="inlineStr">
        <is>
          <t>Kích thước cụm tối thiểu khi gom đội hình (dùng ở cả tướng và đội)</t>
        </is>
      </c>
      <c r="E2" t="inlineStr">
        <is>
          <t>ConquestAi.cs:99; TacticalAi.cs:34</t>
        </is>
      </c>
      <c r="F2" t="inlineStr">
        <is>
          <t>Sim/AI/ConquestAi.cs:99; TacticalAi.cs:34</t>
        </is>
      </c>
      <c r="G2" t="inlineStr"/>
    </row>
    <row r="3">
      <c r="A3" t="inlineStr">
        <is>
          <t>EdgeMargin</t>
        </is>
      </c>
      <c r="B3" t="inlineStr">
        <is>
          <t>EdgeMargin</t>
        </is>
      </c>
      <c r="C3" t="n">
        <v>6</v>
      </c>
      <c r="D3" t="inlineStr">
        <is>
          <t>Khoảng lùi khỏi rìa bản đồ khi định vị trí đứng</t>
        </is>
      </c>
      <c r="E3" t="inlineStr">
        <is>
          <t>TacticalAi.cs:35</t>
        </is>
      </c>
      <c r="F3" t="inlineStr">
        <is>
          <t>Sim/AI/TacticalAi.cs:35</t>
        </is>
      </c>
      <c r="G3" t="inlineStr"/>
    </row>
    <row r="4">
      <c r="A4" t="inlineStr">
        <is>
          <t>EdgePatience</t>
        </is>
      </c>
      <c r="B4" t="inlineStr">
        <is>
          <t>EdgePatience</t>
        </is>
      </c>
      <c r="C4" t="n">
        <v>70</v>
      </c>
      <c r="D4" t="inlineStr">
        <is>
          <t>Đội chờ ở rìa bản đồ (gom pháo/đợi đủ mạnh) quá 70 s: xông vào nếu còn đủ sức so với tháp (ngưỡng nới từ StrongEnough xuống còn hệ số 1)</t>
        </is>
      </c>
      <c r="E4" t="inlineStr">
        <is>
          <t>TacticalAi.cs:227,1290</t>
        </is>
      </c>
      <c r="F4" t="inlineStr">
        <is>
          <t>Sim/AI/TacticalAi.cs:227,1290</t>
        </is>
      </c>
      <c r="G4" t="inlineStr"/>
    </row>
    <row r="5">
      <c r="A5" t="inlineStr">
        <is>
          <t>FallBackHold</t>
        </is>
      </c>
      <c r="B5" t="inlineStr">
        <is>
          <t>FallBackHold</t>
        </is>
      </c>
      <c r="C5" t="n">
        <v>12</v>
      </c>
      <c r="D5" t="inlineStr">
        <is>
          <t>Một đợt lùi (fall back) kéo dài tối thiểu 12 s, để quân không nhấp nhô vào/ra tầm bắn liên tục</t>
        </is>
      </c>
      <c r="E5" t="inlineStr">
        <is>
          <t>TacticalAi.cs:126,379</t>
        </is>
      </c>
      <c r="F5" t="inlineStr">
        <is>
          <t>Sim/AI/TacticalAi.cs:126,379</t>
        </is>
      </c>
      <c r="G5" t="inlineStr"/>
    </row>
    <row r="6">
      <c r="A6" t="inlineStr">
        <is>
          <t>Patience</t>
        </is>
      </c>
      <c r="B6" t="inlineStr">
        <is>
          <t>Patience</t>
        </is>
      </c>
      <c r="C6" t="n">
        <v>30</v>
      </c>
      <c r="D6" t="inlineStr">
        <is>
          <t>Đội bị áp đảo (outmatched) lùi/giữ quá 30 s mà chưa đuổi kịp quân: vẫn xông vào (chờ mãi thì thua vì hết giờ)</t>
        </is>
      </c>
      <c r="E6" t="inlineStr">
        <is>
          <t>TacticalAi.cs:130-132,381</t>
        </is>
      </c>
      <c r="F6" t="inlineStr">
        <is>
          <t>Sim/AI/TacticalAi.cs:130-132,381</t>
        </is>
      </c>
      <c r="G6" t="inlineStr"/>
    </row>
    <row r="7">
      <c r="A7" t="inlineStr">
        <is>
          <t>RecoveredFraction</t>
        </is>
      </c>
      <c r="B7" t="inlineStr">
        <is>
          <t>RecoveredFraction</t>
        </is>
      </c>
      <c r="C7" t="n">
        <v>0.6</v>
      </c>
      <c r="D7" t="inlineStr">
        <is>
          <t>Đơn vị đã lùi hồi phục đủ 60% máu (hoặc hết FallBackSeconds) thì nhập lại đội</t>
        </is>
      </c>
      <c r="E7" t="inlineStr">
        <is>
          <t>TacticalAi.cs:38,736</t>
        </is>
      </c>
      <c r="F7" t="inlineStr">
        <is>
          <t>Sim/AI/TacticalAi.cs:38,736</t>
        </is>
      </c>
      <c r="G7" t="inlineStr"/>
    </row>
    <row r="8">
      <c r="A8" t="inlineStr">
        <is>
          <t>StaleIdle</t>
        </is>
      </c>
      <c r="B8" t="inlineStr">
        <is>
          <t>StaleIdle</t>
        </is>
      </c>
      <c r="C8" t="n">
        <v>12</v>
      </c>
      <c r="D8" t="inlineStr">
        <is>
          <t>Đơn vị đứng im, không có gì để bắn, quá 12 s: tự đi về phía địch gần nhất đã biết, hoặc mục tiêu (bỏ qua chờ đội hình tập hợp)</t>
        </is>
      </c>
      <c r="E8" t="inlineStr">
        <is>
          <t>TacticalAi.cs:77,1466-1473</t>
        </is>
      </c>
      <c r="F8" t="inlineStr">
        <is>
          <t>Sim/AI/TacticalAi.cs:77,1466-1473</t>
        </is>
      </c>
      <c r="G8" t="inlineStr"/>
    </row>
  </sheetData>
  <autoFilter ref="A1:G8"/>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60" customWidth="1" min="3" max="3"/>
    <col width="60" customWidth="1" min="4" max="4"/>
    <col width="22" customWidth="1" min="5" max="5"/>
    <col width="29" customWidth="1" min="6" max="6"/>
    <col width="10" customWidth="1" min="7" max="7"/>
  </cols>
  <sheetData>
    <row r="1">
      <c r="A1" s="1" t="inlineStr">
        <is>
          <t>id</t>
        </is>
      </c>
      <c r="B1" s="1" t="inlineStr">
        <is>
          <t>buoc</t>
        </is>
      </c>
      <c r="C1" s="1" t="inlineStr">
        <is>
          <t>dieu_kien</t>
        </is>
      </c>
      <c r="D1" s="1" t="inlineStr">
        <is>
          <t>ket_qua</t>
        </is>
      </c>
      <c r="E1" s="1" t="inlineStr">
        <is>
          <t>nguon_ma</t>
        </is>
      </c>
      <c r="F1" s="1" t="inlineStr">
        <is>
          <t>nguon</t>
        </is>
      </c>
      <c r="G1" s="1" t="inlineStr">
        <is>
          <t>raw_json</t>
        </is>
      </c>
    </row>
    <row r="2">
      <c r="A2" t="inlineStr">
        <is>
          <t>HuntRearming</t>
        </is>
      </c>
      <c r="B2" t="inlineStr">
        <is>
          <t>HuntRearming</t>
        </is>
      </c>
      <c r="C2" t="inlineStr">
        <is>
          <t>HuntSupply bật (vai trò săn tiếp tế) và phát hiện xe tiếp tế / sửa chữa của địch (AirRepair hoặc AirRearm)</t>
        </is>
      </c>
      <c r="D2" t="inlineStr">
        <is>
          <t>Điều máy bay/pháo rảnh gần nhất đi diệt xe tiếp tế địch trước (cắt tiếp tế đối phương)</t>
        </is>
      </c>
      <c r="E2" t="inlineStr">
        <is>
          <t>TacticalAi.cs:794-822</t>
        </is>
      </c>
      <c r="F2" t="inlineStr">
        <is>
          <t>Sim/AI/TacticalAi.cs:794-822</t>
        </is>
      </c>
      <c r="G2" t="inlineStr"/>
    </row>
    <row r="3">
      <c r="A3" t="inlineStr">
        <is>
          <t>KhongDan</t>
        </is>
      </c>
      <c r="B3" t="inlineStr">
        <is>
          <t>KhongDan</t>
        </is>
      </c>
      <c r="C3" t="inlineStr">
        <is>
          <t>Launcher mặt đất hết đạn (OutOfAmmo), không bay</t>
        </is>
      </c>
      <c r="D3" t="inlineStr">
        <is>
          <t>Đứng yên nạp lại, hoặc đi tới xe tiếp tế gần nếu có, không tham chiến trong lúc đó</t>
        </is>
      </c>
      <c r="E3" t="inlineStr">
        <is>
          <t>TacticalAi.cs:772-787</t>
        </is>
      </c>
      <c r="F3" t="inlineStr">
        <is>
          <t>Sim/AI/TacticalAi.cs:772-787</t>
        </is>
      </c>
      <c r="G3" t="inlineStr"/>
    </row>
    <row r="4">
      <c r="A4" t="inlineStr">
        <is>
          <t>RearmInLulls</t>
        </is>
      </c>
      <c r="B4" t="inlineStr">
        <is>
          <t>RearmInLulls</t>
        </is>
      </c>
      <c r="C4" t="inlineStr">
        <is>
          <t>Đang chiến đấu (Supply.Fighting), kho đạn dưới ngưỡng thấp (SupplySystem.LowShare), chưa yêu cầu nạp, không có mục tiêu và chưa bắn được 4 s (lúc trận đang 'lặng')</t>
        </is>
      </c>
      <c r="D4" t="inlineStr">
        <is>
          <t>Gửi lệnh Rearm để nạp đầy khi đang nghỉ, sẵn sàng cho đợt đánh kế</t>
        </is>
      </c>
      <c r="E4" t="inlineStr">
        <is>
          <t>TacticalAi.cs:559-568</t>
        </is>
      </c>
      <c r="F4" t="inlineStr">
        <is>
          <t>Sim/AI/TacticalAi.cs:559-568</t>
        </is>
      </c>
      <c r="G4" t="inlineStr"/>
    </row>
    <row r="5">
      <c r="A5" t="inlineStr">
        <is>
          <t>Refit</t>
        </is>
      </c>
      <c r="B5" t="inlineStr">
        <is>
          <t>Refit</t>
        </is>
      </c>
      <c r="C5" t="inlineStr">
        <is>
          <t>Máy bay (Flying) máu dưới RefitUntil (90%) lần đầu, hoặc đang trong danh sách refit và chưa hồi đủ 90% máu</t>
        </is>
      </c>
      <c r="D5" t="inlineStr">
        <is>
          <t>Rời về sân bay; ở lại danh sách _refitting tới khi Hp &gt;= MaxHp*0.9 thì rời nhóm, bay lại nhiệm vụ</t>
        </is>
      </c>
      <c r="E5" t="inlineStr">
        <is>
          <t>TacticalAi.cs:518-546</t>
        </is>
      </c>
      <c r="F5" t="inlineStr">
        <is>
          <t>Sim/AI/TacticalAi.cs:518-546</t>
        </is>
      </c>
      <c r="G5" t="inlineStr"/>
    </row>
    <row r="6">
      <c r="A6" t="inlineStr">
        <is>
          <t>SendToRearm</t>
        </is>
      </c>
      <c r="B6" t="inlineStr">
        <is>
          <t>SendToRearm</t>
        </is>
      </c>
      <c r="C6" t="inlineStr">
        <is>
          <t>Súng chính hết đạn (launcher rỗng) hoặc xe có AirRearm/RearmAura</t>
        </is>
      </c>
      <c r="D6" t="inlineStr">
        <is>
          <t>Tìm điểm tiếp tế gần nhất (RearmAura bạn x0.6 bán kính, hoặc điểm tập kết (rally) trong 12 m, hoặc kho tiếp tế); bay/đi tới đó</t>
        </is>
      </c>
      <c r="E6" t="inlineStr">
        <is>
          <t>TacticalAi.cs:473-496</t>
        </is>
      </c>
      <c r="F6" t="inlineStr">
        <is>
          <t>Sim/AI/TacticalAi.cs:473-496</t>
        </is>
      </c>
      <c r="G6" t="inlineStr"/>
    </row>
  </sheetData>
  <autoFilter ref="A1:G6"/>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19" customWidth="1" min="2" max="2"/>
    <col width="8" customWidth="1" min="3" max="3"/>
    <col width="19" customWidth="1" min="4" max="4"/>
    <col width="8" customWidth="1" min="5" max="5"/>
    <col width="30" customWidth="1" min="6" max="6"/>
    <col width="60" customWidth="1" min="7" max="7"/>
    <col width="59" customWidth="1" min="8" max="8"/>
    <col width="10" customWidth="1" min="9" max="9"/>
  </cols>
  <sheetData>
    <row r="1">
      <c r="A1" s="1" t="inlineStr">
        <is>
          <t>id</t>
        </is>
      </c>
      <c r="B1" s="1" t="inlineStr">
        <is>
          <t>file</t>
        </is>
      </c>
      <c r="C1" s="1" t="inlineStr">
        <is>
          <t>dong</t>
        </is>
      </c>
      <c r="D1" s="1" t="inlineStr">
        <is>
          <t>ten</t>
        </is>
      </c>
      <c r="E1" s="1" t="inlineStr">
        <is>
          <t>kieu</t>
        </is>
      </c>
      <c r="F1" s="1" t="inlineStr">
        <is>
          <t>gia_tri</t>
        </is>
      </c>
      <c r="G1" s="1" t="inlineStr">
        <is>
          <t>y_nghia</t>
        </is>
      </c>
      <c r="H1" s="1" t="inlineStr">
        <is>
          <t>nguon</t>
        </is>
      </c>
      <c r="I1" s="1" t="inlineStr">
        <is>
          <t>raw_json</t>
        </is>
      </c>
    </row>
    <row r="2">
      <c r="A2" t="inlineStr">
        <is>
          <t>Commander.Units.cs:MarkedKept</t>
        </is>
      </c>
      <c r="B2" t="inlineStr">
        <is>
          <t>Commander.Units.cs</t>
        </is>
      </c>
      <c r="C2" t="n">
        <v>19</v>
      </c>
      <c r="D2" t="inlineStr">
        <is>
          <t>MarkedKept</t>
        </is>
      </c>
      <c r="E2" t="inlineStr">
        <is>
          <t>int</t>
        </is>
      </c>
      <c r="F2" t="inlineStr">
        <is>
          <t>12</t>
        </is>
      </c>
      <c r="G2" t="inlineStr"/>
      <c r="H2" t="inlineStr">
        <is>
          <t>Assets/MachineBrigade/Scripts/Sim/AI/Commander.Units.cs:19</t>
        </is>
      </c>
      <c r="I2" t="inlineStr"/>
    </row>
    <row r="3">
      <c r="A3" t="inlineStr">
        <is>
          <t>Commander.Units.cs:ScootShots</t>
        </is>
      </c>
      <c r="B3" t="inlineStr">
        <is>
          <t>Commander.Units.cs</t>
        </is>
      </c>
      <c r="C3" t="n">
        <v>18</v>
      </c>
      <c r="D3" t="inlineStr">
        <is>
          <t>ScootShots</t>
        </is>
      </c>
      <c r="E3" t="inlineStr">
        <is>
          <t>int</t>
        </is>
      </c>
      <c r="F3" t="inlineStr">
        <is>
          <t>3</t>
        </is>
      </c>
      <c r="G3" t="inlineStr"/>
      <c r="H3" t="inlineStr">
        <is>
          <t>Assets/MachineBrigade/Scripts/Sim/AI/Commander.Units.cs:18</t>
        </is>
      </c>
      <c r="I3" t="inlineStr"/>
    </row>
    <row r="4">
      <c r="A4" t="inlineStr">
        <is>
          <t>ConquestAi.cs:AttackMix</t>
        </is>
      </c>
      <c r="B4" t="inlineStr">
        <is>
          <t>ConquestAi.cs</t>
        </is>
      </c>
      <c r="C4" t="n">
        <v>131</v>
      </c>
      <c r="D4" t="inlineStr">
        <is>
          <t>AttackMix</t>
        </is>
      </c>
      <c r="E4" t="inlineStr">
        <is>
          <t>float[]</t>
        </is>
      </c>
      <c r="F4" t="inlineStr">
        <is>
          <t>0.45f;0.15f;0.15f;0.10f;0.15f</t>
        </is>
      </c>
      <c r="G4" t="inlineStr"/>
      <c r="H4" t="inlineStr">
        <is>
          <t>Assets/MachineBrigade/Scripts/Sim/AI/ConquestAi.cs:131</t>
        </is>
      </c>
      <c r="I4" t="inlineStr"/>
    </row>
    <row r="5">
      <c r="A5" t="inlineStr">
        <is>
          <t>ConquestAi.cs:ClusterSize</t>
        </is>
      </c>
      <c r="B5" t="inlineStr">
        <is>
          <t>ConquestAi.cs</t>
        </is>
      </c>
      <c r="C5" t="n">
        <v>99</v>
      </c>
      <c r="D5" t="inlineStr">
        <is>
          <t>ClusterSize</t>
        </is>
      </c>
      <c r="E5" t="inlineStr">
        <is>
          <t>int</t>
        </is>
      </c>
      <c r="F5" t="inlineStr">
        <is>
          <t>3</t>
        </is>
      </c>
      <c r="G5" t="inlineStr"/>
      <c r="H5" t="inlineStr">
        <is>
          <t>Assets/MachineBrigade/Scripts/Sim/AI/ConquestAi.cs:99</t>
        </is>
      </c>
      <c r="I5" t="inlineStr"/>
    </row>
    <row r="6">
      <c r="A6" t="inlineStr">
        <is>
          <t>ConquestAi.cs:CommanderFitWeight</t>
        </is>
      </c>
      <c r="B6" t="inlineStr">
        <is>
          <t>ConquestAi.cs</t>
        </is>
      </c>
      <c r="C6" t="n">
        <v>1031</v>
      </c>
      <c r="D6" t="inlineStr">
        <is>
          <t>CommanderFitWeight</t>
        </is>
      </c>
      <c r="E6" t="inlineStr">
        <is>
          <t>float</t>
        </is>
      </c>
      <c r="F6" t="inlineStr">
        <is>
          <t>4f</t>
        </is>
      </c>
      <c r="G6" t="inlineStr">
        <is>
          <t>How much a card that suits the commander is worth to the buying score (a fit of 0.25: one point). The first sweep's 10 made the AI buy nothing else and lose with the commanders in their own styles (DECISIONS 22F).</t>
        </is>
      </c>
      <c r="H6" t="inlineStr">
        <is>
          <t>Assets/MachineBrigade/Scripts/Sim/AI/ConquestAi.cs:1031</t>
        </is>
      </c>
      <c r="I6" t="inlineStr"/>
    </row>
    <row r="7">
      <c r="A7" t="inlineStr">
        <is>
          <t>ConquestAi.cs:DefendMix</t>
        </is>
      </c>
      <c r="B7" t="inlineStr">
        <is>
          <t>ConquestAi.cs</t>
        </is>
      </c>
      <c r="C7" t="n">
        <v>132</v>
      </c>
      <c r="D7" t="inlineStr">
        <is>
          <t>DefendMix</t>
        </is>
      </c>
      <c r="E7" t="inlineStr">
        <is>
          <t>float[]</t>
        </is>
      </c>
      <c r="F7" t="inlineStr">
        <is>
          <t>0.50f;0.12f;0.15f;0.18f;0.05f</t>
        </is>
      </c>
      <c r="G7" t="inlineStr"/>
      <c r="H7" t="inlineStr">
        <is>
          <t>Assets/MachineBrigade/Scripts/Sim/AI/ConquestAi.cs:132</t>
        </is>
      </c>
      <c r="I7" t="inlineStr"/>
    </row>
    <row r="8">
      <c r="A8" t="inlineStr">
        <is>
          <t>ConquestAi.cs:Levels</t>
        </is>
      </c>
      <c r="B8" t="inlineStr">
        <is>
          <t>ConquestAi.cs</t>
        </is>
      </c>
      <c r="C8" t="n">
        <v>1119</v>
      </c>
      <c r="D8" t="inlineStr">
        <is>
          <t>Levels</t>
        </is>
      </c>
      <c r="E8" t="inlineStr">
        <is>
          <t>int</t>
        </is>
      </c>
      <c r="F8" t="inlineStr">
        <is>
          <t>ArmourLevels.Max + 1</t>
        </is>
      </c>
      <c r="G8" t="inlineStr">
        <is>
          <t>Armour levels 0-5 (5: a boss's plate, DECISIONS 21G): the mix counts armour by front and roof.</t>
        </is>
      </c>
      <c r="H8" t="inlineStr">
        <is>
          <t>Assets/MachineBrigade/Scripts/Sim/AI/ConquestAi.cs:1119</t>
        </is>
      </c>
      <c r="I8" t="inlineStr"/>
    </row>
    <row r="9">
      <c r="A9" t="inlineStr">
        <is>
          <t>ConquestAi.cs:SiegeMix</t>
        </is>
      </c>
      <c r="B9" t="inlineStr">
        <is>
          <t>ConquestAi.cs</t>
        </is>
      </c>
      <c r="C9" t="n">
        <v>129</v>
      </c>
      <c r="D9" t="inlineStr">
        <is>
          <t>SiegeMix</t>
        </is>
      </c>
      <c r="E9" t="inlineStr">
        <is>
          <t>float[]</t>
        </is>
      </c>
      <c r="F9" t="inlineStr">
        <is>
          <t>0.35f;0.08f;0.30f;0.12f;0.15f</t>
        </is>
      </c>
      <c r="G9" t="inlineStr">
        <is>
          <t>A mix for a siege attacker: guns to break the fortress from outside its reach.</t>
        </is>
      </c>
      <c r="H9" t="inlineStr">
        <is>
          <t>Assets/MachineBrigade/Scripts/Sim/AI/ConquestAi.cs:129</t>
        </is>
      </c>
      <c r="I9" t="inlineStr"/>
    </row>
    <row r="10">
      <c r="A10" t="inlineStr">
        <is>
          <t>ConquestAi.cs:StrikeMargin</t>
        </is>
      </c>
      <c r="B10" t="inlineStr">
        <is>
          <t>ConquestAi.cs</t>
        </is>
      </c>
      <c r="C10" t="n">
        <v>796</v>
      </c>
      <c r="D10" t="inlineStr">
        <is>
          <t>StrikeMargin</t>
        </is>
      </c>
      <c r="E10" t="inlineStr">
        <is>
          <t>float</t>
        </is>
      </c>
      <c r="F10" t="inlineStr">
        <is>
          <t>5f</t>
        </is>
      </c>
      <c r="G10" t="inlineStr">
        <is>
          <t>Room left round a strike's blast before our own vehicles count as under it.</t>
        </is>
      </c>
      <c r="H10" t="inlineStr">
        <is>
          <t>Assets/MachineBrigade/Scripts/Sim/AI/ConquestAi.cs:796</t>
        </is>
      </c>
      <c r="I10" t="inlineStr"/>
    </row>
    <row r="11">
      <c r="A11" t="inlineStr">
        <is>
          <t>DecisionLog.cs:Capacity</t>
        </is>
      </c>
      <c r="B11" t="inlineStr">
        <is>
          <t>DecisionLog.cs</t>
        </is>
      </c>
      <c r="C11" t="n">
        <v>124</v>
      </c>
      <c r="D11" t="inlineStr">
        <is>
          <t>Capacity</t>
        </is>
      </c>
      <c r="E11" t="inlineStr">
        <is>
          <t>int</t>
        </is>
      </c>
      <c r="F11" t="inlineStr">
        <is>
          <t>4000</t>
        </is>
      </c>
      <c r="G11" t="inlineStr"/>
      <c r="H11" t="inlineStr">
        <is>
          <t>Assets/MachineBrigade/Scripts/Sim/AI/DecisionLog.cs:124</t>
        </is>
      </c>
      <c r="I11" t="inlineStr"/>
    </row>
    <row r="12">
      <c r="A12" t="inlineStr">
        <is>
          <t>TacticalAi.cs:ClusterSize</t>
        </is>
      </c>
      <c r="B12" t="inlineStr">
        <is>
          <t>TacticalAi.cs</t>
        </is>
      </c>
      <c r="C12" t="n">
        <v>34</v>
      </c>
      <c r="D12" t="inlineStr">
        <is>
          <t>ClusterSize</t>
        </is>
      </c>
      <c r="E12" t="inlineStr">
        <is>
          <t>int</t>
        </is>
      </c>
      <c r="F12" t="inlineStr">
        <is>
          <t>3</t>
        </is>
      </c>
      <c r="G12" t="inlineStr"/>
      <c r="H12" t="inlineStr">
        <is>
          <t>Assets/MachineBrigade/Scripts/Sim/AI/TacticalAi.cs:34</t>
        </is>
      </c>
      <c r="I12" t="inlineStr"/>
    </row>
    <row r="13">
      <c r="A13" t="inlineStr">
        <is>
          <t>TacticalAi.cs:DefenceSearch</t>
        </is>
      </c>
      <c r="B13" t="inlineStr">
        <is>
          <t>TacticalAi.cs</t>
        </is>
      </c>
      <c r="C13" t="n">
        <v>1072</v>
      </c>
      <c r="D13" t="inlineStr">
        <is>
          <t>DefenceSearch</t>
        </is>
      </c>
      <c r="E13" t="inlineStr">
        <is>
          <t>float</t>
        </is>
      </c>
      <c r="F13" t="inlineStr">
        <is>
          <t>45f</t>
        </is>
      </c>
      <c r="G13" t="inlineStr">
        <is>
          <t>How far past its own range an artillery piece looks for a defence to shell.</t>
        </is>
      </c>
      <c r="H13" t="inlineStr">
        <is>
          <t>Assets/MachineBrigade/Scripts/Sim/AI/TacticalAi.cs:1072</t>
        </is>
      </c>
      <c r="I13" t="inlineStr"/>
    </row>
    <row r="14">
      <c r="A14" t="inlineStr">
        <is>
          <t>TacticalAi.cs:EdgeMargin</t>
        </is>
      </c>
      <c r="B14" t="inlineStr">
        <is>
          <t>TacticalAi.cs</t>
        </is>
      </c>
      <c r="C14" t="n">
        <v>35</v>
      </c>
      <c r="D14" t="inlineStr">
        <is>
          <t>EdgeMargin</t>
        </is>
      </c>
      <c r="E14" t="inlineStr">
        <is>
          <t>float</t>
        </is>
      </c>
      <c r="F14" t="inlineStr">
        <is>
          <t>6f</t>
        </is>
      </c>
      <c r="G14" t="inlineStr"/>
      <c r="H14" t="inlineStr">
        <is>
          <t>Assets/MachineBrigade/Scripts/Sim/AI/TacticalAi.cs:35</t>
        </is>
      </c>
      <c r="I14" t="inlineStr"/>
    </row>
    <row r="15">
      <c r="A15" t="inlineStr">
        <is>
          <t>TacticalAi.cs:EdgePatience</t>
        </is>
      </c>
      <c r="B15" t="inlineStr">
        <is>
          <t>TacticalAi.cs</t>
        </is>
      </c>
      <c r="C15" t="n">
        <v>227</v>
      </c>
      <c r="D15" t="inlineStr">
        <is>
          <t>EdgePatience</t>
        </is>
      </c>
      <c r="E15" t="inlineStr">
        <is>
          <t>double</t>
        </is>
      </c>
      <c r="F15" t="inlineStr">
        <is>
          <t>70.0</t>
        </is>
      </c>
      <c r="G15" t="inlineStr">
        <is>
          <t>After waiting this long at the edge, it goes in anyway if it is at least a match for the towers.</t>
        </is>
      </c>
      <c r="H15" t="inlineStr">
        <is>
          <t>Assets/MachineBrigade/Scripts/Sim/AI/TacticalAi.cs:227</t>
        </is>
      </c>
      <c r="I15" t="inlineStr"/>
    </row>
    <row r="16">
      <c r="A16" t="inlineStr">
        <is>
          <t>TacticalAi.cs:FallBackHold</t>
        </is>
      </c>
      <c r="B16" t="inlineStr">
        <is>
          <t>TacticalAi.cs</t>
        </is>
      </c>
      <c r="C16" t="n">
        <v>126</v>
      </c>
      <c r="D16" t="inlineStr">
        <is>
          <t>FallBackHold</t>
        </is>
      </c>
      <c r="E16" t="inlineStr">
        <is>
          <t>float</t>
        </is>
      </c>
      <c r="F16" t="inlineStr">
        <is>
          <t>12f</t>
        </is>
      </c>
      <c r="G16" t="inlineStr">
        <is>
          <t>How long a fall-back lasts at least, so the army does not bob in and out of range.</t>
        </is>
      </c>
      <c r="H16" t="inlineStr">
        <is>
          <t>Assets/MachineBrigade/Scripts/Sim/AI/TacticalAi.cs:126</t>
        </is>
      </c>
      <c r="I16" t="inlineStr"/>
    </row>
    <row r="17">
      <c r="A17" t="inlineStr">
        <is>
          <t>TacticalAi.cs:Patience</t>
        </is>
      </c>
      <c r="B17" t="inlineStr">
        <is>
          <t>TacticalAi.cs</t>
        </is>
      </c>
      <c r="C17" t="n">
        <v>132</v>
      </c>
      <c r="D17" t="inlineStr">
        <is>
          <t>Patience</t>
        </is>
      </c>
      <c r="E17" t="inlineStr">
        <is>
          <t>float</t>
        </is>
      </c>
      <c r="F17" t="inlineStr">
        <is>
          <t>30f</t>
        </is>
      </c>
      <c r="G17" t="inlineStr">
        <is>
          <t>After holding back this long without catching up, the army commits anyway: an enemy dug in on its objectives never comes out, and waiting forever loses on the clock.</t>
        </is>
      </c>
      <c r="H17" t="inlineStr">
        <is>
          <t>Assets/MachineBrigade/Scripts/Sim/AI/TacticalAi.cs:132</t>
        </is>
      </c>
      <c r="I17" t="inlineStr"/>
    </row>
    <row r="18">
      <c r="A18" t="inlineStr">
        <is>
          <t>TacticalAi.cs:RecoveredFraction</t>
        </is>
      </c>
      <c r="B18" t="inlineStr">
        <is>
          <t>TacticalAi.cs</t>
        </is>
      </c>
      <c r="C18" t="n">
        <v>38</v>
      </c>
      <c r="D18" t="inlineStr">
        <is>
          <t>RecoveredFraction</t>
        </is>
      </c>
      <c r="E18" t="inlineStr">
        <is>
          <t>float</t>
        </is>
      </c>
      <c r="F18" t="inlineStr">
        <is>
          <t>0.6f</t>
        </is>
      </c>
      <c r="G18" t="inlineStr">
        <is>
          <t>A pulled-back vehicle rejoins once repaired this far, or after this long.</t>
        </is>
      </c>
      <c r="H18" t="inlineStr">
        <is>
          <t>Assets/MachineBrigade/Scripts/Sim/AI/TacticalAi.cs:38</t>
        </is>
      </c>
      <c r="I18" t="inlineStr"/>
    </row>
    <row r="19">
      <c r="A19" t="inlineStr">
        <is>
          <t>TacticalAi.cs:RefitUntil</t>
        </is>
      </c>
      <c r="B19" t="inlineStr">
        <is>
          <t>TacticalAi.cs</t>
        </is>
      </c>
      <c r="C19" t="n">
        <v>529</v>
      </c>
      <c r="D19" t="inlineStr">
        <is>
          <t>RefitUntil</t>
        </is>
      </c>
      <c r="E19" t="inlineStr">
        <is>
          <t>float</t>
        </is>
      </c>
      <c r="F19" t="inlineStr">
        <is>
          <t>0.9f</t>
        </is>
      </c>
      <c r="G19" t="inlineStr">
        <is>
          <t>Health share under which an aircraft goes back to the airfield, and the share it waits for.</t>
        </is>
      </c>
      <c r="H19" t="inlineStr">
        <is>
          <t>Assets/MachineBrigade/Scripts/Sim/AI/TacticalAi.cs:529</t>
        </is>
      </c>
      <c r="I19" t="inlineStr"/>
    </row>
    <row r="20">
      <c r="A20" t="inlineStr">
        <is>
          <t>TacticalAi.cs:SameRendezvous</t>
        </is>
      </c>
      <c r="B20" t="inlineStr">
        <is>
          <t>TacticalAi.cs</t>
        </is>
      </c>
      <c r="C20" t="n">
        <v>1517</v>
      </c>
      <c r="D20" t="inlineStr">
        <is>
          <t>SameRendezvous</t>
        </is>
      </c>
      <c r="E20" t="inlineStr">
        <is>
          <t>float</t>
        </is>
      </c>
      <c r="F20" t="inlineStr">
        <is>
          <t>12f</t>
        </is>
      </c>
      <c r="G20" t="inlineStr">
        <is>
          <t>Two rendezvous closer than this are the same one (group moves spread their slots).</t>
        </is>
      </c>
      <c r="H20" t="inlineStr">
        <is>
          <t>Assets/MachineBrigade/Scripts/Sim/AI/TacticalAi.cs:1517</t>
        </is>
      </c>
      <c r="I20" t="inlineStr"/>
    </row>
    <row r="21">
      <c r="A21" t="inlineStr">
        <is>
          <t>TacticalAi.cs:SpotCrowdPenalty</t>
        </is>
      </c>
      <c r="B21" t="inlineStr">
        <is>
          <t>TacticalAi.cs</t>
        </is>
      </c>
      <c r="C21" t="n">
        <v>1098</v>
      </c>
      <c r="D21" t="inlineStr">
        <is>
          <t>SpotCrowdPenalty</t>
        </is>
      </c>
      <c r="E21" t="inlineStr">
        <is>
          <t>float</t>
        </is>
      </c>
      <c r="F21" t="inlineStr">
        <is>
          <t>8f</t>
        </is>
      </c>
      <c r="G21" t="inlineStr">
        <is>
          <t>Firing-spot scoring: on a road, per main route through the cell, per friend parked within 7 m, open ground (another gun's booked spot is out).</t>
        </is>
      </c>
      <c r="H21" t="inlineStr">
        <is>
          <t>Assets/MachineBrigade/Scripts/Sim/AI/TacticalAi.cs:1098</t>
        </is>
      </c>
      <c r="I21" t="inlineStr"/>
    </row>
    <row r="22">
      <c r="A22" t="inlineStr">
        <is>
          <t>TacticalAi.cs:SpotExposedPenalty</t>
        </is>
      </c>
      <c r="B22" t="inlineStr">
        <is>
          <t>TacticalAi.cs</t>
        </is>
      </c>
      <c r="C22" t="n">
        <v>1101</v>
      </c>
      <c r="D22" t="inlineStr">
        <is>
          <t>SpotExposedPenalty</t>
        </is>
      </c>
      <c r="E22" t="inlineStr">
        <is>
          <t>float</t>
        </is>
      </c>
      <c r="F22" t="inlineStr">
        <is>
          <t>6f</t>
        </is>
      </c>
      <c r="G22" t="inlineStr">
        <is>
          <t>AI MASTER P2 Part D4: per known direct-fire enemy that sees the spot (dead ground preferred).</t>
        </is>
      </c>
      <c r="H22" t="inlineStr">
        <is>
          <t>Assets/MachineBrigade/Scripts/Sim/AI/TacticalAi.cs:1101</t>
        </is>
      </c>
      <c r="I22" t="inlineStr"/>
    </row>
    <row r="23">
      <c r="A23" t="inlineStr">
        <is>
          <t>TacticalAi.cs:SpotOpenBonus</t>
        </is>
      </c>
      <c r="B23" t="inlineStr">
        <is>
          <t>TacticalAi.cs</t>
        </is>
      </c>
      <c r="C23" t="n">
        <v>1098</v>
      </c>
      <c r="D23" t="inlineStr">
        <is>
          <t>SpotOpenBonus</t>
        </is>
      </c>
      <c r="E23" t="inlineStr">
        <is>
          <t>float</t>
        </is>
      </c>
      <c r="F23" t="inlineStr">
        <is>
          <t>6f</t>
        </is>
      </c>
      <c r="G23" t="inlineStr">
        <is>
          <t>Firing-spot scoring: on a road, per main route through the cell, per friend parked within 7 m, open ground (another gun's booked spot is out).</t>
        </is>
      </c>
      <c r="H23" t="inlineStr">
        <is>
          <t>Assets/MachineBrigade/Scripts/Sim/AI/TacticalAi.cs:1098</t>
        </is>
      </c>
      <c r="I23" t="inlineStr"/>
    </row>
    <row r="24">
      <c r="A24" t="inlineStr">
        <is>
          <t>TacticalAi.cs:SpotRings</t>
        </is>
      </c>
      <c r="B24" t="inlineStr">
        <is>
          <t>TacticalAi.cs</t>
        </is>
      </c>
      <c r="C24" t="n">
        <v>1113</v>
      </c>
      <c r="D24" t="inlineStr">
        <is>
          <t>SpotRings</t>
        </is>
      </c>
      <c r="E24" t="inlineStr">
        <is>
          <t>float[]</t>
        </is>
      </c>
      <c r="F24" t="inlineStr">
        <is>
          <t>0.95f;0.85f;0.75f;0.65f;0.55f</t>
        </is>
      </c>
      <c r="G24" t="inlineStr">
        <is>
          <t>A spot to fire at target from: inside our range (just short of it, beyond our minimum), outside every known gun's reach, on open ground. Rings at 0.95, 0.85 and 0.75 of our range, 24 bearings each, the nearest to where the gun already is (after the standoff solvers of RTS bots such as PurpleWave and Steamhammer), scored as in tactical position selection (generate, filter, score): never in a doorway or its mouth, off the roads and main routes the rest of the army drives along, spread out from other parked friends (fewer jams, less splash), and not on a spot another gun has booked. The chosen spot is booked (Company of Heroes reserves destinations the same way).</t>
        </is>
      </c>
      <c r="H24" t="inlineStr">
        <is>
          <t>Assets/MachineBrigade/Scripts/Sim/AI/TacticalAi.cs:1113</t>
        </is>
      </c>
      <c r="I24" t="inlineStr"/>
    </row>
    <row r="25">
      <c r="A25" t="inlineStr">
        <is>
          <t>TacticalAi.cs:SpotRoadPenalty</t>
        </is>
      </c>
      <c r="B25" t="inlineStr">
        <is>
          <t>TacticalAi.cs</t>
        </is>
      </c>
      <c r="C25" t="n">
        <v>1098</v>
      </c>
      <c r="D25" t="inlineStr">
        <is>
          <t>SpotRoadPenalty</t>
        </is>
      </c>
      <c r="E25" t="inlineStr">
        <is>
          <t>float</t>
        </is>
      </c>
      <c r="F25" t="inlineStr">
        <is>
          <t>12f</t>
        </is>
      </c>
      <c r="G25" t="inlineStr">
        <is>
          <t>Firing-spot scoring: on a road, per main route through the cell, per friend parked within 7 m, open ground (another gun's booked spot is out).</t>
        </is>
      </c>
      <c r="H25" t="inlineStr">
        <is>
          <t>Assets/MachineBrigade/Scripts/Sim/AI/TacticalAi.cs:1098</t>
        </is>
      </c>
      <c r="I25" t="inlineStr"/>
    </row>
    <row r="26">
      <c r="A26" t="inlineStr">
        <is>
          <t>TacticalAi.cs:SpotRoutePenalty</t>
        </is>
      </c>
      <c r="B26" t="inlineStr">
        <is>
          <t>TacticalAi.cs</t>
        </is>
      </c>
      <c r="C26" t="n">
        <v>1098</v>
      </c>
      <c r="D26" t="inlineStr">
        <is>
          <t>SpotRoutePenalty</t>
        </is>
      </c>
      <c r="E26" t="inlineStr">
        <is>
          <t>float</t>
        </is>
      </c>
      <c r="F26" t="inlineStr">
        <is>
          <t>20f</t>
        </is>
      </c>
      <c r="G26" t="inlineStr">
        <is>
          <t>Firing-spot scoring: on a road, per main route through the cell, per friend parked within 7 m, open ground (another gun's booked spot is out).</t>
        </is>
      </c>
      <c r="H26" t="inlineStr">
        <is>
          <t>Assets/MachineBrigade/Scripts/Sim/AI/TacticalAi.cs:1098</t>
        </is>
      </c>
      <c r="I26" t="inlineStr"/>
    </row>
    <row r="27">
      <c r="A27" t="inlineStr">
        <is>
          <t>TacticalAi.cs:StaleIdle</t>
        </is>
      </c>
      <c r="B27" t="inlineStr">
        <is>
          <t>TacticalAi.cs</t>
        </is>
      </c>
      <c r="C27" t="n">
        <v>77</v>
      </c>
      <c r="D27" t="inlineStr">
        <is>
          <t>StaleIdle</t>
        </is>
      </c>
      <c r="E27" t="inlineStr">
        <is>
          <t>double</t>
        </is>
      </c>
      <c r="F27" t="inlineStr">
        <is>
          <t>12.0</t>
        </is>
      </c>
      <c r="G27" t="inlineStr"/>
      <c r="H27" t="inlineStr">
        <is>
          <t>Assets/MachineBrigade/Scripts/Sim/AI/TacticalAi.cs:77</t>
        </is>
      </c>
      <c r="I27" t="inlineStr"/>
    </row>
    <row r="28">
      <c r="A28" t="inlineStr">
        <is>
          <t>TacticalAi.cs:StandoffMargin</t>
        </is>
      </c>
      <c r="B28" t="inlineStr">
        <is>
          <t>TacticalAi.cs</t>
        </is>
      </c>
      <c r="C28" t="n">
        <v>1069</v>
      </c>
      <c r="D28" t="inlineStr">
        <is>
          <t>StandoffMargin</t>
        </is>
      </c>
      <c r="E28" t="inlineStr">
        <is>
          <t>float</t>
        </is>
      </c>
      <c r="F28" t="inlineStr">
        <is>
          <t>4f</t>
        </is>
      </c>
      <c r="G28" t="inlineStr">
        <is>
          <t>Extra room an artillery piece keeps outside a fixed defence's reach.</t>
        </is>
      </c>
      <c r="H28" t="inlineStr">
        <is>
          <t>Assets/MachineBrigade/Scripts/Sim/AI/TacticalAi.cs:1069</t>
        </is>
      </c>
      <c r="I28" t="inlineStr"/>
    </row>
    <row r="29">
      <c r="A29" t="inlineStr">
        <is>
          <t>WorldModel.cs:Groups</t>
        </is>
      </c>
      <c r="B29" t="inlineStr">
        <is>
          <t>WorldModel.cs</t>
        </is>
      </c>
      <c r="C29" t="n">
        <v>209</v>
      </c>
      <c r="D29" t="inlineStr">
        <is>
          <t>Groups</t>
        </is>
      </c>
      <c r="E29" t="inlineStr">
        <is>
          <t>int</t>
        </is>
      </c>
      <c r="F29" t="inlineStr">
        <is>
          <t>8</t>
        </is>
      </c>
      <c r="G29" t="inlineStr"/>
      <c r="H29" t="inlineStr">
        <is>
          <t>Assets/MachineBrigade/Scripts/Sim/AI/WorldModel.cs:209</t>
        </is>
      </c>
      <c r="I29" t="inlineStr"/>
    </row>
    <row r="30">
      <c r="A30" t="inlineStr">
        <is>
          <t>WorldModel.cs:Threats</t>
        </is>
      </c>
      <c r="B30" t="inlineStr">
        <is>
          <t>WorldModel.cs</t>
        </is>
      </c>
      <c r="C30" t="n">
        <v>210</v>
      </c>
      <c r="D30" t="inlineStr">
        <is>
          <t>Threats</t>
        </is>
      </c>
      <c r="E30" t="inlineStr">
        <is>
          <t>int</t>
        </is>
      </c>
      <c r="F30" t="inlineStr">
        <is>
          <t>4</t>
        </is>
      </c>
      <c r="G30" t="inlineStr"/>
      <c r="H30" t="inlineStr">
        <is>
          <t>Assets/MachineBrigade/Scripts/Sim/AI/WorldModel.cs:210</t>
        </is>
      </c>
      <c r="I30" t="inlineStr"/>
    </row>
  </sheetData>
  <autoFilter ref="A1:I30"/>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8" customWidth="1" min="3" max="3"/>
    <col width="15" customWidth="1" min="4" max="4"/>
    <col width="60" customWidth="1" min="5" max="5"/>
    <col width="59" customWidth="1" min="6" max="6"/>
    <col width="10" customWidth="1" min="7" max="7"/>
  </cols>
  <sheetData>
    <row r="1">
      <c r="A1" s="1" t="inlineStr">
        <is>
          <t>id</t>
        </is>
      </c>
      <c r="B1" s="1" t="inlineStr">
        <is>
          <t>nhom</t>
        </is>
      </c>
      <c r="C1" s="1" t="inlineStr">
        <is>
          <t>lane</t>
        </is>
      </c>
      <c r="D1" s="1" t="inlineStr">
        <is>
          <t>bi_danh</t>
        </is>
      </c>
      <c r="E1" s="1" t="inlineStr">
        <is>
          <t>y_nghia</t>
        </is>
      </c>
      <c r="F1" s="1" t="inlineStr">
        <is>
          <t>nguon</t>
        </is>
      </c>
      <c r="G1" s="1" t="inlineStr">
        <is>
          <t>raw_json</t>
        </is>
      </c>
    </row>
    <row r="2">
      <c r="A2" t="inlineStr">
        <is>
          <t>AIR_BOMBER_GO</t>
        </is>
      </c>
      <c r="B2" t="inlineStr">
        <is>
          <t>AIR</t>
        </is>
      </c>
      <c r="C2" t="inlineStr">
        <is>
          <t>P4</t>
        </is>
      </c>
      <c r="D2" t="inlineStr"/>
      <c r="E2" t="inlineStr">
        <is>
          <t>bomber run</t>
        </is>
      </c>
      <c r="F2" t="inlineStr">
        <is>
          <t>Assets/MachineBrigade/Scripts/Sim/AI/P5/ReasonCodes.cs:241</t>
        </is>
      </c>
      <c r="G2" t="inlineStr"/>
    </row>
    <row r="3">
      <c r="A3" t="inlineStr">
        <is>
          <t>AIR_BOMBER_RETARGET</t>
        </is>
      </c>
      <c r="B3" t="inlineStr">
        <is>
          <t>AIR</t>
        </is>
      </c>
      <c r="C3" t="inlineStr">
        <is>
          <t>P4</t>
        </is>
      </c>
      <c r="D3" t="inlineStr"/>
      <c r="E3" t="inlineStr">
        <is>
          <t>bomber retargets</t>
        </is>
      </c>
      <c r="F3" t="inlineStr">
        <is>
          <t>Assets/MachineBrigade/Scripts/Sim/AI/P5/ReasonCodes.cs:242</t>
        </is>
      </c>
      <c r="G3" t="inlineStr"/>
    </row>
    <row r="4">
      <c r="A4" t="inlineStr">
        <is>
          <t>AIR_BOMBER_WAIT</t>
        </is>
      </c>
      <c r="B4" t="inlineStr">
        <is>
          <t>AIR</t>
        </is>
      </c>
      <c r="C4" t="inlineStr">
        <is>
          <t>P4</t>
        </is>
      </c>
      <c r="D4" t="inlineStr"/>
      <c r="E4" t="inlineStr">
        <is>
          <t>bomber loiters for a worthwhile target</t>
        </is>
      </c>
      <c r="F4" t="inlineStr">
        <is>
          <t>Assets/MachineBrigade/Scripts/Sim/AI/P5/ReasonCodes.cs:240</t>
        </is>
      </c>
      <c r="G4" t="inlineStr"/>
    </row>
    <row r="5">
      <c r="A5" t="inlineStr">
        <is>
          <t>AIR_CAP_PATROL</t>
        </is>
      </c>
      <c r="B5" t="inlineStr">
        <is>
          <t>AIR</t>
        </is>
      </c>
      <c r="C5" t="inlineStr">
        <is>
          <t>P4</t>
        </is>
      </c>
      <c r="D5" t="inlineStr"/>
      <c r="E5" t="inlineStr">
        <is>
          <t>CAP patrol</t>
        </is>
      </c>
      <c r="F5" t="inlineStr">
        <is>
          <t>Assets/MachineBrigade/Scripts/Sim/AI/P5/ReasonCodes.cs:237</t>
        </is>
      </c>
      <c r="G5" t="inlineStr"/>
    </row>
    <row r="6">
      <c r="A6" t="inlineStr">
        <is>
          <t>AIR_CAP_RETURN_ZONE</t>
        </is>
      </c>
      <c r="B6" t="inlineStr">
        <is>
          <t>AIR</t>
        </is>
      </c>
      <c r="C6" t="inlineStr">
        <is>
          <t>P4</t>
        </is>
      </c>
      <c r="D6" t="inlineStr"/>
      <c r="E6" t="inlineStr">
        <is>
          <t>CAP fighter returns to its zone</t>
        </is>
      </c>
      <c r="F6" t="inlineStr">
        <is>
          <t>Assets/MachineBrigade/Scripts/Sim/AI/P5/ReasonCodes.cs:236</t>
        </is>
      </c>
      <c r="G6" t="inlineStr"/>
    </row>
    <row r="7">
      <c r="A7" t="inlineStr">
        <is>
          <t>AIR_EGRESS_LOW_RISK</t>
        </is>
      </c>
      <c r="B7" t="inlineStr">
        <is>
          <t>AIR</t>
        </is>
      </c>
      <c r="C7" t="inlineStr">
        <is>
          <t>P4</t>
        </is>
      </c>
      <c r="D7" t="inlineStr"/>
      <c r="E7" t="inlineStr">
        <is>
          <t>low-risk egress</t>
        </is>
      </c>
      <c r="F7" t="inlineStr">
        <is>
          <t>Assets/MachineBrigade/Scripts/Sim/AI/P5/ReasonCodes.cs:235</t>
        </is>
      </c>
      <c r="G7" t="inlineStr"/>
    </row>
    <row r="8">
      <c r="A8" t="inlineStr">
        <is>
          <t>AIR_INTERCEPT_PREDICT</t>
        </is>
      </c>
      <c r="B8" t="inlineStr">
        <is>
          <t>AIR</t>
        </is>
      </c>
      <c r="C8" t="inlineStr">
        <is>
          <t>P4</t>
        </is>
      </c>
      <c r="D8" t="inlineStr"/>
      <c r="E8" t="inlineStr">
        <is>
          <t>air intercept at the predicted point</t>
        </is>
      </c>
      <c r="F8" t="inlineStr">
        <is>
          <t>Assets/MachineBrigade/Scripts/Sim/AI/P5/ReasonCodes.cs:239</t>
        </is>
      </c>
      <c r="G8" t="inlineStr"/>
    </row>
    <row r="9">
      <c r="A9" t="inlineStr">
        <is>
          <t>AIR_RISK_ROUTE</t>
        </is>
      </c>
      <c r="B9" t="inlineStr">
        <is>
          <t>AIR</t>
        </is>
      </c>
      <c r="C9" t="inlineStr">
        <is>
          <t>P4</t>
        </is>
      </c>
      <c r="D9" t="inlineStr"/>
      <c r="E9" t="inlineStr">
        <is>
          <t>risk-aware air route</t>
        </is>
      </c>
      <c r="F9" t="inlineStr">
        <is>
          <t>Assets/MachineBrigade/Scripts/Sim/AI/P5/ReasonCodes.cs:234</t>
        </is>
      </c>
      <c r="G9" t="inlineStr"/>
    </row>
    <row r="10">
      <c r="A10" t="inlineStr">
        <is>
          <t>AIR_SEAD_FAILED_DELAY</t>
        </is>
      </c>
      <c r="B10" t="inlineStr">
        <is>
          <t>AIR</t>
        </is>
      </c>
      <c r="C10" t="inlineStr">
        <is>
          <t>P4</t>
        </is>
      </c>
      <c r="D10" t="inlineStr"/>
      <c r="E10" t="inlineStr">
        <is>
          <t>SEAD failed: delay</t>
        </is>
      </c>
      <c r="F10" t="inlineStr">
        <is>
          <t>Assets/MachineBrigade/Scripts/Sim/AI/P5/ReasonCodes.cs:233</t>
        </is>
      </c>
      <c r="G10" t="inlineStr"/>
    </row>
    <row r="11">
      <c r="A11" t="inlineStr">
        <is>
          <t>AIR_SEAD_FAILED_REROUTE</t>
        </is>
      </c>
      <c r="B11" t="inlineStr">
        <is>
          <t>AIR</t>
        </is>
      </c>
      <c r="C11" t="inlineStr">
        <is>
          <t>P4</t>
        </is>
      </c>
      <c r="D11" t="inlineStr"/>
      <c r="E11" t="inlineStr">
        <is>
          <t>SEAD failed: reroute</t>
        </is>
      </c>
      <c r="F11" t="inlineStr">
        <is>
          <t>Assets/MachineBrigade/Scripts/Sim/AI/P5/ReasonCodes.cs:232</t>
        </is>
      </c>
      <c r="G11" t="inlineStr"/>
    </row>
    <row r="12">
      <c r="A12" t="inlineStr">
        <is>
          <t>AIR_SEAD_HOLD_INGRESS</t>
        </is>
      </c>
      <c r="B12" t="inlineStr">
        <is>
          <t>AIR</t>
        </is>
      </c>
      <c r="C12" t="inlineStr">
        <is>
          <t>P4</t>
        </is>
      </c>
      <c r="D12" t="inlineStr"/>
      <c r="E12" t="inlineStr">
        <is>
          <t>strikers hold at the ingress point for SEAD</t>
        </is>
      </c>
      <c r="F12" t="inlineStr">
        <is>
          <t>Assets/MachineBrigade/Scripts/Sim/AI/P5/ReasonCodes.cs:230</t>
        </is>
      </c>
      <c r="G12" t="inlineStr"/>
    </row>
    <row r="13">
      <c r="A13" t="inlineStr">
        <is>
          <t>AIR_SEAD_WINDOW_STRIKE</t>
        </is>
      </c>
      <c r="B13" t="inlineStr">
        <is>
          <t>AIR</t>
        </is>
      </c>
      <c r="C13" t="inlineStr">
        <is>
          <t>P4</t>
        </is>
      </c>
      <c r="D13" t="inlineStr"/>
      <c r="E13" t="inlineStr">
        <is>
          <t>SEAD window open: strike</t>
        </is>
      </c>
      <c r="F13" t="inlineStr">
        <is>
          <t>Assets/MachineBrigade/Scripts/Sim/AI/P5/ReasonCodes.cs:231</t>
        </is>
      </c>
      <c r="G13" t="inlineStr"/>
    </row>
    <row r="14">
      <c r="A14" t="inlineStr">
        <is>
          <t>AIR_TARGET_HANDOFF</t>
        </is>
      </c>
      <c r="B14" t="inlineStr">
        <is>
          <t>AIR</t>
        </is>
      </c>
      <c r="C14" t="inlineStr">
        <is>
          <t>P4</t>
        </is>
      </c>
      <c r="D14" t="inlineStr"/>
      <c r="E14" t="inlineStr">
        <is>
          <t>air target handed off</t>
        </is>
      </c>
      <c r="F14" t="inlineStr">
        <is>
          <t>Assets/MachineBrigade/Scripts/Sim/AI/P5/ReasonCodes.cs:238</t>
        </is>
      </c>
      <c r="G14" t="inlineStr"/>
    </row>
    <row r="15">
      <c r="A15" t="inlineStr">
        <is>
          <t>ANOMALY_NO_ACCEL</t>
        </is>
      </c>
      <c r="B15" t="inlineStr">
        <is>
          <t>JAM</t>
        </is>
      </c>
      <c r="C15" t="inlineStr">
        <is>
          <t>P1</t>
        </is>
      </c>
      <c r="D15" t="inlineStr"/>
      <c r="E15" t="inlineStr">
        <is>
          <t>spec 185: a move order with a route did not get the hull going in time (once per order)</t>
        </is>
      </c>
      <c r="F15" t="inlineStr">
        <is>
          <t>Assets/MachineBrigade/Scripts/Sim/AI/P5/ReasonCodes.cs:148</t>
        </is>
      </c>
      <c r="G15" t="inlineStr"/>
    </row>
    <row r="16">
      <c r="A16" t="inlineStr">
        <is>
          <t>ANOMALY_NO_PATH</t>
        </is>
      </c>
      <c r="B16" t="inlineStr">
        <is>
          <t>JAM</t>
        </is>
      </c>
      <c r="C16" t="inlineStr">
        <is>
          <t>P1</t>
        </is>
      </c>
      <c r="D16" t="inlineStr"/>
      <c r="E16" t="inlineStr">
        <is>
          <t>spec 185: a move order found no route (once per order)</t>
        </is>
      </c>
      <c r="F16" t="inlineStr">
        <is>
          <t>Assets/MachineBrigade/Scripts/Sim/AI/P5/ReasonCodes.cs:149</t>
        </is>
      </c>
      <c r="G16" t="inlineStr"/>
    </row>
    <row r="17">
      <c r="A17" t="inlineStr">
        <is>
          <t>ARTILLERY_ADAPT_CAMPING_COUNTERBATTERY</t>
        </is>
      </c>
      <c r="B17" t="inlineStr">
        <is>
          <t>ARTILLERY</t>
        </is>
      </c>
      <c r="C17" t="inlineStr">
        <is>
          <t>P4</t>
        </is>
      </c>
      <c r="D17" t="inlineStr"/>
      <c r="E17" t="inlineStr">
        <is>
          <t>the enemy camps with artillery: more counter-battery</t>
        </is>
      </c>
      <c r="F17" t="inlineStr">
        <is>
          <t>Assets/MachineBrigade/Scripts/Sim/AI/P5/ReasonCodes.cs:254</t>
        </is>
      </c>
      <c r="G17" t="inlineStr"/>
    </row>
    <row r="18">
      <c r="A18" t="inlineStr">
        <is>
          <t>ARTILLERY_ANCHOR_KEPT</t>
        </is>
      </c>
      <c r="B18" t="inlineStr">
        <is>
          <t>ARTILLERY</t>
        </is>
      </c>
      <c r="C18" t="inlineStr">
        <is>
          <t>P2</t>
        </is>
      </c>
      <c r="D18" t="inlineStr"/>
      <c r="E18" t="inlineStr">
        <is>
          <t>fire-support anchor kept</t>
        </is>
      </c>
      <c r="F18" t="inlineStr">
        <is>
          <t>Assets/MachineBrigade/Scripts/Sim/AI/P5/ReasonCodes.cs:246</t>
        </is>
      </c>
      <c r="G18" t="inlineStr"/>
    </row>
    <row r="19">
      <c r="A19" t="inlineStr">
        <is>
          <t>ARTILLERY_ANCHOR_SET</t>
        </is>
      </c>
      <c r="B19" t="inlineStr">
        <is>
          <t>ARTILLERY</t>
        </is>
      </c>
      <c r="C19" t="inlineStr">
        <is>
          <t>P2</t>
        </is>
      </c>
      <c r="D19" t="inlineStr"/>
      <c r="E19" t="inlineStr">
        <is>
          <t>fire-support anchor set</t>
        </is>
      </c>
      <c r="F19" t="inlineStr">
        <is>
          <t>Assets/MachineBrigade/Scripts/Sim/AI/P5/ReasonCodes.cs:245</t>
        </is>
      </c>
      <c r="G19" t="inlineStr"/>
    </row>
    <row r="20">
      <c r="A20" t="inlineStr">
        <is>
          <t>ARTILLERY_COUNTERBATTERY_AREA_FIRE</t>
        </is>
      </c>
      <c r="B20" t="inlineStr">
        <is>
          <t>ARTILLERY</t>
        </is>
      </c>
      <c r="C20" t="inlineStr">
        <is>
          <t>P3</t>
        </is>
      </c>
      <c r="D20" t="inlineStr"/>
      <c r="E20" t="inlineStr">
        <is>
          <t>counter-battery area fire</t>
        </is>
      </c>
      <c r="F20" t="inlineStr">
        <is>
          <t>Assets/MachineBrigade/Scripts/Sim/AI/P5/ReasonCodes.cs:249</t>
        </is>
      </c>
      <c r="G20" t="inlineStr"/>
    </row>
    <row r="21">
      <c r="A21" t="inlineStr">
        <is>
          <t>ARTILLERY_COUNTERBATTERY_MISSION</t>
        </is>
      </c>
      <c r="B21" t="inlineStr">
        <is>
          <t>ARTILLERY</t>
        </is>
      </c>
      <c r="C21" t="inlineStr">
        <is>
          <t>P3</t>
        </is>
      </c>
      <c r="D21" t="inlineStr"/>
      <c r="E21" t="inlineStr">
        <is>
          <t>counter-battery fire mission</t>
        </is>
      </c>
      <c r="F21" t="inlineStr">
        <is>
          <t>Assets/MachineBrigade/Scripts/Sim/AI/P5/ReasonCodes.cs:248</t>
        </is>
      </c>
      <c r="G21" t="inlineStr"/>
    </row>
    <row r="22">
      <c r="A22" t="inlineStr">
        <is>
          <t>ARTILLERY_COUNTERBATTERY_SCOOT</t>
        </is>
      </c>
      <c r="B22" t="inlineStr">
        <is>
          <t>ARTILLERY</t>
        </is>
      </c>
      <c r="C22" t="inlineStr">
        <is>
          <t>P2</t>
        </is>
      </c>
      <c r="D22" t="inlineStr"/>
      <c r="E22" t="inlineStr">
        <is>
          <t>counter-battery threat: shoot and scoot</t>
        </is>
      </c>
      <c r="F22" t="inlineStr">
        <is>
          <t>Assets/MachineBrigade/Scripts/Sim/AI/P5/ReasonCodes.cs:247</t>
        </is>
      </c>
      <c r="G22" t="inlineStr"/>
    </row>
    <row r="23">
      <c r="A23" t="inlineStr">
        <is>
          <t>ARTILLERY_FINISH_MISSION</t>
        </is>
      </c>
      <c r="B23" t="inlineStr">
        <is>
          <t>ARTILLERY</t>
        </is>
      </c>
      <c r="C23" t="inlineStr">
        <is>
          <t>P3</t>
        </is>
      </c>
      <c r="D23" t="inlineStr"/>
      <c r="E23" t="inlineStr">
        <is>
          <t>finish a near-dead target</t>
        </is>
      </c>
      <c r="F23" t="inlineStr">
        <is>
          <t>Assets/MachineBrigade/Scripts/Sim/AI/P5/ReasonCodes.cs:251</t>
        </is>
      </c>
      <c r="G23" t="inlineStr"/>
    </row>
    <row r="24">
      <c r="A24" t="inlineStr">
        <is>
          <t>ARTILLERY_ORDER_OWNER</t>
        </is>
      </c>
      <c r="B24" t="inlineStr">
        <is>
          <t>ARTILLERY</t>
        </is>
      </c>
      <c r="C24" t="inlineStr">
        <is>
          <t>P4</t>
        </is>
      </c>
      <c r="D24" t="inlineStr"/>
      <c r="E24" t="inlineStr">
        <is>
          <t>one owner orders a gun at a time</t>
        </is>
      </c>
      <c r="F24" t="inlineStr">
        <is>
          <t>Assets/MachineBrigade/Scripts/Sim/AI/P5/ReasonCodes.cs:253</t>
        </is>
      </c>
      <c r="G24" t="inlineStr"/>
    </row>
    <row r="25">
      <c r="A25" t="inlineStr">
        <is>
          <t>ARTILLERY_SCOOT</t>
        </is>
      </c>
      <c r="B25" t="inlineStr">
        <is>
          <t>ARTILLERY</t>
        </is>
      </c>
      <c r="C25" t="inlineStr">
        <is>
          <t>P3</t>
        </is>
      </c>
      <c r="D25" t="inlineStr"/>
      <c r="E25" t="inlineStr">
        <is>
          <t>scoot after the salvo count</t>
        </is>
      </c>
      <c r="F25" t="inlineStr">
        <is>
          <t>Assets/MachineBrigade/Scripts/Sim/AI/P5/ReasonCodes.cs:250</t>
        </is>
      </c>
      <c r="G25" t="inlineStr"/>
    </row>
    <row r="26">
      <c r="A26" t="inlineStr">
        <is>
          <t>ARTILLERY_SCOOT_DURING_RELOAD</t>
        </is>
      </c>
      <c r="B26" t="inlineStr">
        <is>
          <t>ARTILLERY</t>
        </is>
      </c>
      <c r="C26" t="inlineStr">
        <is>
          <t>P5</t>
        </is>
      </c>
      <c r="D26" t="inlineStr"/>
      <c r="E26" t="inlineStr">
        <is>
          <t>scoot inside a reload window that runs on the move (Part L)</t>
        </is>
      </c>
      <c r="F26" t="inlineStr">
        <is>
          <t>Assets/MachineBrigade/Scripts/Sim/AI/P5/ReasonCodes.cs:255</t>
        </is>
      </c>
      <c r="G26" t="inlineStr"/>
    </row>
    <row r="27">
      <c r="A27" t="inlineStr">
        <is>
          <t>ARTILLERY_STALE_TARGET_DROPPED</t>
        </is>
      </c>
      <c r="B27" t="inlineStr">
        <is>
          <t>ARTILLERY</t>
        </is>
      </c>
      <c r="C27" t="inlineStr">
        <is>
          <t>P3</t>
        </is>
      </c>
      <c r="D27" t="inlineStr"/>
      <c r="E27" t="inlineStr">
        <is>
          <t>stale remembered target dropped</t>
        </is>
      </c>
      <c r="F27" t="inlineStr">
        <is>
          <t>Assets/MachineBrigade/Scripts/Sim/AI/P5/ReasonCodes.cs:252</t>
        </is>
      </c>
      <c r="G27" t="inlineStr"/>
    </row>
    <row r="28">
      <c r="A28" t="inlineStr">
        <is>
          <t>BOSS_BROADSIDE_RECOMPUTE</t>
        </is>
      </c>
      <c r="B28" t="inlineStr">
        <is>
          <t>BOSS</t>
        </is>
      </c>
      <c r="C28" t="inlineStr">
        <is>
          <t>P2</t>
        </is>
      </c>
      <c r="D28" t="inlineStr"/>
      <c r="E28" t="inlineStr">
        <is>
          <t>a broken part took mounts away: broadside recomputed</t>
        </is>
      </c>
      <c r="F28" t="inlineStr">
        <is>
          <t>Assets/MachineBrigade/Scripts/Sim/AI/P5/ReasonCodes.cs:208</t>
        </is>
      </c>
      <c r="G28" t="inlineStr"/>
    </row>
    <row r="29">
      <c r="A29" t="inlineStr">
        <is>
          <t>BOSS_ESCORT_SPAWN_REJECT</t>
        </is>
      </c>
      <c r="B29" t="inlineStr">
        <is>
          <t>BOSS</t>
        </is>
      </c>
      <c r="C29" t="inlineStr">
        <is>
          <t>P5</t>
        </is>
      </c>
      <c r="D29" t="inlineStr"/>
      <c r="E29" t="inlineStr">
        <is>
          <t>an escort / factory spawn refused (no map influence there)</t>
        </is>
      </c>
      <c r="F29" t="inlineStr">
        <is>
          <t>Assets/MachineBrigade/Scripts/Sim/AI/P5/ReasonCodes.cs:213</t>
        </is>
      </c>
      <c r="G29" t="inlineStr"/>
    </row>
    <row r="30">
      <c r="A30" t="inlineStr">
        <is>
          <t>BOSS_HULL_ARMOUR_FACING</t>
        </is>
      </c>
      <c r="B30" t="inlineStr">
        <is>
          <t>BOSS</t>
        </is>
      </c>
      <c r="C30" t="inlineStr">
        <is>
          <t>P0C</t>
        </is>
      </c>
      <c r="D30" t="inlineStr"/>
      <c r="E30" t="inlineStr">
        <is>
          <t>standing, the front turned to the heaviest fire (granted)</t>
        </is>
      </c>
      <c r="F30" t="inlineStr">
        <is>
          <t>Assets/MachineBrigade/Scripts/Sim/AI/P5/ReasonCodes.cs:204</t>
        </is>
      </c>
      <c r="G30" t="inlineStr"/>
    </row>
    <row r="31">
      <c r="A31" t="inlineStr">
        <is>
          <t>BOSS_HULL_COLLISION</t>
        </is>
      </c>
      <c r="B31" t="inlineStr">
        <is>
          <t>BOSS</t>
        </is>
      </c>
      <c r="C31" t="inlineStr">
        <is>
          <t>P0C</t>
        </is>
      </c>
      <c r="D31" t="inlineStr"/>
      <c r="E31" t="inlineStr">
        <is>
          <t>turning away from a predicted collision or a wreck</t>
        </is>
      </c>
      <c r="F31" t="inlineStr">
        <is>
          <t>Assets/MachineBrigade/Scripts/Sim/AI/P5/ReasonCodes.cs:205</t>
        </is>
      </c>
      <c r="G31" t="inlineStr"/>
    </row>
    <row r="32">
      <c r="A32" t="inlineStr">
        <is>
          <t>BOSS_HULL_ESCAPE</t>
        </is>
      </c>
      <c r="B32" t="inlineStr">
        <is>
          <t>BOSS</t>
        </is>
      </c>
      <c r="C32" t="inlineStr">
        <is>
          <t>P0C</t>
        </is>
      </c>
      <c r="D32" t="inlineStr"/>
      <c r="E32" t="inlineStr">
        <is>
          <t>the scripted escape run owns the hull</t>
        </is>
      </c>
      <c r="F32" t="inlineStr">
        <is>
          <t>Assets/MachineBrigade/Scripts/Sim/AI/P5/ReasonCodes.cs:202</t>
        </is>
      </c>
      <c r="G32" t="inlineStr"/>
    </row>
    <row r="33">
      <c r="A33" t="inlineStr">
        <is>
          <t>BOSS_HULL_HOLD</t>
        </is>
      </c>
      <c r="B33" t="inlineStr">
        <is>
          <t>BOSS</t>
        </is>
      </c>
      <c r="C33" t="inlineStr">
        <is>
          <t>P0C</t>
        </is>
      </c>
      <c r="D33" t="inlineStr"/>
      <c r="E33" t="inlineStr">
        <is>
          <t>holding / stopped</t>
        </is>
      </c>
      <c r="F33" t="inlineStr">
        <is>
          <t>Assets/MachineBrigade/Scripts/Sim/AI/P5/ReasonCodes.cs:206</t>
        </is>
      </c>
      <c r="G33" t="inlineStr"/>
    </row>
    <row r="34">
      <c r="A34" t="inlineStr">
        <is>
          <t>BOSS_HULL_PHASE</t>
        </is>
      </c>
      <c r="B34" t="inlineStr">
        <is>
          <t>BOSS</t>
        </is>
      </c>
      <c r="C34" t="inlineStr">
        <is>
          <t>P0C</t>
        </is>
      </c>
      <c r="D34" t="inlineStr"/>
      <c r="E34" t="inlineStr">
        <is>
          <t>a new phase's route goal owns the hull</t>
        </is>
      </c>
      <c r="F34" t="inlineStr">
        <is>
          <t>Assets/MachineBrigade/Scripts/Sim/AI/P5/ReasonCodes.cs:201</t>
        </is>
      </c>
      <c r="G34" t="inlineStr"/>
    </row>
    <row r="35">
      <c r="A35" t="inlineStr">
        <is>
          <t>BOSS_HULL_ROUTE_OWNS_HEADING</t>
        </is>
      </c>
      <c r="B35" t="inlineStr">
        <is>
          <t>BOSS</t>
        </is>
      </c>
      <c r="C35" t="inlineStr">
        <is>
          <t>P0C</t>
        </is>
      </c>
      <c r="D35" t="inlineStr"/>
      <c r="E35" t="inlineStr">
        <is>
          <t>the route / lane owns the hull heading (no target steers it)</t>
        </is>
      </c>
      <c r="F35" t="inlineStr">
        <is>
          <t>Assets/MachineBrigade/Scripts/Sim/AI/P5/ReasonCodes.cs:200</t>
        </is>
      </c>
      <c r="G35" t="inlineStr"/>
    </row>
    <row r="36">
      <c r="A36" t="inlineStr">
        <is>
          <t>BOSS_HULL_WEAPON_ALIGNMENT</t>
        </is>
      </c>
      <c r="B36" t="inlineStr">
        <is>
          <t>BOSS</t>
        </is>
      </c>
      <c r="C36" t="inlineStr">
        <is>
          <t>P0C</t>
        </is>
      </c>
      <c r="D36" t="inlineStr"/>
      <c r="E36" t="inlineStr">
        <is>
          <t>a hull-fixed weapon's alignment request granted</t>
        </is>
      </c>
      <c r="F36" t="inlineStr">
        <is>
          <t>Assets/MachineBrigade/Scripts/Sim/AI/P5/ReasonCodes.cs:203</t>
        </is>
      </c>
      <c r="G36" t="inlineStr"/>
    </row>
    <row r="37">
      <c r="A37" t="inlineStr">
        <is>
          <t>BOSS_PATTERN_LEARNT</t>
        </is>
      </c>
      <c r="B37" t="inlineStr">
        <is>
          <t>BOSS</t>
        </is>
      </c>
      <c r="C37" t="inlineStr">
        <is>
          <t>P4</t>
        </is>
      </c>
      <c r="D37" t="inlineStr"/>
      <c r="E37" t="inlineStr">
        <is>
          <t>a follow-up pattern learnt this match</t>
        </is>
      </c>
      <c r="F37" t="inlineStr">
        <is>
          <t>Assets/MachineBrigade/Scripts/Sim/AI/P5/ReasonCodes.cs:211</t>
        </is>
      </c>
      <c r="G37" t="inlineStr"/>
    </row>
    <row r="38">
      <c r="A38" t="inlineStr">
        <is>
          <t>BOSS_PHASE_ROUTE</t>
        </is>
      </c>
      <c r="B38" t="inlineStr">
        <is>
          <t>BOSS</t>
        </is>
      </c>
      <c r="C38" t="inlineStr">
        <is>
          <t>P0C</t>
        </is>
      </c>
      <c r="D38" t="inlineStr"/>
      <c r="E38" t="inlineStr">
        <is>
          <t>a phase began: new route goal, 3 s mission lock</t>
        </is>
      </c>
      <c r="F38" t="inlineStr">
        <is>
          <t>Assets/MachineBrigade/Scripts/Sim/AI/P5/ReasonCodes.cs:207</t>
        </is>
      </c>
      <c r="G38" t="inlineStr"/>
    </row>
    <row r="39">
      <c r="A39" t="inlineStr">
        <is>
          <t>BOSS_PRESSURE_BUDGET_DEFER</t>
        </is>
      </c>
      <c r="B39" t="inlineStr">
        <is>
          <t>BOSS</t>
        </is>
      </c>
      <c r="C39" t="inlineStr">
        <is>
          <t>P4</t>
        </is>
      </c>
      <c r="D39" t="inlineStr"/>
      <c r="E39" t="inlineStr">
        <is>
          <t>a big attack waits for the pressure budget</t>
        </is>
      </c>
      <c r="F39" t="inlineStr">
        <is>
          <t>Assets/MachineBrigade/Scripts/Sim/AI/P5/ReasonCodes.cs:212</t>
        </is>
      </c>
      <c r="G39" t="inlineStr"/>
    </row>
    <row r="40">
      <c r="A40" t="inlineStr">
        <is>
          <t>BOSS_TELEGRAPH_ESCAPE_SECTOR</t>
        </is>
      </c>
      <c r="B40" t="inlineStr">
        <is>
          <t>BOSS</t>
        </is>
      </c>
      <c r="C40" t="inlineStr">
        <is>
          <t>P4</t>
        </is>
      </c>
      <c r="D40" t="inlineStr"/>
      <c r="E40" t="inlineStr">
        <is>
          <t>escape sectors under a telegraphed attack</t>
        </is>
      </c>
      <c r="F40" t="inlineStr">
        <is>
          <t>Assets/MachineBrigade/Scripts/Sim/AI/P5/ReasonCodes.cs:210</t>
        </is>
      </c>
      <c r="G40" t="inlineStr"/>
    </row>
    <row r="41">
      <c r="A41" t="inlineStr">
        <is>
          <t>BOSS_WEAKPOINT_UTILITY</t>
        </is>
      </c>
      <c r="B41" t="inlineStr">
        <is>
          <t>BOSS</t>
        </is>
      </c>
      <c r="C41" t="inlineStr">
        <is>
          <t>P4</t>
        </is>
      </c>
      <c r="D41" t="inlineStr"/>
      <c r="E41" t="inlineStr">
        <is>
          <t>aim at the weakpoint by utility</t>
        </is>
      </c>
      <c r="F41" t="inlineStr">
        <is>
          <t>Assets/MachineBrigade/Scripts/Sim/AI/P5/ReasonCodes.cs:209</t>
        </is>
      </c>
      <c r="G41" t="inlineStr"/>
    </row>
    <row r="42">
      <c r="A42" t="inlineStr">
        <is>
          <t>COMBAT_ACTIVE</t>
        </is>
      </c>
      <c r="B42" t="inlineStr">
        <is>
          <t>COMBAT</t>
        </is>
      </c>
      <c r="C42" t="inlineStr">
        <is>
          <t>P0A</t>
        </is>
      </c>
      <c r="D42" t="inlineStr"/>
      <c r="E42" t="inlineStr">
        <is>
          <t>not idle</t>
        </is>
      </c>
      <c r="F42" t="inlineStr">
        <is>
          <t>Assets/MachineBrigade/Scripts/Sim/AI/P5/ReasonCodes.cs:153</t>
        </is>
      </c>
      <c r="G42" t="inlineStr"/>
    </row>
    <row r="43">
      <c r="A43" t="inlineStr">
        <is>
          <t>COMBAT_FIRING</t>
        </is>
      </c>
      <c r="B43" t="inlineStr">
        <is>
          <t>COMBAT</t>
        </is>
      </c>
      <c r="C43" t="inlineStr">
        <is>
          <t>P0A</t>
        </is>
      </c>
      <c r="D43" t="inlineStr"/>
      <c r="E43" t="inlineStr">
        <is>
          <t>firing</t>
        </is>
      </c>
      <c r="F43" t="inlineStr">
        <is>
          <t>Assets/MachineBrigade/Scripts/Sim/AI/P5/ReasonCodes.cs:154</t>
        </is>
      </c>
      <c r="G43" t="inlineStr"/>
    </row>
    <row r="44">
      <c r="A44" t="inlineStr">
        <is>
          <t>COMBAT_IDLE_AIMING</t>
        </is>
      </c>
      <c r="B44" t="inlineStr">
        <is>
          <t>COMBAT_IDLE</t>
        </is>
      </c>
      <c r="C44" t="inlineStr">
        <is>
          <t>P0A</t>
        </is>
      </c>
      <c r="D44" t="inlineStr"/>
      <c r="E44" t="inlineStr">
        <is>
          <t>aiming</t>
        </is>
      </c>
      <c r="F44" t="inlineStr">
        <is>
          <t>Assets/MachineBrigade/Scripts/Sim/AI/P5/ReasonCodes.cs:174</t>
        </is>
      </c>
      <c r="G44" t="inlineStr"/>
    </row>
    <row r="45">
      <c r="A45" t="inlineStr">
        <is>
          <t>COMBAT_IDLE_BLOCKED_BY_ARC</t>
        </is>
      </c>
      <c r="B45" t="inlineStr">
        <is>
          <t>COMBAT_IDLE</t>
        </is>
      </c>
      <c r="C45" t="inlineStr">
        <is>
          <t>P0A</t>
        </is>
      </c>
      <c r="D45" t="inlineStr"/>
      <c r="E45" t="inlineStr">
        <is>
          <t>outside the mount's arc</t>
        </is>
      </c>
      <c r="F45" t="inlineStr">
        <is>
          <t>Assets/MachineBrigade/Scripts/Sim/AI/P5/ReasonCodes.cs:173</t>
        </is>
      </c>
      <c r="G45" t="inlineStr"/>
    </row>
    <row r="46">
      <c r="A46" t="inlineStr">
        <is>
          <t>COMBAT_IDLE_BLOCKED_BY_FRIEND</t>
        </is>
      </c>
      <c r="B46" t="inlineStr">
        <is>
          <t>COMBAT_IDLE</t>
        </is>
      </c>
      <c r="C46" t="inlineStr">
        <is>
          <t>P0A</t>
        </is>
      </c>
      <c r="D46" t="inlineStr"/>
      <c r="E46" t="inlineStr">
        <is>
          <t>a friend in the line of fire</t>
        </is>
      </c>
      <c r="F46" t="inlineStr">
        <is>
          <t>Assets/MachineBrigade/Scripts/Sim/AI/P5/ReasonCodes.cs:171</t>
        </is>
      </c>
      <c r="G46" t="inlineStr"/>
    </row>
    <row r="47">
      <c r="A47" t="inlineStr">
        <is>
          <t>COMBAT_IDLE_BLOCKED_BY_LOS</t>
        </is>
      </c>
      <c r="B47" t="inlineStr">
        <is>
          <t>COMBAT_IDLE</t>
        </is>
      </c>
      <c r="C47" t="inlineStr">
        <is>
          <t>P0A</t>
        </is>
      </c>
      <c r="D47" t="inlineStr"/>
      <c r="E47" t="inlineStr">
        <is>
          <t>no line of sight</t>
        </is>
      </c>
      <c r="F47" t="inlineStr">
        <is>
          <t>Assets/MachineBrigade/Scripts/Sim/AI/P5/ReasonCodes.cs:172</t>
        </is>
      </c>
      <c r="G47" t="inlineStr"/>
    </row>
    <row r="48">
      <c r="A48" t="inlineStr">
        <is>
          <t>COMBAT_IDLE_BOSS_CONTROLLED</t>
        </is>
      </c>
      <c r="B48" t="inlineStr">
        <is>
          <t>COMBAT_IDLE</t>
        </is>
      </c>
      <c r="C48" t="inlineStr">
        <is>
          <t>P0A</t>
        </is>
      </c>
      <c r="D48" t="inlineStr"/>
      <c r="E48" t="inlineStr">
        <is>
          <t>a boss's laid mount</t>
        </is>
      </c>
      <c r="F48" t="inlineStr">
        <is>
          <t>Assets/MachineBrigade/Scripts/Sim/AI/P5/ReasonCodes.cs:175</t>
        </is>
      </c>
      <c r="G48" t="inlineStr"/>
    </row>
    <row r="49">
      <c r="A49" t="inlineStr">
        <is>
          <t>COMBAT_IDLE_DEPLOYING</t>
        </is>
      </c>
      <c r="B49" t="inlineStr">
        <is>
          <t>COMBAT_IDLE</t>
        </is>
      </c>
      <c r="C49" t="inlineStr">
        <is>
          <t>P0A</t>
        </is>
      </c>
      <c r="D49" t="inlineStr"/>
      <c r="E49" t="inlineStr">
        <is>
          <t>deploying / packing up</t>
        </is>
      </c>
      <c r="F49" t="inlineStr">
        <is>
          <t>Assets/MachineBrigade/Scripts/Sim/AI/P5/ReasonCodes.cs:160</t>
        </is>
      </c>
      <c r="G49" t="inlineStr"/>
    </row>
    <row r="50">
      <c r="A50" t="inlineStr">
        <is>
          <t>COMBAT_IDLE_DISABLED</t>
        </is>
      </c>
      <c r="B50" t="inlineStr">
        <is>
          <t>COMBAT_IDLE</t>
        </is>
      </c>
      <c r="C50" t="inlineStr">
        <is>
          <t>P0A</t>
        </is>
      </c>
      <c r="D50" t="inlineStr"/>
      <c r="E50" t="inlineStr">
        <is>
          <t>stunned / disabled</t>
        </is>
      </c>
      <c r="F50" t="inlineStr">
        <is>
          <t>Assets/MachineBrigade/Scripts/Sim/AI/P5/ReasonCodes.cs:158</t>
        </is>
      </c>
      <c r="G50" t="inlineStr"/>
    </row>
    <row r="51">
      <c r="A51" t="inlineStr">
        <is>
          <t>COMBAT_IDLE_DISABLED_MAIN_WEAPON</t>
        </is>
      </c>
      <c r="B51" t="inlineStr">
        <is>
          <t>COMBAT_IDLE</t>
        </is>
      </c>
      <c r="C51" t="inlineStr">
        <is>
          <t>P0A</t>
        </is>
      </c>
      <c r="D51" t="inlineStr"/>
      <c r="E51" t="inlineStr">
        <is>
          <t>main weapon broken</t>
        </is>
      </c>
      <c r="F51" t="inlineStr">
        <is>
          <t>Assets/MachineBrigade/Scripts/Sim/AI/P5/ReasonCodes.cs:159</t>
        </is>
      </c>
      <c r="G51" t="inlineStr"/>
    </row>
    <row r="52">
      <c r="A52" t="inlineStr">
        <is>
          <t>COMBAT_IDLE_GUARD_POST</t>
        </is>
      </c>
      <c r="B52" t="inlineStr">
        <is>
          <t>COMBAT_IDLE</t>
        </is>
      </c>
      <c r="C52" t="inlineStr">
        <is>
          <t>P0A</t>
        </is>
      </c>
      <c r="D52" t="inlineStr"/>
      <c r="E52" t="inlineStr">
        <is>
          <t>guard post</t>
        </is>
      </c>
      <c r="F52" t="inlineStr">
        <is>
          <t>Assets/MachineBrigade/Scripts/Sim/AI/P5/ReasonCodes.cs:166</t>
        </is>
      </c>
      <c r="G52" t="inlineStr"/>
    </row>
    <row r="53">
      <c r="A53" t="inlineStr">
        <is>
          <t>COMBAT_IDLE_HOLD_FIRE_AMBUSH</t>
        </is>
      </c>
      <c r="B53" t="inlineStr">
        <is>
          <t>COMBAT_IDLE</t>
        </is>
      </c>
      <c r="C53" t="inlineStr">
        <is>
          <t>P0A</t>
        </is>
      </c>
      <c r="D53" t="inlineStr"/>
      <c r="E53" t="inlineStr">
        <is>
          <t>ambush discipline</t>
        </is>
      </c>
      <c r="F53" t="inlineStr">
        <is>
          <t>Assets/MachineBrigade/Scripts/Sim/AI/P5/ReasonCodes.cs:162</t>
        </is>
      </c>
      <c r="G53" t="inlineStr"/>
    </row>
    <row r="54">
      <c r="A54" t="inlineStr">
        <is>
          <t>COMBAT_IDLE_HOLD_FIRE_ORDER</t>
        </is>
      </c>
      <c r="B54" t="inlineStr">
        <is>
          <t>COMBAT_IDLE</t>
        </is>
      </c>
      <c r="C54" t="inlineStr">
        <is>
          <t>P0A</t>
        </is>
      </c>
      <c r="D54" t="inlineStr"/>
      <c r="E54" t="inlineStr">
        <is>
          <t>hold-fire order</t>
        </is>
      </c>
      <c r="F54" t="inlineStr">
        <is>
          <t>Assets/MachineBrigade/Scripts/Sim/AI/P5/ReasonCodes.cs:161</t>
        </is>
      </c>
      <c r="G54" t="inlineStr"/>
    </row>
    <row r="55">
      <c r="A55" t="inlineStr">
        <is>
          <t>COMBAT_IDLE_NO_REACHABLE_TARGET</t>
        </is>
      </c>
      <c r="B55" t="inlineStr">
        <is>
          <t>COMBAT_IDLE</t>
        </is>
      </c>
      <c r="C55" t="inlineStr">
        <is>
          <t>P0A</t>
        </is>
      </c>
      <c r="D55" t="inlineStr"/>
      <c r="E55" t="inlineStr">
        <is>
          <t>nothing reachable</t>
        </is>
      </c>
      <c r="F55" t="inlineStr">
        <is>
          <t>Assets/MachineBrigade/Scripts/Sim/AI/P5/ReasonCodes.cs:169</t>
        </is>
      </c>
      <c r="G55" t="inlineStr"/>
    </row>
    <row r="56">
      <c r="A56" t="inlineStr">
        <is>
          <t>COMBAT_IDLE_NO_VALID_WEAPON_TARGET</t>
        </is>
      </c>
      <c r="B56" t="inlineStr">
        <is>
          <t>COMBAT_IDLE</t>
        </is>
      </c>
      <c r="C56" t="inlineStr">
        <is>
          <t>P0A</t>
        </is>
      </c>
      <c r="D56" t="inlineStr"/>
      <c r="E56" t="inlineStr">
        <is>
          <t>nothing its weapons can hit</t>
        </is>
      </c>
      <c r="F56" t="inlineStr">
        <is>
          <t>Assets/MachineBrigade/Scripts/Sim/AI/P5/ReasonCodes.cs:168</t>
        </is>
      </c>
      <c r="G56" t="inlineStr"/>
    </row>
    <row r="57">
      <c r="A57" t="inlineStr">
        <is>
          <t>COMBAT_IDLE_OBJECTIVE_HOLD</t>
        </is>
      </c>
      <c r="B57" t="inlineStr">
        <is>
          <t>COMBAT_IDLE</t>
        </is>
      </c>
      <c r="C57" t="inlineStr">
        <is>
          <t>P0A</t>
        </is>
      </c>
      <c r="D57" t="inlineStr"/>
      <c r="E57" t="inlineStr">
        <is>
          <t>holding an objective</t>
        </is>
      </c>
      <c r="F57" t="inlineStr">
        <is>
          <t>Assets/MachineBrigade/Scripts/Sim/AI/P5/ReasonCodes.cs:163</t>
        </is>
      </c>
      <c r="G57" t="inlineStr"/>
    </row>
    <row r="58">
      <c r="A58" t="inlineStr">
        <is>
          <t>COMBAT_IDLE_RELOADING</t>
        </is>
      </c>
      <c r="B58" t="inlineStr">
        <is>
          <t>COMBAT_IDLE</t>
        </is>
      </c>
      <c r="C58" t="inlineStr">
        <is>
          <t>P0A</t>
        </is>
      </c>
      <c r="D58" t="inlineStr"/>
      <c r="E58" t="inlineStr">
        <is>
          <t>reloading</t>
        </is>
      </c>
      <c r="F58" t="inlineStr">
        <is>
          <t>Assets/MachineBrigade/Scripts/Sim/AI/P5/ReasonCodes.cs:156</t>
        </is>
      </c>
      <c r="G58" t="inlineStr"/>
    </row>
    <row r="59">
      <c r="A59" t="inlineStr">
        <is>
          <t>COMBAT_IDLE_SPOTTING</t>
        </is>
      </c>
      <c r="B59" t="inlineStr">
        <is>
          <t>COMBAT_IDLE</t>
        </is>
      </c>
      <c r="C59" t="inlineStr">
        <is>
          <t>P0A</t>
        </is>
      </c>
      <c r="D59" t="inlineStr"/>
      <c r="E59" t="inlineStr">
        <is>
          <t>a recon / support role watching</t>
        </is>
      </c>
      <c r="F59" t="inlineStr">
        <is>
          <t>Assets/MachineBrigade/Scripts/Sim/AI/P5/ReasonCodes.cs:167</t>
        </is>
      </c>
      <c r="G59" t="inlineStr"/>
    </row>
    <row r="60">
      <c r="A60" t="inlineStr">
        <is>
          <t>COMBAT_IDLE_STALE_AIM</t>
        </is>
      </c>
      <c r="B60" t="inlineStr">
        <is>
          <t>COMBAT_IDLE</t>
        </is>
      </c>
      <c r="C60" t="inlineStr">
        <is>
          <t>P0A</t>
        </is>
      </c>
      <c r="D60" t="inlineStr"/>
      <c r="E60" t="inlineStr">
        <is>
          <t>target and ready weapon but no shot (anomaly, recovered)</t>
        </is>
      </c>
      <c r="F60" t="inlineStr">
        <is>
          <t>Assets/MachineBrigade/Scripts/Sim/AI/P5/ReasonCodes.cs:176</t>
        </is>
      </c>
      <c r="G60" t="inlineStr"/>
    </row>
    <row r="61">
      <c r="A61" t="inlineStr">
        <is>
          <t>COMBAT_IDLE_UNEXPLAINED</t>
        </is>
      </c>
      <c r="B61" t="inlineStr">
        <is>
          <t>COMBAT_IDLE</t>
        </is>
      </c>
      <c r="C61" t="inlineStr">
        <is>
          <t>P0A</t>
        </is>
      </c>
      <c r="D61" t="inlineStr"/>
      <c r="E61" t="inlineStr">
        <is>
          <t>no reason found: the bug Part C2 forbids (recovered)</t>
        </is>
      </c>
      <c r="F61" t="inlineStr">
        <is>
          <t>Assets/MachineBrigade/Scripts/Sim/AI/P5/ReasonCodes.cs:177</t>
        </is>
      </c>
      <c r="G61" t="inlineStr"/>
    </row>
    <row r="62">
      <c r="A62" t="inlineStr">
        <is>
          <t>COMBAT_IDLE_WAITING_FIRE_MISSION</t>
        </is>
      </c>
      <c r="B62" t="inlineStr">
        <is>
          <t>COMBAT_IDLE</t>
        </is>
      </c>
      <c r="C62" t="inlineStr">
        <is>
          <t>P0A</t>
        </is>
      </c>
      <c r="D62" t="inlineStr"/>
      <c r="E62" t="inlineStr">
        <is>
          <t>waiting for a fire mission</t>
        </is>
      </c>
      <c r="F62" t="inlineStr">
        <is>
          <t>Assets/MachineBrigade/Scripts/Sim/AI/P5/ReasonCodes.cs:165</t>
        </is>
      </c>
      <c r="G62" t="inlineStr"/>
    </row>
    <row r="63">
      <c r="A63" t="inlineStr">
        <is>
          <t>COMBAT_IDLE_WAITING_FORMATION</t>
        </is>
      </c>
      <c r="B63" t="inlineStr">
        <is>
          <t>COMBAT_IDLE</t>
        </is>
      </c>
      <c r="C63" t="inlineStr">
        <is>
          <t>P0A</t>
        </is>
      </c>
      <c r="D63" t="inlineStr"/>
      <c r="E63" t="inlineStr">
        <is>
          <t>waiting for the formation</t>
        </is>
      </c>
      <c r="F63" t="inlineStr">
        <is>
          <t>Assets/MachineBrigade/Scripts/Sim/AI/P5/ReasonCodes.cs:164</t>
        </is>
      </c>
      <c r="G63" t="inlineStr"/>
    </row>
    <row r="64">
      <c r="A64" t="inlineStr">
        <is>
          <t>COMBAT_IDLE_WAITING_MIN_RANGE</t>
        </is>
      </c>
      <c r="B64" t="inlineStr">
        <is>
          <t>COMBAT_IDLE</t>
        </is>
      </c>
      <c r="C64" t="inlineStr">
        <is>
          <t>P0A</t>
        </is>
      </c>
      <c r="D64" t="inlineStr"/>
      <c r="E64" t="inlineStr">
        <is>
          <t>target inside the minimum range</t>
        </is>
      </c>
      <c r="F64" t="inlineStr">
        <is>
          <t>Assets/MachineBrigade/Scripts/Sim/AI/P5/ReasonCodes.cs:170</t>
        </is>
      </c>
      <c r="G64" t="inlineStr"/>
    </row>
    <row r="65">
      <c r="A65" t="inlineStr">
        <is>
          <t>COMBAT_IDLE_WAITING_RESUPPLY</t>
        </is>
      </c>
      <c r="B65" t="inlineStr">
        <is>
          <t>COMBAT_IDLE</t>
        </is>
      </c>
      <c r="C65" t="inlineStr">
        <is>
          <t>P0A</t>
        </is>
      </c>
      <c r="D65" t="inlineStr"/>
      <c r="E65" t="inlineStr">
        <is>
          <t>out of ammunition, waiting for resupply</t>
        </is>
      </c>
      <c r="F65" t="inlineStr">
        <is>
          <t>Assets/MachineBrigade/Scripts/Sim/AI/P5/ReasonCodes.cs:157</t>
        </is>
      </c>
      <c r="G65" t="inlineStr"/>
    </row>
    <row r="66">
      <c r="A66" t="inlineStr">
        <is>
          <t>COMBAT_MOVING</t>
        </is>
      </c>
      <c r="B66" t="inlineStr">
        <is>
          <t>COMBAT</t>
        </is>
      </c>
      <c r="C66" t="inlineStr">
        <is>
          <t>P0A</t>
        </is>
      </c>
      <c r="D66" t="inlineStr"/>
      <c r="E66" t="inlineStr">
        <is>
          <t>moving</t>
        </is>
      </c>
      <c r="F66" t="inlineStr">
        <is>
          <t>Assets/MachineBrigade/Scripts/Sim/AI/P5/ReasonCodes.cs:155</t>
        </is>
      </c>
      <c r="G66" t="inlineStr"/>
    </row>
    <row r="67">
      <c r="A67" t="inlineStr">
        <is>
          <t>FORMATION_CHOKE_PACKETS</t>
        </is>
      </c>
      <c r="B67" t="inlineStr">
        <is>
          <t>FORMATION</t>
        </is>
      </c>
      <c r="C67" t="inlineStr">
        <is>
          <t>P2</t>
        </is>
      </c>
      <c r="D67" t="inlineStr"/>
      <c r="E67" t="inlineStr">
        <is>
          <t>through the choke in packets</t>
        </is>
      </c>
      <c r="F67" t="inlineStr">
        <is>
          <t>Assets/MachineBrigade/Scripts/Sim/AI/P5/ReasonCodes.cs:186</t>
        </is>
      </c>
      <c r="G67" t="inlineStr"/>
    </row>
    <row r="68">
      <c r="A68" t="inlineStr">
        <is>
          <t>FORMATION_CHOKE_TRAVEL</t>
        </is>
      </c>
      <c r="B68" t="inlineStr">
        <is>
          <t>FORMATION</t>
        </is>
      </c>
      <c r="C68" t="inlineStr">
        <is>
          <t>P2</t>
        </is>
      </c>
      <c r="D68" t="inlineStr"/>
      <c r="E68" t="inlineStr">
        <is>
          <t>choke ahead: travel column</t>
        </is>
      </c>
      <c r="F68" t="inlineStr">
        <is>
          <t>Assets/MachineBrigade/Scripts/Sim/AI/P5/ReasonCodes.cs:180</t>
        </is>
      </c>
      <c r="G68" t="inlineStr"/>
    </row>
    <row r="69">
      <c r="A69" t="inlineStr">
        <is>
          <t>FORMATION_DISPERSE_HOLD</t>
        </is>
      </c>
      <c r="B69" t="inlineStr">
        <is>
          <t>FORMATION</t>
        </is>
      </c>
      <c r="C69" t="inlineStr">
        <is>
          <t>P3</t>
        </is>
      </c>
      <c r="D69" t="inlineStr"/>
      <c r="E69" t="inlineStr">
        <is>
          <t>dispersed hold against artillery</t>
        </is>
      </c>
      <c r="F69" t="inlineStr">
        <is>
          <t>Assets/MachineBrigade/Scripts/Sim/AI/P5/ReasonCodes.cs:187</t>
        </is>
      </c>
      <c r="G69" t="inlineStr"/>
    </row>
    <row r="70">
      <c r="A70" t="inlineStr">
        <is>
          <t>FORMATION_FLANK_OPEN</t>
        </is>
      </c>
      <c r="B70" t="inlineStr">
        <is>
          <t>FORMATION</t>
        </is>
      </c>
      <c r="C70" t="inlineStr">
        <is>
          <t>P2</t>
        </is>
      </c>
      <c r="D70" t="inlineStr"/>
      <c r="E70" t="inlineStr">
        <is>
          <t>flank: open order</t>
        </is>
      </c>
      <c r="F70" t="inlineStr">
        <is>
          <t>Assets/MachineBrigade/Scripts/Sim/AI/P5/ReasonCodes.cs:183</t>
        </is>
      </c>
      <c r="G70" t="inlineStr"/>
    </row>
    <row r="71">
      <c r="A71" t="inlineStr">
        <is>
          <t>FORMATION_LOW_COHESION_REGROUP</t>
        </is>
      </c>
      <c r="B71" t="inlineStr">
        <is>
          <t>FORMATION</t>
        </is>
      </c>
      <c r="C71" t="inlineStr">
        <is>
          <t>P2</t>
        </is>
      </c>
      <c r="D71" t="inlineStr"/>
      <c r="E71" t="inlineStr">
        <is>
          <t>low cohesion: regroup</t>
        </is>
      </c>
      <c r="F71" t="inlineStr">
        <is>
          <t>Assets/MachineBrigade/Scripts/Sim/AI/P5/ReasonCodes.cs:184</t>
        </is>
      </c>
      <c r="G71" t="inlineStr"/>
    </row>
    <row r="72">
      <c r="A72" t="inlineStr">
        <is>
          <t>FORMATION_SPLASH_SPREAD</t>
        </is>
      </c>
      <c r="B72" t="inlineStr">
        <is>
          <t>FORMATION</t>
        </is>
      </c>
      <c r="C72" t="inlineStr">
        <is>
          <t>P2</t>
        </is>
      </c>
      <c r="D72" t="inlineStr"/>
      <c r="E72" t="inlineStr">
        <is>
          <t>splash threat: spread</t>
        </is>
      </c>
      <c r="F72" t="inlineStr">
        <is>
          <t>Assets/MachineBrigade/Scripts/Sim/AI/P5/ReasonCodes.cs:181</t>
        </is>
      </c>
      <c r="G72" t="inlineStr"/>
    </row>
    <row r="73">
      <c r="A73" t="inlineStr">
        <is>
          <t>FORMATION_STATE</t>
        </is>
      </c>
      <c r="B73" t="inlineStr">
        <is>
          <t>FORMATION</t>
        </is>
      </c>
      <c r="C73" t="inlineStr">
        <is>
          <t>P2</t>
        </is>
      </c>
      <c r="D73" t="inlineStr"/>
      <c r="E73" t="inlineStr">
        <is>
          <t>formation state change</t>
        </is>
      </c>
      <c r="F73" t="inlineStr">
        <is>
          <t>Assets/MachineBrigade/Scripts/Sim/AI/P5/ReasonCodes.cs:185</t>
        </is>
      </c>
      <c r="G73" t="inlineStr"/>
    </row>
    <row r="74">
      <c r="A74" t="inlineStr">
        <is>
          <t>FORMATION_STATIC_HOLD</t>
        </is>
      </c>
      <c r="B74" t="inlineStr">
        <is>
          <t>FORMATION</t>
        </is>
      </c>
      <c r="C74" t="inlineStr">
        <is>
          <t>P2</t>
        </is>
      </c>
      <c r="D74" t="inlineStr"/>
      <c r="E74" t="inlineStr">
        <is>
          <t>static defence: hold</t>
        </is>
      </c>
      <c r="F74" t="inlineStr">
        <is>
          <t>Assets/MachineBrigade/Scripts/Sim/AI/P5/ReasonCodes.cs:182</t>
        </is>
      </c>
      <c r="G74" t="inlineStr"/>
    </row>
    <row r="75">
      <c r="A75" t="inlineStr">
        <is>
          <t>JAM_CHOKE_QUEUE</t>
        </is>
      </c>
      <c r="B75" t="inlineStr">
        <is>
          <t>JAM</t>
        </is>
      </c>
      <c r="C75" t="inlineStr">
        <is>
          <t>P1</t>
        </is>
      </c>
      <c r="D75" t="inlineStr"/>
      <c r="E75" t="inlineStr">
        <is>
          <t>waiting in a choke queue</t>
        </is>
      </c>
      <c r="F75" t="inlineStr">
        <is>
          <t>Assets/MachineBrigade/Scripts/Sim/AI/P5/ReasonCodes.cs:146</t>
        </is>
      </c>
      <c r="G75" t="inlineStr"/>
    </row>
    <row r="76">
      <c r="A76" t="inlineStr">
        <is>
          <t>JAM_CORRIDOR_ALTERNATIVE</t>
        </is>
      </c>
      <c r="B76" t="inlineStr">
        <is>
          <t>JAM</t>
        </is>
      </c>
      <c r="C76" t="inlineStr">
        <is>
          <t>P1</t>
        </is>
      </c>
      <c r="D76" t="inlineStr"/>
      <c r="E76" t="inlineStr">
        <is>
          <t>stage 4: an alternative corridor</t>
        </is>
      </c>
      <c r="F76" t="inlineStr">
        <is>
          <t>Assets/MachineBrigade/Scripts/Sim/AI/P5/ReasonCodes.cs:140</t>
        </is>
      </c>
      <c r="G76" t="inlineStr"/>
    </row>
    <row r="77">
      <c r="A77" t="inlineStr">
        <is>
          <t>JAM_CORRIDOR_NO_ALTERNATIVE</t>
        </is>
      </c>
      <c r="B77" t="inlineStr">
        <is>
          <t>JAM</t>
        </is>
      </c>
      <c r="C77" t="inlineStr">
        <is>
          <t>P1</t>
        </is>
      </c>
      <c r="D77" t="inlineStr"/>
      <c r="E77" t="inlineStr">
        <is>
          <t>stage 4: no alternative corridor</t>
        </is>
      </c>
      <c r="F77" t="inlineStr">
        <is>
          <t>Assets/MachineBrigade/Scripts/Sim/AI/P5/ReasonCodes.cs:141</t>
        </is>
      </c>
      <c r="G77" t="inlineStr"/>
    </row>
    <row r="78">
      <c r="A78" t="inlineStr">
        <is>
          <t>JAM_CORRIDOR_REPLAN</t>
        </is>
      </c>
      <c r="B78" t="inlineStr">
        <is>
          <t>JAM</t>
        </is>
      </c>
      <c r="C78" t="inlineStr">
        <is>
          <t>P1</t>
        </is>
      </c>
      <c r="D78" t="inlineStr"/>
      <c r="E78" t="inlineStr">
        <is>
          <t>stage 4 corridor replan</t>
        </is>
      </c>
      <c r="F78" t="inlineStr">
        <is>
          <t>Assets/MachineBrigade/Scripts/Sim/AI/P5/ReasonCodes.cs:139</t>
        </is>
      </c>
      <c r="G78" t="inlineStr"/>
    </row>
    <row r="79">
      <c r="A79" t="inlineStr">
        <is>
          <t>JAM_EMERGENCY</t>
        </is>
      </c>
      <c r="B79" t="inlineStr">
        <is>
          <t>JAM</t>
        </is>
      </c>
      <c r="C79" t="inlineStr">
        <is>
          <t>P1</t>
        </is>
      </c>
      <c r="D79" t="inlineStr"/>
      <c r="E79" t="inlineStr">
        <is>
          <t>stage 5 emergency unjam</t>
        </is>
      </c>
      <c r="F79" t="inlineStr">
        <is>
          <t>Assets/MachineBrigade/Scripts/Sim/AI/P5/ReasonCodes.cs:142</t>
        </is>
      </c>
      <c r="G79" t="inlineStr"/>
    </row>
    <row r="80">
      <c r="A80" t="inlineStr">
        <is>
          <t>JAM_EMERGENCY_ALTERNATE</t>
        </is>
      </c>
      <c r="B80" t="inlineStr">
        <is>
          <t>JAM</t>
        </is>
      </c>
      <c r="C80" t="inlineStr">
        <is>
          <t>P1</t>
        </is>
      </c>
      <c r="D80" t="inlineStr"/>
      <c r="E80" t="inlineStr">
        <is>
          <t>stage 5: alternate goal</t>
        </is>
      </c>
      <c r="F80" t="inlineStr">
        <is>
          <t>Assets/MachineBrigade/Scripts/Sim/AI/P5/ReasonCodes.cs:144</t>
        </is>
      </c>
      <c r="G80" t="inlineStr"/>
    </row>
    <row r="81">
      <c r="A81" t="inlineStr">
        <is>
          <t>JAM_EMERGENCY_REPLAN</t>
        </is>
      </c>
      <c r="B81" t="inlineStr">
        <is>
          <t>JAM</t>
        </is>
      </c>
      <c r="C81" t="inlineStr">
        <is>
          <t>P1</t>
        </is>
      </c>
      <c r="D81" t="inlineStr"/>
      <c r="E81" t="inlineStr">
        <is>
          <t>stage 5: full replan</t>
        </is>
      </c>
      <c r="F81" t="inlineStr">
        <is>
          <t>Assets/MachineBrigade/Scripts/Sim/AI/P5/ReasonCodes.cs:145</t>
        </is>
      </c>
      <c r="G81" t="inlineStr"/>
    </row>
    <row r="82">
      <c r="A82" t="inlineStr">
        <is>
          <t>JAM_EMERGENCY_REVERSE</t>
        </is>
      </c>
      <c r="B82" t="inlineStr">
        <is>
          <t>JAM</t>
        </is>
      </c>
      <c r="C82" t="inlineStr">
        <is>
          <t>P1</t>
        </is>
      </c>
      <c r="D82" t="inlineStr"/>
      <c r="E82" t="inlineStr">
        <is>
          <t>stage 5: reverse out</t>
        </is>
      </c>
      <c r="F82" t="inlineStr">
        <is>
          <t>Assets/MachineBrigade/Scripts/Sim/AI/P5/ReasonCodes.cs:143</t>
        </is>
      </c>
      <c r="G82" t="inlineStr"/>
    </row>
    <row r="83">
      <c r="A83" t="inlineStr">
        <is>
          <t>JAM_FAILSAFE_GHOST</t>
        </is>
      </c>
      <c r="B83" t="inlineStr">
        <is>
          <t>JAM</t>
        </is>
      </c>
      <c r="C83" t="inlineStr">
        <is>
          <t>P1</t>
        </is>
      </c>
      <c r="D83" t="inlineStr"/>
      <c r="E83" t="inlineStr">
        <is>
          <t>fail-safe: collision ghosting</t>
        </is>
      </c>
      <c r="F83" t="inlineStr">
        <is>
          <t>Assets/MachineBrigade/Scripts/Sim/AI/P5/ReasonCodes.cs:147</t>
        </is>
      </c>
      <c r="G83" t="inlineStr"/>
    </row>
    <row r="84">
      <c r="A84" t="inlineStr">
        <is>
          <t>JAM_LOCAL_REPLAN</t>
        </is>
      </c>
      <c r="B84" t="inlineStr">
        <is>
          <t>JAM</t>
        </is>
      </c>
      <c r="C84" t="inlineStr">
        <is>
          <t>P1</t>
        </is>
      </c>
      <c r="D84" t="inlineStr"/>
      <c r="E84" t="inlineStr">
        <is>
          <t>stage 2 local replan</t>
        </is>
      </c>
      <c r="F84" t="inlineStr">
        <is>
          <t>Assets/MachineBrigade/Scripts/Sim/AI/P5/ReasonCodes.cs:134</t>
        </is>
      </c>
      <c r="G84" t="inlineStr"/>
    </row>
    <row r="85">
      <c r="A85" t="inlineStr">
        <is>
          <t>JAM_NONE</t>
        </is>
      </c>
      <c r="B85" t="inlineStr">
        <is>
          <t>JAM</t>
        </is>
      </c>
      <c r="C85" t="inlineStr">
        <is>
          <t>P1</t>
        </is>
      </c>
      <c r="D85" t="inlineStr"/>
      <c r="E85" t="inlineStr">
        <is>
          <t>no jam</t>
        </is>
      </c>
      <c r="F85" t="inlineStr">
        <is>
          <t>Assets/MachineBrigade/Scripts/Sim/AI/P5/ReasonCodes.cs:131</t>
        </is>
      </c>
      <c r="G85" t="inlineStr"/>
    </row>
    <row r="86">
      <c r="A86" t="inlineStr">
        <is>
          <t>JAM_SOFT</t>
        </is>
      </c>
      <c r="B86" t="inlineStr">
        <is>
          <t>JAM</t>
        </is>
      </c>
      <c r="C86" t="inlineStr">
        <is>
          <t>P1</t>
        </is>
      </c>
      <c r="D86" t="inlineStr"/>
      <c r="E86" t="inlineStr">
        <is>
          <t>stage 1 soft jam</t>
        </is>
      </c>
      <c r="F86" t="inlineStr">
        <is>
          <t>Assets/MachineBrigade/Scripts/Sim/AI/P5/ReasonCodes.cs:132</t>
        </is>
      </c>
      <c r="G86" t="inlineStr"/>
    </row>
    <row r="87">
      <c r="A87" t="inlineStr">
        <is>
          <t>JAM_SOFT_SIDESTEP</t>
        </is>
      </c>
      <c r="B87" t="inlineStr">
        <is>
          <t>JAM</t>
        </is>
      </c>
      <c r="C87" t="inlineStr">
        <is>
          <t>P1</t>
        </is>
      </c>
      <c r="D87" t="inlineStr"/>
      <c r="E87" t="inlineStr">
        <is>
          <t>stage 1: deterministic side-step</t>
        </is>
      </c>
      <c r="F87" t="inlineStr">
        <is>
          <t>Assets/MachineBrigade/Scripts/Sim/AI/P5/ReasonCodes.cs:133</t>
        </is>
      </c>
      <c r="G87" t="inlineStr"/>
    </row>
    <row r="88">
      <c r="A88" t="inlineStr">
        <is>
          <t>JAM_YIELD</t>
        </is>
      </c>
      <c r="B88" t="inlineStr">
        <is>
          <t>JAM</t>
        </is>
      </c>
      <c r="C88" t="inlineStr">
        <is>
          <t>P1</t>
        </is>
      </c>
      <c r="D88" t="inlineStr"/>
      <c r="E88" t="inlineStr">
        <is>
          <t>stage 3 yield by priority</t>
        </is>
      </c>
      <c r="F88" t="inlineStr">
        <is>
          <t>Assets/MachineBrigade/Scripts/Sim/AI/P5/ReasonCodes.cs:135</t>
        </is>
      </c>
      <c r="G88" t="inlineStr"/>
    </row>
    <row r="89">
      <c r="A89" t="inlineStr">
        <is>
          <t>JAM_YIELD_BOSSES</t>
        </is>
      </c>
      <c r="B89" t="inlineStr">
        <is>
          <t>JAM</t>
        </is>
      </c>
      <c r="C89" t="inlineStr">
        <is>
          <t>P1</t>
        </is>
      </c>
      <c r="D89" t="inlineStr"/>
      <c r="E89" t="inlineStr">
        <is>
          <t>stage 3: a boss never yields</t>
        </is>
      </c>
      <c r="F89" t="inlineStr">
        <is>
          <t>Assets/MachineBrigade/Scripts/Sim/AI/P5/ReasonCodes.cs:138</t>
        </is>
      </c>
      <c r="G89" t="inlineStr"/>
    </row>
    <row r="90">
      <c r="A90" t="inlineStr">
        <is>
          <t>JAM_YIELD_GATHERING</t>
        </is>
      </c>
      <c r="B90" t="inlineStr">
        <is>
          <t>JAM</t>
        </is>
      </c>
      <c r="C90" t="inlineStr">
        <is>
          <t>P1</t>
        </is>
      </c>
      <c r="D90" t="inlineStr"/>
      <c r="E90" t="inlineStr">
        <is>
          <t>stage 3: the squad is gathering</t>
        </is>
      </c>
      <c r="F90" t="inlineStr">
        <is>
          <t>Assets/MachineBrigade/Scripts/Sim/AI/P5/ReasonCodes.cs:137</t>
        </is>
      </c>
      <c r="G90" t="inlineStr"/>
    </row>
    <row r="91">
      <c r="A91" t="inlineStr">
        <is>
          <t>JAM_YIELD_NO_FRIEND</t>
        </is>
      </c>
      <c r="B91" t="inlineStr">
        <is>
          <t>JAM</t>
        </is>
      </c>
      <c r="C91" t="inlineStr">
        <is>
          <t>P1</t>
        </is>
      </c>
      <c r="D91" t="inlineStr"/>
      <c r="E91" t="inlineStr">
        <is>
          <t>stage 3: no friend to yield to</t>
        </is>
      </c>
      <c r="F91" t="inlineStr">
        <is>
          <t>Assets/MachineBrigade/Scripts/Sim/AI/P5/ReasonCodes.cs:136</t>
        </is>
      </c>
      <c r="G91" t="inlineStr"/>
    </row>
    <row r="92">
      <c r="A92" t="inlineStr">
        <is>
          <t>MODE_DEFEND_NO_CHASE</t>
        </is>
      </c>
      <c r="B92" t="inlineStr">
        <is>
          <t>MODE</t>
        </is>
      </c>
      <c r="C92" t="inlineStr">
        <is>
          <t>P2</t>
        </is>
      </c>
      <c r="D92" t="inlineStr"/>
      <c r="E92" t="inlineStr">
        <is>
          <t>defend doctrine: no chase</t>
        </is>
      </c>
      <c r="F92" t="inlineStr">
        <is>
          <t>Assets/MachineBrigade/Scripts/Sim/AI/P5/ReasonCodes.cs:193</t>
        </is>
      </c>
      <c r="G92" t="inlineStr"/>
    </row>
    <row r="93">
      <c r="A93" t="inlineStr">
        <is>
          <t>MODE_DOCTRINE</t>
        </is>
      </c>
      <c r="B93" t="inlineStr">
        <is>
          <t>MODE</t>
        </is>
      </c>
      <c r="C93" t="inlineStr">
        <is>
          <t>P2</t>
        </is>
      </c>
      <c r="D93" t="inlineStr"/>
      <c r="E93" t="inlineStr">
        <is>
          <t>the mode doctrine resolved</t>
        </is>
      </c>
      <c r="F93" t="inlineStr">
        <is>
          <t>Assets/MachineBrigade/Scripts/Sim/AI/P5/ReasonCodes.cs:190</t>
        </is>
      </c>
      <c r="G93" t="inlineStr"/>
    </row>
    <row r="94">
      <c r="A94" t="inlineStr">
        <is>
          <t>MODE_DOCTRINE_FALLBACK</t>
        </is>
      </c>
      <c r="B94" t="inlineStr">
        <is>
          <t>MODE</t>
        </is>
      </c>
      <c r="C94" t="inlineStr">
        <is>
          <t>P2</t>
        </is>
      </c>
      <c r="D94" t="inlineStr"/>
      <c r="E94" t="inlineStr">
        <is>
          <t>unknown mode: BalancedObjectiveDoctrine</t>
        </is>
      </c>
      <c r="F94" t="inlineStr">
        <is>
          <t>Assets/MachineBrigade/Scripts/Sim/AI/P5/ReasonCodes.cs:191</t>
        </is>
      </c>
      <c r="G94" t="inlineStr"/>
    </row>
    <row r="95">
      <c r="A95" t="inlineStr">
        <is>
          <t>MODE_LEASH</t>
        </is>
      </c>
      <c r="B95" t="inlineStr">
        <is>
          <t>MODE</t>
        </is>
      </c>
      <c r="C95" t="inlineStr">
        <is>
          <t>P2</t>
        </is>
      </c>
      <c r="D95" t="inlineStr"/>
      <c r="E95" t="inlineStr">
        <is>
          <t>the mode's pursuit leash</t>
        </is>
      </c>
      <c r="F95" t="inlineStr">
        <is>
          <t>Assets/MachineBrigade/Scripts/Sim/AI/P5/ReasonCodes.cs:194</t>
        </is>
      </c>
      <c r="G95" t="inlineStr"/>
    </row>
    <row r="96">
      <c r="A96" t="inlineStr">
        <is>
          <t>MODE_PHASE_REBUILD</t>
        </is>
      </c>
      <c r="B96" t="inlineStr">
        <is>
          <t>MODE</t>
        </is>
      </c>
      <c r="C96" t="inlineStr">
        <is>
          <t>P2</t>
        </is>
      </c>
      <c r="D96" t="inlineStr"/>
      <c r="E96" t="inlineStr">
        <is>
          <t>a phase change rebuilt anchors and priorities</t>
        </is>
      </c>
      <c r="F96" t="inlineStr">
        <is>
          <t>Assets/MachineBrigade/Scripts/Sim/AI/P5/ReasonCodes.cs:192</t>
        </is>
      </c>
      <c r="G96" t="inlineStr"/>
    </row>
    <row r="97">
      <c r="A97" t="inlineStr">
        <is>
          <t>MODE_RECON_QUIET</t>
        </is>
      </c>
      <c r="B97" t="inlineStr">
        <is>
          <t>MODE</t>
        </is>
      </c>
      <c r="C97" t="inlineStr">
        <is>
          <t>P2</t>
        </is>
      </c>
      <c r="D97" t="inlineStr"/>
      <c r="E97" t="inlineStr">
        <is>
          <t>recon stays quiet</t>
        </is>
      </c>
      <c r="F97" t="inlineStr">
        <is>
          <t>Assets/MachineBrigade/Scripts/Sim/AI/P5/ReasonCodes.cs:197</t>
        </is>
      </c>
      <c r="G97" t="inlineStr"/>
    </row>
    <row r="98">
      <c r="A98" t="inlineStr">
        <is>
          <t>MODE_RESERVE_COMMIT</t>
        </is>
      </c>
      <c r="B98" t="inlineStr">
        <is>
          <t>MODE</t>
        </is>
      </c>
      <c r="C98" t="inlineStr">
        <is>
          <t>P2</t>
        </is>
      </c>
      <c r="D98" t="inlineStr"/>
      <c r="E98" t="inlineStr">
        <is>
          <t>reserve committed</t>
        </is>
      </c>
      <c r="F98" t="inlineStr">
        <is>
          <t>Assets/MachineBrigade/Scripts/Sim/AI/P5/ReasonCodes.cs:196</t>
        </is>
      </c>
      <c r="G98" t="inlineStr"/>
    </row>
    <row r="99">
      <c r="A99" t="inlineStr">
        <is>
          <t>MODE_RESERVE_HOLD</t>
        </is>
      </c>
      <c r="B99" t="inlineStr">
        <is>
          <t>MODE</t>
        </is>
      </c>
      <c r="C99" t="inlineStr">
        <is>
          <t>P2</t>
        </is>
      </c>
      <c r="D99" t="inlineStr"/>
      <c r="E99" t="inlineStr">
        <is>
          <t>reserve held back</t>
        </is>
      </c>
      <c r="F99" t="inlineStr">
        <is>
          <t>Assets/MachineBrigade/Scripts/Sim/AI/P5/ReasonCodes.cs:195</t>
        </is>
      </c>
      <c r="G99" t="inlineStr"/>
    </row>
    <row r="100">
      <c r="A100" t="inlineStr">
        <is>
          <t>NAVAL_BROADSIDE_OFFSET</t>
        </is>
      </c>
      <c r="B100" t="inlineStr">
        <is>
          <t>NAVAL</t>
        </is>
      </c>
      <c r="C100" t="inlineStr">
        <is>
          <t>P0C</t>
        </is>
      </c>
      <c r="D100" t="inlineStr"/>
      <c r="E100" t="inlineStr">
        <is>
          <t>the broadside controller's offset holds the hull</t>
        </is>
      </c>
      <c r="F100" t="inlineStr">
        <is>
          <t>Assets/MachineBrigade/Scripts/Sim/AI/P5/ReasonCodes.cs:216</t>
        </is>
      </c>
      <c r="G100" t="inlineStr"/>
    </row>
    <row r="101">
      <c r="A101" t="inlineStr">
        <is>
          <t>NAVAL_CPA_AVOID</t>
        </is>
      </c>
      <c r="B101" t="inlineStr">
        <is>
          <t>NAVAL</t>
        </is>
      </c>
      <c r="C101" t="inlineStr">
        <is>
          <t>P0C</t>
        </is>
      </c>
      <c r="D101" t="inlineStr"/>
      <c r="E101" t="inlineStr">
        <is>
          <t>closest-approach avoidance turned the hull</t>
        </is>
      </c>
      <c r="F101" t="inlineStr">
        <is>
          <t>Assets/MachineBrigade/Scripts/Sim/AI/P5/ReasonCodes.cs:217</t>
        </is>
      </c>
      <c r="G101" t="inlineStr"/>
    </row>
    <row r="102">
      <c r="A102" t="inlineStr">
        <is>
          <t>NAVAL_REVERSE_FORBIDDEN</t>
        </is>
      </c>
      <c r="B102" t="inlineStr">
        <is>
          <t>NAVAL</t>
        </is>
      </c>
      <c r="C102" t="inlineStr">
        <is>
          <t>P5</t>
        </is>
      </c>
      <c r="D102" t="inlineStr"/>
      <c r="E102" t="inlineStr">
        <is>
          <t>a boss ship's speed would have gone below 0 or a reverse was asked: refused, counted, logged as an error</t>
        </is>
      </c>
      <c r="F102" t="inlineStr">
        <is>
          <t>Assets/MachineBrigade/Scripts/Sim/AI/P5/ReasonCodes.cs:219</t>
        </is>
      </c>
      <c r="G102" t="inlineStr"/>
    </row>
    <row r="103">
      <c r="A103" t="inlineStr">
        <is>
          <t>NAVAL_TURNABOUT_NO_REVERSE</t>
        </is>
      </c>
      <c r="B103" t="inlineStr">
        <is>
          <t>NAVAL</t>
        </is>
      </c>
      <c r="C103" t="inlineStr">
        <is>
          <t>P0C</t>
        </is>
      </c>
      <c r="D103" t="inlineStr"/>
      <c r="E103" t="inlineStr">
        <is>
          <t>coming about forward for a goal behind (never reverse)</t>
        </is>
      </c>
      <c r="F103" t="inlineStr">
        <is>
          <t>Assets/MachineBrigade/Scripts/Sim/AI/P5/ReasonCodes.cs:218</t>
        </is>
      </c>
      <c r="G103" t="inlineStr"/>
    </row>
    <row r="104">
      <c r="A104" t="inlineStr">
        <is>
          <t>OBJECTIVE_ADAPT_MORE_RECON</t>
        </is>
      </c>
      <c r="B104" t="inlineStr">
        <is>
          <t>OBJECTIVE</t>
        </is>
      </c>
      <c r="C104" t="inlineStr">
        <is>
          <t>P4</t>
        </is>
      </c>
      <c r="D104" t="inlineStr"/>
      <c r="E104" t="inlineStr">
        <is>
          <t>adaptation: more recon</t>
        </is>
      </c>
      <c r="F104" t="inlineStr">
        <is>
          <t>Assets/MachineBrigade/Scripts/Sim/AI/P5/ReasonCodes.cs:300</t>
        </is>
      </c>
      <c r="G104" t="inlineStr"/>
    </row>
    <row r="105">
      <c r="A105" t="inlineStr">
        <is>
          <t>OBJECTIVE_COUNTERATTACK_WINDOW</t>
        </is>
      </c>
      <c r="B105" t="inlineStr">
        <is>
          <t>OBJECTIVE</t>
        </is>
      </c>
      <c r="C105" t="inlineStr">
        <is>
          <t>P3</t>
        </is>
      </c>
      <c r="D105" t="inlineStr"/>
      <c r="E105" t="inlineStr">
        <is>
          <t>counterattack window</t>
        </is>
      </c>
      <c r="F105" t="inlineStr">
        <is>
          <t>Assets/MachineBrigade/Scripts/Sim/AI/P5/ReasonCodes.cs:274</t>
        </is>
      </c>
      <c r="G105" t="inlineStr"/>
    </row>
    <row r="106">
      <c r="A106" t="inlineStr">
        <is>
          <t>OBJECTIVE_DEADLINE_FAST_UNIT</t>
        </is>
      </c>
      <c r="B106" t="inlineStr">
        <is>
          <t>OBJECTIVE</t>
        </is>
      </c>
      <c r="C106" t="inlineStr">
        <is>
          <t>P3</t>
        </is>
      </c>
      <c r="D106" t="inlineStr"/>
      <c r="E106" t="inlineStr">
        <is>
          <t>deadline: a fast unit sent</t>
        </is>
      </c>
      <c r="F106" t="inlineStr">
        <is>
          <t>Assets/MachineBrigade/Scripts/Sim/AI/P5/ReasonCodes.cs:271</t>
        </is>
      </c>
      <c r="G106" t="inlineStr"/>
    </row>
    <row r="107">
      <c r="A107" t="inlineStr">
        <is>
          <t>OBJECTIVE_DEADLINE_SKIP</t>
        </is>
      </c>
      <c r="B107" t="inlineStr">
        <is>
          <t>OBJECTIVE</t>
        </is>
      </c>
      <c r="C107" t="inlineStr">
        <is>
          <t>P3</t>
        </is>
      </c>
      <c r="D107" t="inlineStr"/>
      <c r="E107" t="inlineStr">
        <is>
          <t>deadline: objective skipped</t>
        </is>
      </c>
      <c r="F107" t="inlineStr">
        <is>
          <t>Assets/MachineBrigade/Scripts/Sim/AI/P5/ReasonCodes.cs:270</t>
        </is>
      </c>
      <c r="G107" t="inlineStr"/>
    </row>
    <row r="108">
      <c r="A108" t="inlineStr">
        <is>
          <t>OBJECTIVE_DEPTH_FORWARD_LINE</t>
        </is>
      </c>
      <c r="B108" t="inlineStr">
        <is>
          <t>OBJECTIVE</t>
        </is>
      </c>
      <c r="C108" t="inlineStr">
        <is>
          <t>P3</t>
        </is>
      </c>
      <c r="D108" t="inlineStr"/>
      <c r="E108" t="inlineStr">
        <is>
          <t>defence in depth: forward line restored</t>
        </is>
      </c>
      <c r="F108" t="inlineStr">
        <is>
          <t>Assets/MachineBrigade/Scripts/Sim/AI/P5/ReasonCodes.cs:273</t>
        </is>
      </c>
      <c r="G108" t="inlineStr"/>
    </row>
    <row r="109">
      <c r="A109" t="inlineStr">
        <is>
          <t>OBJECTIVE_DEPTH_NEXT_LINE</t>
        </is>
      </c>
      <c r="B109" t="inlineStr">
        <is>
          <t>OBJECTIVE</t>
        </is>
      </c>
      <c r="C109" t="inlineStr">
        <is>
          <t>P3</t>
        </is>
      </c>
      <c r="D109" t="inlineStr"/>
      <c r="E109" t="inlineStr">
        <is>
          <t>defence in depth: next line</t>
        </is>
      </c>
      <c r="F109" t="inlineStr">
        <is>
          <t>Assets/MachineBrigade/Scripts/Sim/AI/P5/ReasonCodes.cs:272</t>
        </is>
      </c>
      <c r="G109" t="inlineStr"/>
    </row>
    <row r="110">
      <c r="A110" t="inlineStr">
        <is>
          <t>OBJECTIVE_ECONOMY_OF_FORCE</t>
        </is>
      </c>
      <c r="B110" t="inlineStr">
        <is>
          <t>OBJECTIVE</t>
        </is>
      </c>
      <c r="C110" t="inlineStr">
        <is>
          <t>P3</t>
        </is>
      </c>
      <c r="D110" t="inlineStr"/>
      <c r="E110" t="inlineStr">
        <is>
          <t>economy of force</t>
        </is>
      </c>
      <c r="F110" t="inlineStr">
        <is>
          <t>Assets/MachineBrigade/Scripts/Sim/AI/P5/ReasonCodes.cs:268</t>
        </is>
      </c>
      <c r="G110" t="inlineStr"/>
    </row>
    <row r="111">
      <c r="A111" t="inlineStr">
        <is>
          <t>OBJECTIVE_FEINT_ENDED_NO_REDEPLOY</t>
        </is>
      </c>
      <c r="B111" t="inlineStr">
        <is>
          <t>OBJECTIVE</t>
        </is>
      </c>
      <c r="C111" t="inlineStr">
        <is>
          <t>P4</t>
        </is>
      </c>
      <c r="D111" t="inlineStr"/>
      <c r="E111" t="inlineStr">
        <is>
          <t>feint ended without a redeploy</t>
        </is>
      </c>
      <c r="F111" t="inlineStr">
        <is>
          <t>Assets/MachineBrigade/Scripts/Sim/AI/P5/ReasonCodes.cs:298</t>
        </is>
      </c>
      <c r="G111" t="inlineStr"/>
    </row>
    <row r="112">
      <c r="A112" t="inlineStr">
        <is>
          <t>OBJECTIVE_FEINT_NO_TACTICAL_UTILITY</t>
        </is>
      </c>
      <c r="B112" t="inlineStr">
        <is>
          <t>OBJECTIVE</t>
        </is>
      </c>
      <c r="C112" t="inlineStr">
        <is>
          <t>P4</t>
        </is>
      </c>
      <c r="D112" t="inlineStr"/>
      <c r="E112" t="inlineStr">
        <is>
          <t>feint rejected: no utility</t>
        </is>
      </c>
      <c r="F112" t="inlineStr">
        <is>
          <t>Assets/MachineBrigade/Scripts/Sim/AI/P5/ReasonCodes.cs:299</t>
        </is>
      </c>
      <c r="G112" t="inlineStr"/>
    </row>
    <row r="113">
      <c r="A113" t="inlineStr">
        <is>
          <t>OBJECTIVE_FEINT_REDEPLOY_SEEN</t>
        </is>
      </c>
      <c r="B113" t="inlineStr">
        <is>
          <t>OBJECTIVE</t>
        </is>
      </c>
      <c r="C113" t="inlineStr">
        <is>
          <t>P4</t>
        </is>
      </c>
      <c r="D113" t="inlineStr"/>
      <c r="E113" t="inlineStr">
        <is>
          <t>feint worked: a redeploy seen</t>
        </is>
      </c>
      <c r="F113" t="inlineStr">
        <is>
          <t>Assets/MachineBrigade/Scripts/Sim/AI/P5/ReasonCodes.cs:297</t>
        </is>
      </c>
      <c r="G113" t="inlineStr"/>
    </row>
    <row r="114">
      <c r="A114" t="inlineStr">
        <is>
          <t>OBJECTIVE_FEINT_SENT</t>
        </is>
      </c>
      <c r="B114" t="inlineStr">
        <is>
          <t>OBJECTIVE</t>
        </is>
      </c>
      <c r="C114" t="inlineStr">
        <is>
          <t>P4</t>
        </is>
      </c>
      <c r="D114" t="inlineStr"/>
      <c r="E114" t="inlineStr">
        <is>
          <t>feint sent</t>
        </is>
      </c>
      <c r="F114" t="inlineStr">
        <is>
          <t>Assets/MachineBrigade/Scripts/Sim/AI/P5/ReasonCodes.cs:296</t>
        </is>
      </c>
      <c r="G114" t="inlineStr"/>
    </row>
    <row r="115">
      <c r="A115" t="inlineStr">
        <is>
          <t>OBJECTIVE_FIX_AND_FLANK</t>
        </is>
      </c>
      <c r="B115" t="inlineStr">
        <is>
          <t>OBJECTIVE</t>
        </is>
      </c>
      <c r="C115" t="inlineStr">
        <is>
          <t>P3</t>
        </is>
      </c>
      <c r="D115" t="inlineStr"/>
      <c r="E115" t="inlineStr">
        <is>
          <t>fix and flank assigned</t>
        </is>
      </c>
      <c r="F115" t="inlineStr">
        <is>
          <t>Assets/MachineBrigade/Scripts/Sim/AI/P5/ReasonCodes.cs:263</t>
        </is>
      </c>
      <c r="G115" t="inlineStr"/>
    </row>
    <row r="116">
      <c r="A116" t="inlineStr">
        <is>
          <t>OBJECTIVE_FIX_ENVELOPE</t>
        </is>
      </c>
      <c r="B116" t="inlineStr">
        <is>
          <t>OBJECTIVE</t>
        </is>
      </c>
      <c r="C116" t="inlineStr">
        <is>
          <t>P3</t>
        </is>
      </c>
      <c r="D116" t="inlineStr"/>
      <c r="E116" t="inlineStr">
        <is>
          <t>fixing force holds the envelope</t>
        </is>
      </c>
      <c r="F116" t="inlineStr">
        <is>
          <t>Assets/MachineBrigade/Scripts/Sim/AI/P5/ReasonCodes.cs:262</t>
        </is>
      </c>
      <c r="G116" t="inlineStr"/>
    </row>
    <row r="117">
      <c r="A117" t="inlineStr">
        <is>
          <t>OBJECTIVE_OPPORTUNITY_WINDOW</t>
        </is>
      </c>
      <c r="B117" t="inlineStr">
        <is>
          <t>OBJECTIVE</t>
        </is>
      </c>
      <c r="C117" t="inlineStr">
        <is>
          <t>P4</t>
        </is>
      </c>
      <c r="D117" t="inlineStr"/>
      <c r="E117" t="inlineStr">
        <is>
          <t>opportunity window</t>
        </is>
      </c>
      <c r="F117" t="inlineStr">
        <is>
          <t>Assets/MachineBrigade/Scripts/Sim/AI/P5/ReasonCodes.cs:291</t>
        </is>
      </c>
      <c r="G117" t="inlineStr"/>
    </row>
    <row r="118">
      <c r="A118" t="inlineStr">
        <is>
          <t>OBJECTIVE_PACKAGE_ABORTED</t>
        </is>
      </c>
      <c r="B118" t="inlineStr">
        <is>
          <t>OBJECTIVE</t>
        </is>
      </c>
      <c r="C118" t="inlineStr">
        <is>
          <t>P3</t>
        </is>
      </c>
      <c r="D118" t="inlineStr"/>
      <c r="E118" t="inlineStr">
        <is>
          <t>attack package aborted</t>
        </is>
      </c>
      <c r="F118" t="inlineStr">
        <is>
          <t>Assets/MachineBrigade/Scripts/Sim/AI/P5/ReasonCodes.cs:259</t>
        </is>
      </c>
      <c r="G118" t="inlineStr"/>
    </row>
    <row r="119">
      <c r="A119" t="inlineStr">
        <is>
          <t>OBJECTIVE_PACKAGE_ABORT_ENEMY_ESTIMATE_ROSE</t>
        </is>
      </c>
      <c r="B119" t="inlineStr">
        <is>
          <t>OBJECTIVE</t>
        </is>
      </c>
      <c r="C119" t="inlineStr">
        <is>
          <t>P4</t>
        </is>
      </c>
      <c r="D119" t="inlineStr"/>
      <c r="E119" t="inlineStr">
        <is>
          <t>abort: enemy estimate rose</t>
        </is>
      </c>
      <c r="F119" t="inlineStr">
        <is>
          <t>Assets/MachineBrigade/Scripts/Sim/AI/P5/ReasonCodes.cs:287</t>
        </is>
      </c>
      <c r="G119" t="inlineStr"/>
    </row>
    <row r="120">
      <c r="A120" t="inlineStr">
        <is>
          <t>OBJECTIVE_PACKAGE_ABORT_FLANK_BLOCKED</t>
        </is>
      </c>
      <c r="B120" t="inlineStr">
        <is>
          <t>OBJECTIVE</t>
        </is>
      </c>
      <c r="C120" t="inlineStr">
        <is>
          <t>P4</t>
        </is>
      </c>
      <c r="D120" t="inlineStr"/>
      <c r="E120" t="inlineStr">
        <is>
          <t>abort: flank blocked</t>
        </is>
      </c>
      <c r="F120" t="inlineStr">
        <is>
          <t>Assets/MachineBrigade/Scripts/Sim/AI/P5/ReasonCodes.cs:283</t>
        </is>
      </c>
      <c r="G120" t="inlineStr"/>
    </row>
    <row r="121">
      <c r="A121" t="inlineStr">
        <is>
          <t>OBJECTIVE_PACKAGE_ABORT_MAIN_LOST</t>
        </is>
      </c>
      <c r="B121" t="inlineStr">
        <is>
          <t>OBJECTIVE</t>
        </is>
      </c>
      <c r="C121" t="inlineStr">
        <is>
          <t>P4</t>
        </is>
      </c>
      <c r="D121" t="inlineStr"/>
      <c r="E121" t="inlineStr">
        <is>
          <t>abort: main force lost</t>
        </is>
      </c>
      <c r="F121" t="inlineStr">
        <is>
          <t>Assets/MachineBrigade/Scripts/Sim/AI/P5/ReasonCodes.cs:282</t>
        </is>
      </c>
      <c r="G121" t="inlineStr"/>
    </row>
    <row r="122">
      <c r="A122" t="inlineStr">
        <is>
          <t>OBJECTIVE_PACKAGE_ABORT_OBJECTIVE_CHANGED</t>
        </is>
      </c>
      <c r="B122" t="inlineStr">
        <is>
          <t>OBJECTIVE</t>
        </is>
      </c>
      <c r="C122" t="inlineStr">
        <is>
          <t>P4</t>
        </is>
      </c>
      <c r="D122" t="inlineStr"/>
      <c r="E122" t="inlineStr">
        <is>
          <t>abort: objective changed</t>
        </is>
      </c>
      <c r="F122" t="inlineStr">
        <is>
          <t>Assets/MachineBrigade/Scripts/Sim/AI/P5/ReasonCodes.cs:286</t>
        </is>
      </c>
      <c r="G122" t="inlineStr"/>
    </row>
    <row r="123">
      <c r="A123" t="inlineStr">
        <is>
          <t>OBJECTIVE_PACKAGE_ABORT_ROUTE_INVALIDATED</t>
        </is>
      </c>
      <c r="B123" t="inlineStr">
        <is>
          <t>OBJECTIVE</t>
        </is>
      </c>
      <c r="C123" t="inlineStr">
        <is>
          <t>P4</t>
        </is>
      </c>
      <c r="D123" t="inlineStr"/>
      <c r="E123" t="inlineStr">
        <is>
          <t>abort: route invalidated</t>
        </is>
      </c>
      <c r="F123" t="inlineStr">
        <is>
          <t>Assets/MachineBrigade/Scripts/Sim/AI/P5/ReasonCodes.cs:285</t>
        </is>
      </c>
      <c r="G123" t="inlineStr"/>
    </row>
    <row r="124">
      <c r="A124" t="inlineStr">
        <is>
          <t>OBJECTIVE_PACKAGE_ABORT_SUPPORT_FAILED</t>
        </is>
      </c>
      <c r="B124" t="inlineStr">
        <is>
          <t>OBJECTIVE</t>
        </is>
      </c>
      <c r="C124" t="inlineStr">
        <is>
          <t>P4</t>
        </is>
      </c>
      <c r="D124" t="inlineStr"/>
      <c r="E124" t="inlineStr">
        <is>
          <t>abort: support failed</t>
        </is>
      </c>
      <c r="F124" t="inlineStr">
        <is>
          <t>Assets/MachineBrigade/Scripts/Sim/AI/P5/ReasonCodes.cs:284</t>
        </is>
      </c>
      <c r="G124" t="inlineStr"/>
    </row>
    <row r="125">
      <c r="A125" t="inlineStr">
        <is>
          <t>OBJECTIVE_PACKAGE_ABORT_SUPPORT_LOST</t>
        </is>
      </c>
      <c r="B125" t="inlineStr">
        <is>
          <t>OBJECTIVE</t>
        </is>
      </c>
      <c r="C125" t="inlineStr">
        <is>
          <t>P4</t>
        </is>
      </c>
      <c r="D125" t="inlineStr"/>
      <c r="E125" t="inlineStr">
        <is>
          <t>abort: support lost</t>
        </is>
      </c>
      <c r="F125" t="inlineStr">
        <is>
          <t>Assets/MachineBrigade/Scripts/Sim/AI/P5/ReasonCodes.cs:289</t>
        </is>
      </c>
      <c r="G125" t="inlineStr"/>
    </row>
    <row r="126">
      <c r="A126" t="inlineStr">
        <is>
          <t>OBJECTIVE_PACKAGE_ABORT_TARGET_CLUSTER_MOVED</t>
        </is>
      </c>
      <c r="B126" t="inlineStr">
        <is>
          <t>OBJECTIVE</t>
        </is>
      </c>
      <c r="C126" t="inlineStr">
        <is>
          <t>P4</t>
        </is>
      </c>
      <c r="D126" t="inlineStr"/>
      <c r="E126" t="inlineStr">
        <is>
          <t>abort: target cluster moved</t>
        </is>
      </c>
      <c r="F126" t="inlineStr">
        <is>
          <t>Assets/MachineBrigade/Scripts/Sim/AI/P5/ReasonCodes.cs:288</t>
        </is>
      </c>
      <c r="G126" t="inlineStr"/>
    </row>
    <row r="127">
      <c r="A127" t="inlineStr">
        <is>
          <t>OBJECTIVE_PACKAGE_CREATED</t>
        </is>
      </c>
      <c r="B127" t="inlineStr">
        <is>
          <t>OBJECTIVE</t>
        </is>
      </c>
      <c r="C127" t="inlineStr">
        <is>
          <t>P3</t>
        </is>
      </c>
      <c r="D127" t="inlineStr"/>
      <c r="E127" t="inlineStr">
        <is>
          <t>attack package created</t>
        </is>
      </c>
      <c r="F127" t="inlineStr">
        <is>
          <t>Assets/MachineBrigade/Scripts/Sim/AI/P5/ReasonCodes.cs:258</t>
        </is>
      </c>
      <c r="G127" t="inlineStr"/>
    </row>
    <row r="128">
      <c r="A128" t="inlineStr">
        <is>
          <t>OBJECTIVE_PLAN_CHOSEN</t>
        </is>
      </c>
      <c r="B128" t="inlineStr">
        <is>
          <t>OBJECTIVE</t>
        </is>
      </c>
      <c r="C128" t="inlineStr">
        <is>
          <t>P4</t>
        </is>
      </c>
      <c r="D128" t="inlineStr"/>
      <c r="E128" t="inlineStr">
        <is>
          <t>shallow plan chosen</t>
        </is>
      </c>
      <c r="F128" t="inlineStr">
        <is>
          <t>Assets/MachineBrigade/Scripts/Sim/AI/P5/ReasonCodes.cs:275</t>
        </is>
      </c>
      <c r="G128" t="inlineStr"/>
    </row>
    <row r="129">
      <c r="A129" t="inlineStr">
        <is>
          <t>OBJECTIVE_PLAN_FAILED_REMEMBERED</t>
        </is>
      </c>
      <c r="B129" t="inlineStr">
        <is>
          <t>OBJECTIVE</t>
        </is>
      </c>
      <c r="C129" t="inlineStr">
        <is>
          <t>P4</t>
        </is>
      </c>
      <c r="D129" t="inlineStr"/>
      <c r="E129" t="inlineStr">
        <is>
          <t>failed plan remembered</t>
        </is>
      </c>
      <c r="F129" t="inlineStr">
        <is>
          <t>Assets/MachineBrigade/Scripts/Sim/AI/P5/ReasonCodes.cs:279</t>
        </is>
      </c>
      <c r="G129" t="inlineStr"/>
    </row>
    <row r="130">
      <c r="A130" t="inlineStr">
        <is>
          <t>OBJECTIVE_PLAN_FORECAST_HOLD</t>
        </is>
      </c>
      <c r="B130" t="inlineStr">
        <is>
          <t>OBJECTIVE</t>
        </is>
      </c>
      <c r="C130" t="inlineStr">
        <is>
          <t>P4</t>
        </is>
      </c>
      <c r="D130" t="inlineStr"/>
      <c r="E130" t="inlineStr">
        <is>
          <t>forecast says hold</t>
        </is>
      </c>
      <c r="F130" t="inlineStr">
        <is>
          <t>Assets/MachineBrigade/Scripts/Sim/AI/P5/ReasonCodes.cs:277</t>
        </is>
      </c>
      <c r="G130" t="inlineStr"/>
    </row>
    <row r="131">
      <c r="A131" t="inlineStr">
        <is>
          <t>OBJECTIVE_PLAN_INTERRUPT_REPLAN</t>
        </is>
      </c>
      <c r="B131" t="inlineStr">
        <is>
          <t>OBJECTIVE</t>
        </is>
      </c>
      <c r="C131" t="inlineStr">
        <is>
          <t>P4</t>
        </is>
      </c>
      <c r="D131" t="inlineStr"/>
      <c r="E131" t="inlineStr">
        <is>
          <t>tactical interrupt: replan</t>
        </is>
      </c>
      <c r="F131" t="inlineStr">
        <is>
          <t>Assets/MachineBrigade/Scripts/Sim/AI/P5/ReasonCodes.cs:281</t>
        </is>
      </c>
      <c r="G131" t="inlineStr"/>
    </row>
    <row r="132">
      <c r="A132" t="inlineStr">
        <is>
          <t>OBJECTIVE_PLAN_KEPT_COMMITMENT</t>
        </is>
      </c>
      <c r="B132" t="inlineStr">
        <is>
          <t>OBJECTIVE</t>
        </is>
      </c>
      <c r="C132" t="inlineStr">
        <is>
          <t>P4</t>
        </is>
      </c>
      <c r="D132" t="inlineStr"/>
      <c r="E132" t="inlineStr">
        <is>
          <t>plan kept (commitment window)</t>
        </is>
      </c>
      <c r="F132" t="inlineStr">
        <is>
          <t>Assets/MachineBrigade/Scripts/Sim/AI/P5/ReasonCodes.cs:276</t>
        </is>
      </c>
      <c r="G132" t="inlineStr"/>
    </row>
    <row r="133">
      <c r="A133" t="inlineStr">
        <is>
          <t>OBJECTIVE_PLAN_REPEAT_PENALTY</t>
        </is>
      </c>
      <c r="B133" t="inlineStr">
        <is>
          <t>OBJECTIVE</t>
        </is>
      </c>
      <c r="C133" t="inlineStr">
        <is>
          <t>P4</t>
        </is>
      </c>
      <c r="D133" t="inlineStr"/>
      <c r="E133" t="inlineStr">
        <is>
          <t>anti-repetition penalty</t>
        </is>
      </c>
      <c r="F133" t="inlineStr">
        <is>
          <t>Assets/MachineBrigade/Scripts/Sim/AI/P5/ReasonCodes.cs:278</t>
        </is>
      </c>
      <c r="G133" t="inlineStr"/>
    </row>
    <row r="134">
      <c r="A134" t="inlineStr">
        <is>
          <t>OBJECTIVE_PLAN_SUCCEEDED</t>
        </is>
      </c>
      <c r="B134" t="inlineStr">
        <is>
          <t>OBJECTIVE</t>
        </is>
      </c>
      <c r="C134" t="inlineStr">
        <is>
          <t>P4</t>
        </is>
      </c>
      <c r="D134" t="inlineStr"/>
      <c r="E134" t="inlineStr">
        <is>
          <t>plan succeeded</t>
        </is>
      </c>
      <c r="F134" t="inlineStr">
        <is>
          <t>Assets/MachineBrigade/Scripts/Sim/AI/P5/ReasonCodes.cs:280</t>
        </is>
      </c>
      <c r="G134" t="inlineStr"/>
    </row>
    <row r="135">
      <c r="A135" t="inlineStr">
        <is>
          <t>OBJECTIVE_PROBE_EXPLOIT_WINDOW</t>
        </is>
      </c>
      <c r="B135" t="inlineStr">
        <is>
          <t>OBJECTIVE</t>
        </is>
      </c>
      <c r="C135" t="inlineStr">
        <is>
          <t>P4</t>
        </is>
      </c>
      <c r="D135" t="inlineStr"/>
      <c r="E135" t="inlineStr">
        <is>
          <t>probe found a weak lane: exploit</t>
        </is>
      </c>
      <c r="F135" t="inlineStr">
        <is>
          <t>Assets/MachineBrigade/Scripts/Sim/AI/P5/ReasonCodes.cs:293</t>
        </is>
      </c>
      <c r="G135" t="inlineStr"/>
    </row>
    <row r="136">
      <c r="A136" t="inlineStr">
        <is>
          <t>OBJECTIVE_PROBE_INCONCLUSIVE</t>
        </is>
      </c>
      <c r="B136" t="inlineStr">
        <is>
          <t>OBJECTIVE</t>
        </is>
      </c>
      <c r="C136" t="inlineStr">
        <is>
          <t>P4</t>
        </is>
      </c>
      <c r="D136" t="inlineStr"/>
      <c r="E136" t="inlineStr">
        <is>
          <t>probe inconclusive</t>
        </is>
      </c>
      <c r="F136" t="inlineStr">
        <is>
          <t>Assets/MachineBrigade/Scripts/Sim/AI/P5/ReasonCodes.cs:295</t>
        </is>
      </c>
      <c r="G136" t="inlineStr"/>
    </row>
    <row r="137">
      <c r="A137" t="inlineStr">
        <is>
          <t>OBJECTIVE_PROBE_SENT</t>
        </is>
      </c>
      <c r="B137" t="inlineStr">
        <is>
          <t>OBJECTIVE</t>
        </is>
      </c>
      <c r="C137" t="inlineStr">
        <is>
          <t>P4</t>
        </is>
      </c>
      <c r="D137" t="inlineStr"/>
      <c r="E137" t="inlineStr">
        <is>
          <t>probe sent</t>
        </is>
      </c>
      <c r="F137" t="inlineStr">
        <is>
          <t>Assets/MachineBrigade/Scripts/Sim/AI/P5/ReasonCodes.cs:292</t>
        </is>
      </c>
      <c r="G137" t="inlineStr"/>
    </row>
    <row r="138">
      <c r="A138" t="inlineStr">
        <is>
          <t>OBJECTIVE_PROBE_THREAT_FOUND</t>
        </is>
      </c>
      <c r="B138" t="inlineStr">
        <is>
          <t>OBJECTIVE</t>
        </is>
      </c>
      <c r="C138" t="inlineStr">
        <is>
          <t>P4</t>
        </is>
      </c>
      <c r="D138" t="inlineStr"/>
      <c r="E138" t="inlineStr">
        <is>
          <t>probe found a threat</t>
        </is>
      </c>
      <c r="F138" t="inlineStr">
        <is>
          <t>Assets/MachineBrigade/Scripts/Sim/AI/P5/ReasonCodes.cs:294</t>
        </is>
      </c>
      <c r="G138" t="inlineStr"/>
    </row>
    <row r="139">
      <c r="A139" t="inlineStr">
        <is>
          <t>OBJECTIVE_RESERVE_FORECAST_COLLAPSE</t>
        </is>
      </c>
      <c r="B139" t="inlineStr">
        <is>
          <t>OBJECTIVE</t>
        </is>
      </c>
      <c r="C139" t="inlineStr">
        <is>
          <t>P4</t>
        </is>
      </c>
      <c r="D139" t="inlineStr"/>
      <c r="E139" t="inlineStr">
        <is>
          <t>forecast collapse: reserve committed</t>
        </is>
      </c>
      <c r="F139" t="inlineStr">
        <is>
          <t>Assets/MachineBrigade/Scripts/Sim/AI/P5/ReasonCodes.cs:290</t>
        </is>
      </c>
      <c r="G139" t="inlineStr"/>
    </row>
    <row r="140">
      <c r="A140" t="inlineStr">
        <is>
          <t>OBJECTIVE_RESERVE_KEPT_FIGHT_WON</t>
        </is>
      </c>
      <c r="B140" t="inlineStr">
        <is>
          <t>OBJECTIVE</t>
        </is>
      </c>
      <c r="C140" t="inlineStr">
        <is>
          <t>P3</t>
        </is>
      </c>
      <c r="D140" t="inlineStr"/>
      <c r="E140" t="inlineStr">
        <is>
          <t>reserve kept: the fight is won</t>
        </is>
      </c>
      <c r="F140" t="inlineStr">
        <is>
          <t>Assets/MachineBrigade/Scripts/Sim/AI/P5/ReasonCodes.cs:267</t>
        </is>
      </c>
      <c r="G140" t="inlineStr"/>
    </row>
    <row r="141">
      <c r="A141" t="inlineStr">
        <is>
          <t>OBJECTIVE_RESERVE_RELEASE</t>
        </is>
      </c>
      <c r="B141" t="inlineStr">
        <is>
          <t>OBJECTIVE</t>
        </is>
      </c>
      <c r="C141" t="inlineStr">
        <is>
          <t>P3</t>
        </is>
      </c>
      <c r="D141" t="inlineStr"/>
      <c r="E141" t="inlineStr">
        <is>
          <t>reserve released</t>
        </is>
      </c>
      <c r="F141" t="inlineStr">
        <is>
          <t>Assets/MachineBrigade/Scripts/Sim/AI/P5/ReasonCodes.cs:266</t>
        </is>
      </c>
      <c r="G141" t="inlineStr"/>
    </row>
    <row r="142">
      <c r="A142" t="inlineStr">
        <is>
          <t>OBJECTIVE_SCOUT_BEFORE_COMMIT</t>
        </is>
      </c>
      <c r="B142" t="inlineStr">
        <is>
          <t>OBJECTIVE</t>
        </is>
      </c>
      <c r="C142" t="inlineStr">
        <is>
          <t>P3</t>
        </is>
      </c>
      <c r="D142" t="inlineStr"/>
      <c r="E142" t="inlineStr">
        <is>
          <t>scout before commit</t>
        </is>
      </c>
      <c r="F142" t="inlineStr">
        <is>
          <t>Assets/MachineBrigade/Scripts/Sim/AI/P5/ReasonCodes.cs:264</t>
        </is>
      </c>
      <c r="G142" t="inlineStr"/>
    </row>
    <row r="143">
      <c r="A143" t="inlineStr">
        <is>
          <t>OBJECTIVE_SCOUT_TIMEOUT_COMMIT</t>
        </is>
      </c>
      <c r="B143" t="inlineStr">
        <is>
          <t>OBJECTIVE</t>
        </is>
      </c>
      <c r="C143" t="inlineStr">
        <is>
          <t>P3</t>
        </is>
      </c>
      <c r="D143" t="inlineStr"/>
      <c r="E143" t="inlineStr">
        <is>
          <t>scout timed out: commit</t>
        </is>
      </c>
      <c r="F143" t="inlineStr">
        <is>
          <t>Assets/MachineBrigade/Scripts/Sim/AI/P5/ReasonCodes.cs:265</t>
        </is>
      </c>
      <c r="G143" t="inlineStr"/>
    </row>
    <row r="144">
      <c r="A144" t="inlineStr">
        <is>
          <t>OBJECTIVE_SUNK_COST_RESET</t>
        </is>
      </c>
      <c r="B144" t="inlineStr">
        <is>
          <t>OBJECTIVE</t>
        </is>
      </c>
      <c r="C144" t="inlineStr">
        <is>
          <t>P3</t>
        </is>
      </c>
      <c r="D144" t="inlineStr"/>
      <c r="E144" t="inlineStr">
        <is>
          <t>sunk-cost reset</t>
        </is>
      </c>
      <c r="F144" t="inlineStr">
        <is>
          <t>Assets/MachineBrigade/Scripts/Sim/AI/P5/ReasonCodes.cs:269</t>
        </is>
      </c>
      <c r="G144" t="inlineStr"/>
    </row>
    <row r="145">
      <c r="A145" t="inlineStr">
        <is>
          <t>OBJECTIVE_SYNC_GO</t>
        </is>
      </c>
      <c r="B145" t="inlineStr">
        <is>
          <t>OBJECTIVE</t>
        </is>
      </c>
      <c r="C145" t="inlineStr">
        <is>
          <t>P3</t>
        </is>
      </c>
      <c r="D145" t="inlineStr"/>
      <c r="E145" t="inlineStr">
        <is>
          <t>synchronised attack: go</t>
        </is>
      </c>
      <c r="F145" t="inlineStr">
        <is>
          <t>Assets/MachineBrigade/Scripts/Sim/AI/P5/ReasonCodes.cs:261</t>
        </is>
      </c>
      <c r="G145" t="inlineStr"/>
    </row>
    <row r="146">
      <c r="A146" t="inlineStr">
        <is>
          <t>OBJECTIVE_SYNC_STAGE</t>
        </is>
      </c>
      <c r="B146" t="inlineStr">
        <is>
          <t>OBJECTIVE</t>
        </is>
      </c>
      <c r="C146" t="inlineStr">
        <is>
          <t>P3</t>
        </is>
      </c>
      <c r="D146" t="inlineStr"/>
      <c r="E146" t="inlineStr">
        <is>
          <t>synchronised attack: staging</t>
        </is>
      </c>
      <c r="F146" t="inlineStr">
        <is>
          <t>Assets/MachineBrigade/Scripts/Sim/AI/P5/ReasonCodes.cs:260</t>
        </is>
      </c>
      <c r="G146" t="inlineStr"/>
    </row>
    <row r="147">
      <c r="A147" t="inlineStr">
        <is>
          <t>POSITION_COVER_RESERVED</t>
        </is>
      </c>
      <c r="B147" t="inlineStr">
        <is>
          <t>POSITION</t>
        </is>
      </c>
      <c r="C147" t="inlineStr">
        <is>
          <t>P2</t>
        </is>
      </c>
      <c r="D147" t="inlineStr"/>
      <c r="E147" t="inlineStr">
        <is>
          <t>cover spot reserved</t>
        </is>
      </c>
      <c r="F147" t="inlineStr">
        <is>
          <t>Assets/MachineBrigade/Scripts/Sim/AI/P5/ReasonCodes.cs:104</t>
        </is>
      </c>
      <c r="G147" t="inlineStr"/>
    </row>
    <row r="148">
      <c r="A148" t="inlineStr">
        <is>
          <t>POSITION_FRIENDLY_BLOCK</t>
        </is>
      </c>
      <c r="B148" t="inlineStr">
        <is>
          <t>POSITION</t>
        </is>
      </c>
      <c r="C148" t="inlineStr">
        <is>
          <t>P2</t>
        </is>
      </c>
      <c r="D148" t="inlineStr"/>
      <c r="E148" t="inlineStr">
        <is>
          <t>a friend blocks the firing lane</t>
        </is>
      </c>
      <c r="F148" t="inlineStr">
        <is>
          <t>Assets/MachineBrigade/Scripts/Sim/AI/P5/ReasonCodes.cs:105</t>
        </is>
      </c>
      <c r="G148" t="inlineStr"/>
    </row>
    <row r="149">
      <c r="A149" t="inlineStr">
        <is>
          <t>POSITION_FRIENDLY_BLOCKER_YIELD</t>
        </is>
      </c>
      <c r="B149" t="inlineStr">
        <is>
          <t>POSITION</t>
        </is>
      </c>
      <c r="C149" t="inlineStr">
        <is>
          <t>P2</t>
        </is>
      </c>
      <c r="D149" t="inlineStr"/>
      <c r="E149" t="inlineStr">
        <is>
          <t>the blocker steps aside</t>
        </is>
      </c>
      <c r="F149" t="inlineStr">
        <is>
          <t>Assets/MachineBrigade/Scripts/Sim/AI/P5/ReasonCodes.cs:109</t>
        </is>
      </c>
      <c r="G149" t="inlineStr"/>
    </row>
    <row r="150">
      <c r="A150" t="inlineStr">
        <is>
          <t>POSITION_FRIENDLY_BLOCK_ALT_SLOT</t>
        </is>
      </c>
      <c r="B150" t="inlineStr">
        <is>
          <t>POSITION</t>
        </is>
      </c>
      <c r="C150" t="inlineStr">
        <is>
          <t>P2</t>
        </is>
      </c>
      <c r="D150" t="inlineStr"/>
      <c r="E150" t="inlineStr">
        <is>
          <t>blocked lane: another slot</t>
        </is>
      </c>
      <c r="F150" t="inlineStr">
        <is>
          <t>Assets/MachineBrigade/Scripts/Sim/AI/P5/ReasonCodes.cs:108</t>
        </is>
      </c>
      <c r="G150" t="inlineStr"/>
    </row>
    <row r="151">
      <c r="A151" t="inlineStr">
        <is>
          <t>POSITION_FRIENDLY_BLOCK_SIDESTEP</t>
        </is>
      </c>
      <c r="B151" t="inlineStr">
        <is>
          <t>POSITION</t>
        </is>
      </c>
      <c r="C151" t="inlineStr">
        <is>
          <t>P2</t>
        </is>
      </c>
      <c r="D151" t="inlineStr"/>
      <c r="E151" t="inlineStr">
        <is>
          <t>blocked lane: side-step</t>
        </is>
      </c>
      <c r="F151" t="inlineStr">
        <is>
          <t>Assets/MachineBrigade/Scripts/Sim/AI/P5/ReasonCodes.cs:107</t>
        </is>
      </c>
      <c r="G151" t="inlineStr"/>
    </row>
    <row r="152">
      <c r="A152" t="inlineStr">
        <is>
          <t>POSITION_FRIENDLY_BLOCK_WAIT</t>
        </is>
      </c>
      <c r="B152" t="inlineStr">
        <is>
          <t>POSITION</t>
        </is>
      </c>
      <c r="C152" t="inlineStr">
        <is>
          <t>P2</t>
        </is>
      </c>
      <c r="D152" t="inlineStr"/>
      <c r="E152" t="inlineStr">
        <is>
          <t>blocked lane: wait a moment</t>
        </is>
      </c>
      <c r="F152" t="inlineStr">
        <is>
          <t>Assets/MachineBrigade/Scripts/Sim/AI/P5/ReasonCodes.cs:106</t>
        </is>
      </c>
      <c r="G152" t="inlineStr"/>
    </row>
    <row r="153">
      <c r="A153" t="inlineStr">
        <is>
          <t>POSITION_HULL_DOWN</t>
        </is>
      </c>
      <c r="B153" t="inlineStr">
        <is>
          <t>POSITION</t>
        </is>
      </c>
      <c r="C153" t="inlineStr">
        <is>
          <t>P2</t>
        </is>
      </c>
      <c r="D153" t="inlineStr"/>
      <c r="E153" t="inlineStr">
        <is>
          <t>hull-down position chosen</t>
        </is>
      </c>
      <c r="F153" t="inlineStr">
        <is>
          <t>Assets/MachineBrigade/Scripts/Sim/AI/P5/ReasonCodes.cs:103</t>
        </is>
      </c>
      <c r="G153" t="inlineStr"/>
    </row>
    <row r="154">
      <c r="A154" t="inlineStr">
        <is>
          <t>POSITION_RELOAD_HOLD</t>
        </is>
      </c>
      <c r="B154" t="inlineStr">
        <is>
          <t>POSITION</t>
        </is>
      </c>
      <c r="C154" t="inlineStr">
        <is>
          <t>P5</t>
        </is>
      </c>
      <c r="D154" t="inlineStr"/>
      <c r="E154" t="inlineStr">
        <is>
          <t>a reloading (near-empty) unit holds instead of an exposed advance (Part L)</t>
        </is>
      </c>
      <c r="F154" t="inlineStr">
        <is>
          <t>Assets/MachineBrigade/Scripts/Sim/AI/P5/ReasonCodes.cs:110</t>
        </is>
      </c>
      <c r="G154" t="inlineStr"/>
    </row>
    <row r="155">
      <c r="A155" t="inlineStr">
        <is>
          <t>POSITION_RELOAD_RESUME</t>
        </is>
      </c>
      <c r="B155" t="inlineStr">
        <is>
          <t>POSITION</t>
        </is>
      </c>
      <c r="C155" t="inlineStr">
        <is>
          <t>P5</t>
        </is>
      </c>
      <c r="D155" t="inlineStr"/>
      <c r="E155" t="inlineStr">
        <is>
          <t>reloaded (or an emergency): the held unit rejoins the squad's move</t>
        </is>
      </c>
      <c r="F155" t="inlineStr">
        <is>
          <t>Assets/MachineBrigade/Scripts/Sim/AI/P5/ReasonCodes.cs:111</t>
        </is>
      </c>
      <c r="G155" t="inlineStr"/>
    </row>
    <row r="156">
      <c r="A156" t="inlineStr">
        <is>
          <t>POSITION_TRANSIT_FALLBACK</t>
        </is>
      </c>
      <c r="B156" t="inlineStr">
        <is>
          <t>POSITION</t>
        </is>
      </c>
      <c r="C156" t="inlineStr">
        <is>
          <t>P0A</t>
        </is>
      </c>
      <c r="D156" t="inlineStr"/>
      <c r="E156" t="inlineStr">
        <is>
          <t>a firing spot on a route (map data to fix)</t>
        </is>
      </c>
      <c r="F156" t="inlineStr">
        <is>
          <t>Assets/MachineBrigade/Scripts/Sim/AI/P5/ReasonCodes.cs:102</t>
        </is>
      </c>
      <c r="G156" t="inlineStr"/>
    </row>
    <row r="157">
      <c r="A157" t="inlineStr">
        <is>
          <t>PURCHASE_ADAPT_AIR_HEAVY</t>
        </is>
      </c>
      <c r="B157" t="inlineStr">
        <is>
          <t>PURCHASE</t>
        </is>
      </c>
      <c r="C157" t="inlineStr">
        <is>
          <t>P4</t>
        </is>
      </c>
      <c r="D157" t="inlineStr"/>
      <c r="E157" t="inlineStr">
        <is>
          <t>the enemy fields many aircraft: more anti-air</t>
        </is>
      </c>
      <c r="F157" t="inlineStr">
        <is>
          <t>Assets/MachineBrigade/Scripts/Sim/AI/P5/ReasonCodes.cs:66</t>
        </is>
      </c>
      <c r="G157" t="inlineStr"/>
    </row>
    <row r="158">
      <c r="A158" t="inlineStr">
        <is>
          <t>PURCHASE_ADAPT_LOW_UTILIZATION</t>
        </is>
      </c>
      <c r="B158" t="inlineStr">
        <is>
          <t>PURCHASE</t>
        </is>
      </c>
      <c r="C158" t="inlineStr">
        <is>
          <t>P4</t>
        </is>
      </c>
      <c r="D158" t="inlineStr"/>
      <c r="E158" t="inlineStr">
        <is>
          <t>a class that cannot hit what is in reach buys less (same match)</t>
        </is>
      </c>
      <c r="F158" t="inlineStr">
        <is>
          <t>Assets/MachineBrigade/Scripts/Sim/AI/P5/ReasonCodes.cs:65</t>
        </is>
      </c>
      <c r="G158" t="inlineStr"/>
    </row>
    <row r="159">
      <c r="A159" t="inlineStr">
        <is>
          <t>PURCHASE_ADAPT_TOWER_PATTERN</t>
        </is>
      </c>
      <c r="B159" t="inlineStr">
        <is>
          <t>PURCHASE</t>
        </is>
      </c>
      <c r="C159" t="inlineStr">
        <is>
          <t>P4</t>
        </is>
      </c>
      <c r="D159" t="inlineStr"/>
      <c r="E159" t="inlineStr">
        <is>
          <t>the enemy relies on towers: more siege / breach</t>
        </is>
      </c>
      <c r="F159" t="inlineStr">
        <is>
          <t>Assets/MachineBrigade/Scripts/Sim/AI/P5/ReasonCodes.cs:67</t>
        </is>
      </c>
      <c r="G159" t="inlineStr"/>
    </row>
    <row r="160">
      <c r="A160" t="inlineStr">
        <is>
          <t>PURCHASE_BUY</t>
        </is>
      </c>
      <c r="B160" t="inlineStr">
        <is>
          <t>PURCHASE</t>
        </is>
      </c>
      <c r="C160" t="inlineStr">
        <is>
          <t>P0B</t>
        </is>
      </c>
      <c r="D160" t="inlineStr">
        <is>
          <t>BUY</t>
        </is>
      </c>
      <c r="E160" t="inlineStr">
        <is>
          <t>a card bought: score, plan, top plus / minus factors, runner-up (section 94)</t>
        </is>
      </c>
      <c r="F160" t="inlineStr">
        <is>
          <t>Assets/MachineBrigade/Scripts/Sim/AI/P5/ReasonCodes.cs:58</t>
        </is>
      </c>
      <c r="G160" t="inlineStr"/>
    </row>
    <row r="161">
      <c r="A161" t="inlineStr">
        <is>
          <t>PURCHASE_DEPLOYMENT_UNREACHABLE</t>
        </is>
      </c>
      <c r="B161" t="inlineStr">
        <is>
          <t>PURCHASE</t>
        </is>
      </c>
      <c r="C161" t="inlineStr">
        <is>
          <t>P0B</t>
        </is>
      </c>
      <c r="D161" t="inlineStr"/>
      <c r="E161" t="inlineStr">
        <is>
          <t>no deployment point from which the card reaches the fight</t>
        </is>
      </c>
      <c r="F161" t="inlineStr">
        <is>
          <t>Assets/MachineBrigade/Scripts/Sim/AI/P5/ReasonCodes.cs:63</t>
        </is>
      </c>
      <c r="G161" t="inlineStr"/>
    </row>
    <row r="162">
      <c r="A162" t="inlineStr">
        <is>
          <t>PURCHASE_HOLD_FORCE_ENOUGH</t>
        </is>
      </c>
      <c r="B162" t="inlineStr">
        <is>
          <t>PURCHASE</t>
        </is>
      </c>
      <c r="C162" t="inlineStr">
        <is>
          <t>P4</t>
        </is>
      </c>
      <c r="D162" t="inlineStr"/>
      <c r="E162" t="inlineStr">
        <is>
          <t>the forecast says the force is enough: CP held</t>
        </is>
      </c>
      <c r="F162" t="inlineStr">
        <is>
          <t>Assets/MachineBrigade/Scripts/Sim/AI/P5/ReasonCodes.cs:68</t>
        </is>
      </c>
      <c r="G162" t="inlineStr"/>
    </row>
    <row r="163">
      <c r="A163" t="inlineStr">
        <is>
          <t>PURCHASE_NO_MAP_INFLUENCE</t>
        </is>
      </c>
      <c r="B163" t="inlineStr">
        <is>
          <t>PURCHASE</t>
        </is>
      </c>
      <c r="C163" t="inlineStr">
        <is>
          <t>P0B</t>
        </is>
      </c>
      <c r="D163" t="inlineStr"/>
      <c r="E163" t="inlineStr">
        <is>
          <t>the card cannot reach or shoot any objective or enemy on this map</t>
        </is>
      </c>
      <c r="F163" t="inlineStr">
        <is>
          <t>Assets/MachineBrigade/Scripts/Sim/AI/P5/ReasonCodes.cs:62</t>
        </is>
      </c>
      <c r="G163" t="inlineStr"/>
    </row>
    <row r="164">
      <c r="A164" t="inlineStr">
        <is>
          <t>PURCHASE_PLAN</t>
        </is>
      </c>
      <c r="B164" t="inlineStr">
        <is>
          <t>PURCHASE</t>
        </is>
      </c>
      <c r="C164" t="inlineStr">
        <is>
          <t>P0B</t>
        </is>
      </c>
      <c r="D164" t="inlineStr">
        <is>
          <t>PLAN</t>
        </is>
      </c>
      <c r="E164" t="inlineStr">
        <is>
          <t>a purchase plan made or cancelled (section 16)</t>
        </is>
      </c>
      <c r="F164" t="inlineStr">
        <is>
          <t>Assets/MachineBrigade/Scripts/Sim/AI/P5/ReasonCodes.cs:60</t>
        </is>
      </c>
      <c r="G164" t="inlineStr"/>
    </row>
    <row r="165">
      <c r="A165" t="inlineStr">
        <is>
          <t>PURCHASE_REJECT</t>
        </is>
      </c>
      <c r="B165" t="inlineStr">
        <is>
          <t>PURCHASE</t>
        </is>
      </c>
      <c r="C165" t="inlineStr">
        <is>
          <t>P0B</t>
        </is>
      </c>
      <c r="D165" t="inlineStr">
        <is>
          <t>REJECT</t>
        </is>
      </c>
      <c r="E165" t="inlineStr">
        <is>
          <t>a card rejected before scoring, with its PURCHASE_* reason (section 94)</t>
        </is>
      </c>
      <c r="F165" t="inlineStr">
        <is>
          <t>Assets/MachineBrigade/Scripts/Sim/AI/P5/ReasonCodes.cs:59</t>
        </is>
      </c>
      <c r="G165" t="inlineStr"/>
    </row>
    <row r="166">
      <c r="A166" t="inlineStr">
        <is>
          <t>PURCHASE_RESERVE</t>
        </is>
      </c>
      <c r="B166" t="inlineStr">
        <is>
          <t>PURCHASE</t>
        </is>
      </c>
      <c r="C166" t="inlineStr">
        <is>
          <t>P0B</t>
        </is>
      </c>
      <c r="D166" t="inlineStr">
        <is>
          <t>RESERVE</t>
        </is>
      </c>
      <c r="E166" t="inlineStr">
        <is>
          <t>CP held back for a counter card (section 17)</t>
        </is>
      </c>
      <c r="F166" t="inlineStr">
        <is>
          <t>Assets/MachineBrigade/Scripts/Sim/AI/P5/ReasonCodes.cs:61</t>
        </is>
      </c>
      <c r="G166" t="inlineStr"/>
    </row>
    <row r="167">
      <c r="A167" t="inlineStr">
        <is>
          <t>PURCHASE_RESERVE_BOSS_PHASE</t>
        </is>
      </c>
      <c r="B167" t="inlineStr">
        <is>
          <t>PURCHASE</t>
        </is>
      </c>
      <c r="C167" t="inlineStr">
        <is>
          <t>P4</t>
        </is>
      </c>
      <c r="D167" t="inlineStr"/>
      <c r="E167" t="inlineStr">
        <is>
          <t>CP held for a seen boss near its phase change</t>
        </is>
      </c>
      <c r="F167" t="inlineStr">
        <is>
          <t>Assets/MachineBrigade/Scripts/Sim/AI/P5/ReasonCodes.cs:69</t>
        </is>
      </c>
      <c r="G167" t="inlineStr"/>
    </row>
    <row r="168">
      <c r="A168" t="inlineStr">
        <is>
          <t>PURCHASE_ROLE_SATURATED</t>
        </is>
      </c>
      <c r="B168" t="inlineStr">
        <is>
          <t>PURCHASE</t>
        </is>
      </c>
      <c r="C168" t="inlineStr">
        <is>
          <t>P0B</t>
        </is>
      </c>
      <c r="D168" t="inlineStr">
        <is>
          <t>role-saturated</t>
        </is>
      </c>
      <c r="E168" t="inlineStr">
        <is>
          <t>the card's role is above its share (BUY factor)</t>
        </is>
      </c>
      <c r="F168" t="inlineStr">
        <is>
          <t>Assets/MachineBrigade/Scripts/Sim/AI/P5/ReasonCodes.cs:64</t>
        </is>
      </c>
      <c r="G168" t="inlineStr"/>
    </row>
    <row r="169">
      <c r="A169" t="inlineStr">
        <is>
          <t>ROLE_APS_LOST</t>
        </is>
      </c>
      <c r="B169" t="inlineStr">
        <is>
          <t>ROLE</t>
        </is>
      </c>
      <c r="C169" t="inlineStr">
        <is>
          <t>P2</t>
        </is>
      </c>
      <c r="D169" t="inlineStr"/>
      <c r="E169" t="inlineStr">
        <is>
          <t>APS lost</t>
        </is>
      </c>
      <c r="F169" t="inlineStr">
        <is>
          <t>Assets/MachineBrigade/Scripts/Sim/AI/P5/ReasonCodes.cs:325</t>
        </is>
      </c>
      <c r="G169" t="inlineStr"/>
    </row>
    <row r="170">
      <c r="A170" t="inlineStr">
        <is>
          <t>ROLE_CAPABILITY_RESTORED</t>
        </is>
      </c>
      <c r="B170" t="inlineStr">
        <is>
          <t>ROLE</t>
        </is>
      </c>
      <c r="C170" t="inlineStr">
        <is>
          <t>P2</t>
        </is>
      </c>
      <c r="D170" t="inlineStr"/>
      <c r="E170" t="inlineStr">
        <is>
          <t>capability restored</t>
        </is>
      </c>
      <c r="F170" t="inlineStr">
        <is>
          <t>Assets/MachineBrigade/Scripts/Sim/AI/P5/ReasonCodes.cs:326</t>
        </is>
      </c>
      <c r="G170" t="inlineStr"/>
    </row>
    <row r="171">
      <c r="A171" t="inlineStr">
        <is>
          <t>ROLE_ENGINE_CRIPPLED</t>
        </is>
      </c>
      <c r="B171" t="inlineStr">
        <is>
          <t>ROLE</t>
        </is>
      </c>
      <c r="C171" t="inlineStr">
        <is>
          <t>P2</t>
        </is>
      </c>
      <c r="D171" t="inlineStr"/>
      <c r="E171" t="inlineStr">
        <is>
          <t>engine crippled</t>
        </is>
      </c>
      <c r="F171" t="inlineStr">
        <is>
          <t>Assets/MachineBrigade/Scripts/Sim/AI/P5/ReasonCodes.cs:324</t>
        </is>
      </c>
      <c r="G171" t="inlineStr"/>
    </row>
    <row r="172">
      <c r="A172" t="inlineStr">
        <is>
          <t>ROLE_MAIN_GUN_LOST_SCREEN</t>
        </is>
      </c>
      <c r="B172" t="inlineStr">
        <is>
          <t>ROLE</t>
        </is>
      </c>
      <c r="C172" t="inlineStr">
        <is>
          <t>P2</t>
        </is>
      </c>
      <c r="D172" t="inlineStr"/>
      <c r="E172" t="inlineStr">
        <is>
          <t>main gun lost: screen role</t>
        </is>
      </c>
      <c r="F172" t="inlineStr">
        <is>
          <t>Assets/MachineBrigade/Scripts/Sim/AI/P5/ReasonCodes.cs:323</t>
        </is>
      </c>
      <c r="G172" t="inlineStr"/>
    </row>
    <row r="173">
      <c r="A173" t="inlineStr">
        <is>
          <t>ROUTE_ALT_CONGESTION</t>
        </is>
      </c>
      <c r="B173" t="inlineStr">
        <is>
          <t>ROUTE</t>
        </is>
      </c>
      <c r="C173" t="inlineStr">
        <is>
          <t>P1</t>
        </is>
      </c>
      <c r="D173" t="inlineStr"/>
      <c r="E173" t="inlineStr">
        <is>
          <t>predicted congestion: a way round</t>
        </is>
      </c>
      <c r="F173" t="inlineStr">
        <is>
          <t>Assets/MachineBrigade/Scripts/Sim/AI/P5/ReasonCodes.cs:114</t>
        </is>
      </c>
      <c r="G173" t="inlineStr"/>
    </row>
    <row r="174">
      <c r="A174" t="inlineStr">
        <is>
          <t>ROUTE_DIVERSITY</t>
        </is>
      </c>
      <c r="B174" t="inlineStr">
        <is>
          <t>ROUTE</t>
        </is>
      </c>
      <c r="C174" t="inlineStr">
        <is>
          <t>P3</t>
        </is>
      </c>
      <c r="D174" t="inlineStr"/>
      <c r="E174" t="inlineStr">
        <is>
          <t>route diversity: a different lane</t>
        </is>
      </c>
      <c r="F174" t="inlineStr">
        <is>
          <t>Assets/MachineBrigade/Scripts/Sim/AI/P5/ReasonCodes.cs:118</t>
        </is>
      </c>
      <c r="G174" t="inlineStr"/>
    </row>
    <row r="175">
      <c r="A175" t="inlineStr">
        <is>
          <t>ROUTE_FAILED_REMEMBERED</t>
        </is>
      </c>
      <c r="B175" t="inlineStr">
        <is>
          <t>ROUTE</t>
        </is>
      </c>
      <c r="C175" t="inlineStr">
        <is>
          <t>P3</t>
        </is>
      </c>
      <c r="D175" t="inlineStr"/>
      <c r="E175" t="inlineStr">
        <is>
          <t>a failed route remembered</t>
        </is>
      </c>
      <c r="F175" t="inlineStr">
        <is>
          <t>Assets/MachineBrigade/Scripts/Sim/AI/P5/ReasonCodes.cs:120</t>
        </is>
      </c>
      <c r="G175" t="inlineStr"/>
    </row>
    <row r="176">
      <c r="A176" t="inlineStr">
        <is>
          <t>ROUTE_FRONTAGE_SECOND_ROUTE</t>
        </is>
      </c>
      <c r="B176" t="inlineStr">
        <is>
          <t>ROUTE</t>
        </is>
      </c>
      <c r="C176" t="inlineStr">
        <is>
          <t>P3</t>
        </is>
      </c>
      <c r="D176" t="inlineStr"/>
      <c r="E176" t="inlineStr">
        <is>
          <t>frontage overflow: a second route</t>
        </is>
      </c>
      <c r="F176" t="inlineStr">
        <is>
          <t>Assets/MachineBrigade/Scripts/Sim/AI/P5/ReasonCodes.cs:116</t>
        </is>
      </c>
      <c r="G176" t="inlineStr"/>
    </row>
    <row r="177">
      <c r="A177" t="inlineStr">
        <is>
          <t>ROUTE_FRONTAGE_STAGGER_WAVE</t>
        </is>
      </c>
      <c r="B177" t="inlineStr">
        <is>
          <t>ROUTE</t>
        </is>
      </c>
      <c r="C177" t="inlineStr">
        <is>
          <t>P3</t>
        </is>
      </c>
      <c r="D177" t="inlineStr"/>
      <c r="E177" t="inlineStr">
        <is>
          <t>frontage overflow: a later wave</t>
        </is>
      </c>
      <c r="F177" t="inlineStr">
        <is>
          <t>Assets/MachineBrigade/Scripts/Sim/AI/P5/ReasonCodes.cs:117</t>
        </is>
      </c>
      <c r="G177" t="inlineStr"/>
    </row>
    <row r="178">
      <c r="A178" t="inlineStr">
        <is>
          <t>ROUTE_PROBE_LANE_BLOCKED</t>
        </is>
      </c>
      <c r="B178" t="inlineStr">
        <is>
          <t>ROUTE</t>
        </is>
      </c>
      <c r="C178" t="inlineStr">
        <is>
          <t>P4</t>
        </is>
      </c>
      <c r="D178" t="inlineStr"/>
      <c r="E178" t="inlineStr">
        <is>
          <t>the probe found the lane blocked</t>
        </is>
      </c>
      <c r="F178" t="inlineStr">
        <is>
          <t>Assets/MachineBrigade/Scripts/Sim/AI/P5/ReasonCodes.cs:121</t>
        </is>
      </c>
      <c r="G178" t="inlineStr"/>
    </row>
    <row r="179">
      <c r="A179" t="inlineStr">
        <is>
          <t>ROUTE_RECENT_LOSSES</t>
        </is>
      </c>
      <c r="B179" t="inlineStr">
        <is>
          <t>ROUTE</t>
        </is>
      </c>
      <c r="C179" t="inlineStr">
        <is>
          <t>P3</t>
        </is>
      </c>
      <c r="D179" t="inlineStr"/>
      <c r="E179" t="inlineStr">
        <is>
          <t>recent deaths on the route: avoided</t>
        </is>
      </c>
      <c r="F179" t="inlineStr">
        <is>
          <t>Assets/MachineBrigade/Scripts/Sim/AI/P5/ReasonCodes.cs:119</t>
        </is>
      </c>
      <c r="G179" t="inlineStr"/>
    </row>
    <row r="180">
      <c r="A180" t="inlineStr">
        <is>
          <t>ROUTE_WRECK_REPLAN</t>
        </is>
      </c>
      <c r="B180" t="inlineStr">
        <is>
          <t>ROUTE</t>
        </is>
      </c>
      <c r="C180" t="inlineStr">
        <is>
          <t>P1</t>
        </is>
      </c>
      <c r="D180" t="inlineStr"/>
      <c r="E180" t="inlineStr">
        <is>
          <t>a wreck on the path: replanned</t>
        </is>
      </c>
      <c r="F180" t="inlineStr">
        <is>
          <t>Assets/MachineBrigade/Scripts/Sim/AI/P5/ReasonCodes.cs:115</t>
        </is>
      </c>
      <c r="G180" t="inlineStr"/>
    </row>
    <row r="181">
      <c r="A181" t="inlineStr">
        <is>
          <t>SEVERE_UNSTUCK</t>
        </is>
      </c>
      <c r="B181" t="inlineStr">
        <is>
          <t>JAM</t>
        </is>
      </c>
      <c r="C181" t="inlineStr">
        <is>
          <t>P1</t>
        </is>
      </c>
      <c r="D181" t="inlineStr"/>
      <c r="E181" t="inlineStr">
        <is>
          <t>fail-safe relocation (place / hop); counted, target &lt;= 1 per 10 unit-minutes</t>
        </is>
      </c>
      <c r="F181" t="inlineStr">
        <is>
          <t>Assets/MachineBrigade/Scripts/Sim/AI/P5/ReasonCodes.cs:150</t>
        </is>
      </c>
      <c r="G181" t="inlineStr"/>
    </row>
    <row r="182">
      <c r="A182" t="inlineStr">
        <is>
          <t>SQUAD_CUE</t>
        </is>
      </c>
      <c r="B182" t="inlineStr">
        <is>
          <t>SQUAD</t>
        </is>
      </c>
      <c r="C182" t="inlineStr">
        <is>
          <t>P4</t>
        </is>
      </c>
      <c r="D182" t="inlineStr"/>
      <c r="E182" t="inlineStr">
        <is>
          <t>a tactical communication cue (spec 215; presentation only)</t>
        </is>
      </c>
      <c r="F182" t="inlineStr">
        <is>
          <t>Assets/MachineBrigade/Scripts/Sim/AI/P5/ReasonCodes.cs:322</t>
        </is>
      </c>
      <c r="G182" t="inlineStr"/>
    </row>
    <row r="183">
      <c r="A183" t="inlineStr">
        <is>
          <t>SQUAD_LIFECYCLE</t>
        </is>
      </c>
      <c r="B183" t="inlineStr">
        <is>
          <t>SQUAD</t>
        </is>
      </c>
      <c r="C183" t="inlineStr">
        <is>
          <t>P2</t>
        </is>
      </c>
      <c r="D183" t="inlineStr"/>
      <c r="E183" t="inlineStr">
        <is>
          <t>squad lifecycle stage</t>
        </is>
      </c>
      <c r="F183" t="inlineStr">
        <is>
          <t>Assets/MachineBrigade/Scripts/Sim/AI/P5/ReasonCodes.cs:315</t>
        </is>
      </c>
      <c r="G183" t="inlineStr"/>
    </row>
    <row r="184">
      <c r="A184" t="inlineStr">
        <is>
          <t>SQUAD_MERGE</t>
        </is>
      </c>
      <c r="B184" t="inlineStr">
        <is>
          <t>SQUAD</t>
        </is>
      </c>
      <c r="C184" t="inlineStr">
        <is>
          <t>P2</t>
        </is>
      </c>
      <c r="D184" t="inlineStr"/>
      <c r="E184" t="inlineStr">
        <is>
          <t>squads merged</t>
        </is>
      </c>
      <c r="F184" t="inlineStr">
        <is>
          <t>Assets/MachineBrigade/Scripts/Sim/AI/P5/ReasonCodes.cs:316</t>
        </is>
      </c>
      <c r="G184" t="inlineStr"/>
    </row>
    <row r="185">
      <c r="A185" t="inlineStr">
        <is>
          <t>SQUAD_REGROUP_COHESION</t>
        </is>
      </c>
      <c r="B185" t="inlineStr">
        <is>
          <t>SQUAD</t>
        </is>
      </c>
      <c r="C185" t="inlineStr">
        <is>
          <t>P2</t>
        </is>
      </c>
      <c r="D185" t="inlineStr"/>
      <c r="E185" t="inlineStr">
        <is>
          <t>regroup for cohesion</t>
        </is>
      </c>
      <c r="F185" t="inlineStr">
        <is>
          <t>Assets/MachineBrigade/Scripts/Sim/AI/P5/ReasonCodes.cs:320</t>
        </is>
      </c>
      <c r="G185" t="inlineStr"/>
    </row>
    <row r="186">
      <c r="A186" t="inlineStr">
        <is>
          <t>SQUAD_REINFORCEMENT_JOINED</t>
        </is>
      </c>
      <c r="B186" t="inlineStr">
        <is>
          <t>SQUAD</t>
        </is>
      </c>
      <c r="C186" t="inlineStr">
        <is>
          <t>P2</t>
        </is>
      </c>
      <c r="D186" t="inlineStr"/>
      <c r="E186" t="inlineStr">
        <is>
          <t>reinforcement joined</t>
        </is>
      </c>
      <c r="F186" t="inlineStr">
        <is>
          <t>Assets/MachineBrigade/Scripts/Sim/AI/P5/ReasonCodes.cs:319</t>
        </is>
      </c>
      <c r="G186" t="inlineStr"/>
    </row>
    <row r="187">
      <c r="A187" t="inlineStr">
        <is>
          <t>SQUAD_REINFORCEMENT_RENDEZVOUS</t>
        </is>
      </c>
      <c r="B187" t="inlineStr">
        <is>
          <t>SQUAD</t>
        </is>
      </c>
      <c r="C187" t="inlineStr">
        <is>
          <t>P2</t>
        </is>
      </c>
      <c r="D187" t="inlineStr"/>
      <c r="E187" t="inlineStr">
        <is>
          <t>reinforcement driving to the rendezvous</t>
        </is>
      </c>
      <c r="F187" t="inlineStr">
        <is>
          <t>Assets/MachineBrigade/Scripts/Sim/AI/P5/ReasonCodes.cs:318</t>
        </is>
      </c>
      <c r="G187" t="inlineStr"/>
    </row>
    <row r="188">
      <c r="A188" t="inlineStr">
        <is>
          <t>SQUAD_SPLIT</t>
        </is>
      </c>
      <c r="B188" t="inlineStr">
        <is>
          <t>SQUAD</t>
        </is>
      </c>
      <c r="C188" t="inlineStr">
        <is>
          <t>P2</t>
        </is>
      </c>
      <c r="D188" t="inlineStr"/>
      <c r="E188" t="inlineStr">
        <is>
          <t>squad split</t>
        </is>
      </c>
      <c r="F188" t="inlineStr">
        <is>
          <t>Assets/MachineBrigade/Scripts/Sim/AI/P5/ReasonCodes.cs:317</t>
        </is>
      </c>
      <c r="G188" t="inlineStr"/>
    </row>
    <row r="189">
      <c r="A189" t="inlineStr">
        <is>
          <t>SQUAD_SPLIT_TWO_OBJECTIVES</t>
        </is>
      </c>
      <c r="B189" t="inlineStr">
        <is>
          <t>SQUAD</t>
        </is>
      </c>
      <c r="C189" t="inlineStr">
        <is>
          <t>P3</t>
        </is>
      </c>
      <c r="D189" t="inlineStr"/>
      <c r="E189" t="inlineStr">
        <is>
          <t>split over two objectives</t>
        </is>
      </c>
      <c r="F189" t="inlineStr">
        <is>
          <t>Assets/MachineBrigade/Scripts/Sim/AI/P5/ReasonCodes.cs:321</t>
        </is>
      </c>
      <c r="G189" t="inlineStr"/>
    </row>
    <row r="190">
      <c r="A190" t="inlineStr">
        <is>
          <t>SUPPORT_AA_COVERAGE_ASSIGNED</t>
        </is>
      </c>
      <c r="B190" t="inlineStr">
        <is>
          <t>SUPPORT</t>
        </is>
      </c>
      <c r="C190" t="inlineStr">
        <is>
          <t>P3</t>
        </is>
      </c>
      <c r="D190" t="inlineStr"/>
      <c r="E190" t="inlineStr">
        <is>
          <t>AA assigned to cover an asset</t>
        </is>
      </c>
      <c r="F190" t="inlineStr">
        <is>
          <t>Assets/MachineBrigade/Scripts/Sim/AI/P5/ReasonCodes.cs:223</t>
        </is>
      </c>
      <c r="G190" t="inlineStr"/>
    </row>
    <row r="191">
      <c r="A191" t="inlineStr">
        <is>
          <t>SUPPORT_AA_COVERAGE_HANDOFF</t>
        </is>
      </c>
      <c r="B191" t="inlineStr">
        <is>
          <t>SUPPORT</t>
        </is>
      </c>
      <c r="C191" t="inlineStr">
        <is>
          <t>P2</t>
        </is>
      </c>
      <c r="D191" t="inlineStr"/>
      <c r="E191" t="inlineStr">
        <is>
          <t>radar lost: AA coverage handed off</t>
        </is>
      </c>
      <c r="F191" t="inlineStr">
        <is>
          <t>Assets/MachineBrigade/Scripts/Sim/AI/P5/ReasonCodes.cs:222</t>
        </is>
      </c>
      <c r="G191" t="inlineStr"/>
    </row>
    <row r="192">
      <c r="A192" t="inlineStr">
        <is>
          <t>SUPPORT_FORECAST_BARRAGE</t>
        </is>
      </c>
      <c r="B192" t="inlineStr">
        <is>
          <t>SUPPORT</t>
        </is>
      </c>
      <c r="C192" t="inlineStr">
        <is>
          <t>P4</t>
        </is>
      </c>
      <c r="D192" t="inlineStr"/>
      <c r="E192" t="inlineStr">
        <is>
          <t>a barrage the forecast asks for</t>
        </is>
      </c>
      <c r="F192" t="inlineStr">
        <is>
          <t>Assets/MachineBrigade/Scripts/Sim/AI/P5/ReasonCodes.cs:227</t>
        </is>
      </c>
      <c r="G192" t="inlineStr"/>
    </row>
    <row r="193">
      <c r="A193" t="inlineStr">
        <is>
          <t>SUPPORT_REPAIR_RESERVED</t>
        </is>
      </c>
      <c r="B193" t="inlineStr">
        <is>
          <t>SUPPORT</t>
        </is>
      </c>
      <c r="C193" t="inlineStr">
        <is>
          <t>P3</t>
        </is>
      </c>
      <c r="D193" t="inlineStr"/>
      <c r="E193" t="inlineStr">
        <is>
          <t>a repair slot reserved</t>
        </is>
      </c>
      <c r="F193" t="inlineStr">
        <is>
          <t>Assets/MachineBrigade/Scripts/Sim/AI/P5/ReasonCodes.cs:224</t>
        </is>
      </c>
      <c r="G193" t="inlineStr"/>
    </row>
    <row r="194">
      <c r="A194" t="inlineStr">
        <is>
          <t>SUPPORT_SMOKE_DECONFLICTED</t>
        </is>
      </c>
      <c r="B194" t="inlineStr">
        <is>
          <t>SUPPORT</t>
        </is>
      </c>
      <c r="C194" t="inlineStr">
        <is>
          <t>P3</t>
        </is>
      </c>
      <c r="D194" t="inlineStr"/>
      <c r="E194" t="inlineStr">
        <is>
          <t>smoke kept off a friendly firing lane</t>
        </is>
      </c>
      <c r="F194" t="inlineStr">
        <is>
          <t>Assets/MachineBrigade/Scripts/Sim/AI/P5/ReasonCodes.cs:225</t>
        </is>
      </c>
      <c r="G194" t="inlineStr"/>
    </row>
    <row r="195">
      <c r="A195" t="inlineStr">
        <is>
          <t>SUPPORT_SMOKE_PLANNED</t>
        </is>
      </c>
      <c r="B195" t="inlineStr">
        <is>
          <t>SUPPORT</t>
        </is>
      </c>
      <c r="C195" t="inlineStr">
        <is>
          <t>P3</t>
        </is>
      </c>
      <c r="D195" t="inlineStr"/>
      <c r="E195" t="inlineStr">
        <is>
          <t>smoke planned</t>
        </is>
      </c>
      <c r="F195" t="inlineStr">
        <is>
          <t>Assets/MachineBrigade/Scripts/Sim/AI/P5/ReasonCodes.cs:226</t>
        </is>
      </c>
      <c r="G195" t="inlineStr"/>
    </row>
    <row r="196">
      <c r="A196" t="inlineStr">
        <is>
          <t>TARGET_ADAPT_BAIT_LEASH</t>
        </is>
      </c>
      <c r="B196" t="inlineStr">
        <is>
          <t>TARGET</t>
        </is>
      </c>
      <c r="C196" t="inlineStr">
        <is>
          <t>P4</t>
        </is>
      </c>
      <c r="D196" t="inlineStr"/>
      <c r="E196" t="inlineStr">
        <is>
          <t>a baited lane: shorter pursuit leash</t>
        </is>
      </c>
      <c r="F196" t="inlineStr">
        <is>
          <t>Assets/MachineBrigade/Scripts/Sim/AI/P5/ReasonCodes.cs:98</t>
        </is>
      </c>
      <c r="G196" t="inlineStr"/>
    </row>
    <row r="197">
      <c r="A197" t="inlineStr">
        <is>
          <t>TARGET_AIM_TOO_LONG</t>
        </is>
      </c>
      <c r="B197" t="inlineStr">
        <is>
          <t>TARGET</t>
        </is>
      </c>
      <c r="C197" t="inlineStr">
        <is>
          <t>P0A</t>
        </is>
      </c>
      <c r="D197" t="inlineStr"/>
      <c r="E197" t="inlineStr">
        <is>
          <t>the aim would take longer than the cut</t>
        </is>
      </c>
      <c r="F197" t="inlineStr">
        <is>
          <t>Assets/MachineBrigade/Scripts/Sim/AI/P5/ReasonCodes.cs:80</t>
        </is>
      </c>
      <c r="G197" t="inlineStr"/>
    </row>
    <row r="198">
      <c r="A198" t="inlineStr">
        <is>
          <t>TARGET_AMBUSH_DETECTED</t>
        </is>
      </c>
      <c r="B198" t="inlineStr">
        <is>
          <t>TARGET</t>
        </is>
      </c>
      <c r="C198" t="inlineStr">
        <is>
          <t>P3</t>
        </is>
      </c>
      <c r="D198" t="inlineStr"/>
      <c r="E198" t="inlineStr">
        <is>
          <t>ambush opens: spotted</t>
        </is>
      </c>
      <c r="F198" t="inlineStr">
        <is>
          <t>Assets/MachineBrigade/Scripts/Sim/AI/P5/ReasonCodes.cs:96</t>
        </is>
      </c>
      <c r="G198" t="inlineStr"/>
    </row>
    <row r="199">
      <c r="A199" t="inlineStr">
        <is>
          <t>TARGET_AMBUSH_OPEN_HIGH_VALUE</t>
        </is>
      </c>
      <c r="B199" t="inlineStr">
        <is>
          <t>TARGET</t>
        </is>
      </c>
      <c r="C199" t="inlineStr">
        <is>
          <t>P3</t>
        </is>
      </c>
      <c r="D199" t="inlineStr"/>
      <c r="E199" t="inlineStr">
        <is>
          <t>ambush opens on a high-value target</t>
        </is>
      </c>
      <c r="F199" t="inlineStr">
        <is>
          <t>Assets/MachineBrigade/Scripts/Sim/AI/P5/ReasonCodes.cs:95</t>
        </is>
      </c>
      <c r="G199" t="inlineStr"/>
    </row>
    <row r="200">
      <c r="A200" t="inlineStr">
        <is>
          <t>TARGET_AMBUSH_OPEN_RANGE</t>
        </is>
      </c>
      <c r="B200" t="inlineStr">
        <is>
          <t>TARGET</t>
        </is>
      </c>
      <c r="C200" t="inlineStr">
        <is>
          <t>P3</t>
        </is>
      </c>
      <c r="D200" t="inlineStr"/>
      <c r="E200" t="inlineStr">
        <is>
          <t>ambush opens: the enemy at the kill range</t>
        </is>
      </c>
      <c r="F200" t="inlineStr">
        <is>
          <t>Assets/MachineBrigade/Scripts/Sim/AI/P5/ReasonCodes.cs:94</t>
        </is>
      </c>
      <c r="G200" t="inlineStr"/>
    </row>
    <row r="201">
      <c r="A201" t="inlineStr">
        <is>
          <t>TARGET_AMBUSH_SYNC_VOLLEY</t>
        </is>
      </c>
      <c r="B201" t="inlineStr">
        <is>
          <t>TARGET</t>
        </is>
      </c>
      <c r="C201" t="inlineStr">
        <is>
          <t>P3</t>
        </is>
      </c>
      <c r="D201" t="inlineStr"/>
      <c r="E201" t="inlineStr">
        <is>
          <t>ambush opens in one volley</t>
        </is>
      </c>
      <c r="F201" t="inlineStr">
        <is>
          <t>Assets/MachineBrigade/Scripts/Sim/AI/P5/ReasonCodes.cs:97</t>
        </is>
      </c>
      <c r="G201" t="inlineStr"/>
    </row>
    <row r="202">
      <c r="A202" t="inlineStr">
        <is>
          <t>TARGET_BREACH_FIRST</t>
        </is>
      </c>
      <c r="B202" t="inlineStr">
        <is>
          <t>TARGET</t>
        </is>
      </c>
      <c r="C202" t="inlineStr">
        <is>
          <t>P0A</t>
        </is>
      </c>
      <c r="D202" t="inlineStr"/>
      <c r="E202" t="inlineStr">
        <is>
          <t>the wall in front of the target first</t>
        </is>
      </c>
      <c r="F202" t="inlineStr">
        <is>
          <t>Assets/MachineBrigade/Scripts/Sim/AI/P5/ReasonCodes.cs:85</t>
        </is>
      </c>
      <c r="G202" t="inlineStr"/>
    </row>
    <row r="203">
      <c r="A203" t="inlineStr">
        <is>
          <t>TARGET_BREACH_HELD</t>
        </is>
      </c>
      <c r="B203" t="inlineStr">
        <is>
          <t>TARGET</t>
        </is>
      </c>
      <c r="C203" t="inlineStr">
        <is>
          <t>P0A</t>
        </is>
      </c>
      <c r="D203" t="inlineStr"/>
      <c r="E203" t="inlineStr">
        <is>
          <t>a breacher keeps its wall against a non-threat</t>
        </is>
      </c>
      <c r="F203" t="inlineStr">
        <is>
          <t>Assets/MachineBrigade/Scripts/Sim/AI/P5/ReasonCodes.cs:84</t>
        </is>
      </c>
      <c r="G203" t="inlineStr"/>
    </row>
    <row r="204">
      <c r="A204" t="inlineStr">
        <is>
          <t>TARGET_CUTOFF_CHOKE</t>
        </is>
      </c>
      <c r="B204" t="inlineStr">
        <is>
          <t>TARGET</t>
        </is>
      </c>
      <c r="C204" t="inlineStr">
        <is>
          <t>P3</t>
        </is>
      </c>
      <c r="D204" t="inlineStr"/>
      <c r="E204" t="inlineStr">
        <is>
          <t>cut off at the choke instead of chasing</t>
        </is>
      </c>
      <c r="F204" t="inlineStr">
        <is>
          <t>Assets/MachineBrigade/Scripts/Sim/AI/P5/ReasonCodes.cs:90</t>
        </is>
      </c>
      <c r="G204" t="inlineStr"/>
    </row>
    <row r="205">
      <c r="A205" t="inlineStr">
        <is>
          <t>TARGET_FOCUS_FIRE</t>
        </is>
      </c>
      <c r="B205" t="inlineStr">
        <is>
          <t>TARGET</t>
        </is>
      </c>
      <c r="C205" t="inlineStr">
        <is>
          <t>P3</t>
        </is>
      </c>
      <c r="D205" t="inlineStr"/>
      <c r="E205" t="inlineStr">
        <is>
          <t>squad focus fire (threat, near kill, boss, high value)</t>
        </is>
      </c>
      <c r="F205" t="inlineStr">
        <is>
          <t>Assets/MachineBrigade/Scripts/Sim/AI/P5/ReasonCodes.cs:91</t>
        </is>
      </c>
      <c r="G205" t="inlineStr"/>
    </row>
    <row r="206">
      <c r="A206" t="inlineStr">
        <is>
          <t>TARGET_HANDOFF_SUITABILITY</t>
        </is>
      </c>
      <c r="B206" t="inlineStr">
        <is>
          <t>TARGET</t>
        </is>
      </c>
      <c r="C206" t="inlineStr">
        <is>
          <t>P3</t>
        </is>
      </c>
      <c r="D206" t="inlineStr"/>
      <c r="E206" t="inlineStr">
        <is>
          <t>the target handed to the better-suited shooter</t>
        </is>
      </c>
      <c r="F206" t="inlineStr">
        <is>
          <t>Assets/MachineBrigade/Scripts/Sim/AI/P5/ReasonCodes.cs:93</t>
        </is>
      </c>
      <c r="G206" t="inlineStr"/>
    </row>
    <row r="207">
      <c r="A207" t="inlineStr">
        <is>
          <t>TARGET_INTERCEPT_PREDICT</t>
        </is>
      </c>
      <c r="B207" t="inlineStr">
        <is>
          <t>TARGET</t>
        </is>
      </c>
      <c r="C207" t="inlineStr">
        <is>
          <t>P3</t>
        </is>
      </c>
      <c r="D207" t="inlineStr"/>
      <c r="E207" t="inlineStr">
        <is>
          <t>intercept at the predicted point</t>
        </is>
      </c>
      <c r="F207" t="inlineStr">
        <is>
          <t>Assets/MachineBrigade/Scripts/Sim/AI/P5/ReasonCodes.cs:89</t>
        </is>
      </c>
      <c r="G207" t="inlineStr"/>
    </row>
    <row r="208">
      <c r="A208" t="inlineStr">
        <is>
          <t>TARGET_INVALID</t>
        </is>
      </c>
      <c r="B208" t="inlineStr">
        <is>
          <t>TARGET</t>
        </is>
      </c>
      <c r="C208" t="inlineStr">
        <is>
          <t>P0A</t>
        </is>
      </c>
      <c r="D208" t="inlineStr"/>
      <c r="E208" t="inlineStr">
        <is>
          <t>dead, untargetable, truce or ceasefire</t>
        </is>
      </c>
      <c r="F208" t="inlineStr">
        <is>
          <t>Assets/MachineBrigade/Scripts/Sim/AI/P5/ReasonCodes.cs:73</t>
        </is>
      </c>
      <c r="G208" t="inlineStr"/>
    </row>
    <row r="209">
      <c r="A209" t="inlineStr">
        <is>
          <t>TARGET_KEEP_WHILE_RELOADING</t>
        </is>
      </c>
      <c r="B209" t="inlineStr">
        <is>
          <t>TARGET</t>
        </is>
      </c>
      <c r="C209" t="inlineStr">
        <is>
          <t>P5</t>
        </is>
      </c>
      <c r="D209" t="inlineStr"/>
      <c r="E209" t="inlineStr">
        <is>
          <t>a reloading mount keeps its valid target (Part L; counted, not logged per shot)</t>
        </is>
      </c>
      <c r="F209" t="inlineStr">
        <is>
          <t>Assets/MachineBrigade/Scripts/Sim/AI/P5/ReasonCodes.cs:99</t>
        </is>
      </c>
      <c r="G209" t="inlineStr"/>
    </row>
    <row r="210">
      <c r="A210" t="inlineStr">
        <is>
          <t>TARGET_MIN_RANGE</t>
        </is>
      </c>
      <c r="B210" t="inlineStr">
        <is>
          <t>TARGET</t>
        </is>
      </c>
      <c r="C210" t="inlineStr">
        <is>
          <t>P0A</t>
        </is>
      </c>
      <c r="D210" t="inlineStr"/>
      <c r="E210" t="inlineStr">
        <is>
          <t>inside the weapon's minimum range</t>
        </is>
      </c>
      <c r="F210" t="inlineStr">
        <is>
          <t>Assets/MachineBrigade/Scripts/Sim/AI/P5/ReasonCodes.cs:77</t>
        </is>
      </c>
      <c r="G210" t="inlineStr"/>
    </row>
    <row r="211">
      <c r="A211" t="inlineStr">
        <is>
          <t>TARGET_NOT_VISIBLE</t>
        </is>
      </c>
      <c r="B211" t="inlineStr">
        <is>
          <t>TARGET</t>
        </is>
      </c>
      <c r="C211" t="inlineStr">
        <is>
          <t>P0A</t>
        </is>
      </c>
      <c r="D211" t="inlineStr"/>
      <c r="E211" t="inlineStr">
        <is>
          <t>not seen by the side (fog)</t>
        </is>
      </c>
      <c r="F211" t="inlineStr">
        <is>
          <t>Assets/MachineBrigade/Scripts/Sim/AI/P5/ReasonCodes.cs:75</t>
        </is>
      </c>
      <c r="G211" t="inlineStr"/>
    </row>
    <row r="212">
      <c r="A212" t="inlineStr">
        <is>
          <t>TARGET_NO_FIRING_SOLUTION</t>
        </is>
      </c>
      <c r="B212" t="inlineStr">
        <is>
          <t>TARGET</t>
        </is>
      </c>
      <c r="C212" t="inlineStr">
        <is>
          <t>P0A</t>
        </is>
      </c>
      <c r="D212" t="inlineStr"/>
      <c r="E212" t="inlineStr">
        <is>
          <t>no line of fire</t>
        </is>
      </c>
      <c r="F212" t="inlineStr">
        <is>
          <t>Assets/MachineBrigade/Scripts/Sim/AI/P5/ReasonCodes.cs:78</t>
        </is>
      </c>
      <c r="G212" t="inlineStr"/>
    </row>
    <row r="213">
      <c r="A213" t="inlineStr">
        <is>
          <t>TARGET_OK</t>
        </is>
      </c>
      <c r="B213" t="inlineStr">
        <is>
          <t>TARGET</t>
        </is>
      </c>
      <c r="C213" t="inlineStr">
        <is>
          <t>P0A</t>
        </is>
      </c>
      <c r="D213" t="inlineStr"/>
      <c r="E213" t="inlineStr">
        <is>
          <t>the candidate passes the hard feasibility filter</t>
        </is>
      </c>
      <c r="F213" t="inlineStr">
        <is>
          <t>Assets/MachineBrigade/Scripts/Sim/AI/P5/ReasonCodes.cs:72</t>
        </is>
      </c>
      <c r="G213" t="inlineStr"/>
    </row>
    <row r="214">
      <c r="A214" t="inlineStr">
        <is>
          <t>TARGET_OUTSIDE_ARC</t>
        </is>
      </c>
      <c r="B214" t="inlineStr">
        <is>
          <t>TARGET</t>
        </is>
      </c>
      <c r="C214" t="inlineStr">
        <is>
          <t>P0A</t>
        </is>
      </c>
      <c r="D214" t="inlineStr"/>
      <c r="E214" t="inlineStr">
        <is>
          <t>outside every mount's arc and the hull cannot turn</t>
        </is>
      </c>
      <c r="F214" t="inlineStr">
        <is>
          <t>Assets/MachineBrigade/Scripts/Sim/AI/P5/ReasonCodes.cs:79</t>
        </is>
      </c>
      <c r="G214" t="inlineStr"/>
    </row>
    <row r="215">
      <c r="A215" t="inlineStr">
        <is>
          <t>TARGET_OUT_OF_REACH</t>
        </is>
      </c>
      <c r="B215" t="inlineStr">
        <is>
          <t>TARGET</t>
        </is>
      </c>
      <c r="C215" t="inlineStr">
        <is>
          <t>P0A</t>
        </is>
      </c>
      <c r="D215" t="inlineStr"/>
      <c r="E215" t="inlineStr">
        <is>
          <t>beyond the weapon's reach</t>
        </is>
      </c>
      <c r="F215" t="inlineStr">
        <is>
          <t>Assets/MachineBrigade/Scripts/Sim/AI/P5/ReasonCodes.cs:76</t>
        </is>
      </c>
      <c r="G215" t="inlineStr"/>
    </row>
    <row r="216">
      <c r="A216" t="inlineStr">
        <is>
          <t>TARGET_OVERKILL_SPREAD</t>
        </is>
      </c>
      <c r="B216" t="inlineStr">
        <is>
          <t>TARGET</t>
        </is>
      </c>
      <c r="C216" t="inlineStr">
        <is>
          <t>P0A</t>
        </is>
      </c>
      <c r="D216" t="inlineStr"/>
      <c r="E216" t="inlineStr">
        <is>
          <t>enough damage already on it: another target</t>
        </is>
      </c>
      <c r="F216" t="inlineStr">
        <is>
          <t>Assets/MachineBrigade/Scripts/Sim/AI/P5/ReasonCodes.cs:83</t>
        </is>
      </c>
      <c r="G216" t="inlineStr"/>
    </row>
    <row r="217">
      <c r="A217" t="inlineStr">
        <is>
          <t>TARGET_PURSUIT_ABORT_LEASH</t>
        </is>
      </c>
      <c r="B217" t="inlineStr">
        <is>
          <t>TARGET</t>
        </is>
      </c>
      <c r="C217" t="inlineStr">
        <is>
          <t>P3</t>
        </is>
      </c>
      <c r="D217" t="inlineStr"/>
      <c r="E217" t="inlineStr">
        <is>
          <t>the pursuit passed its leash</t>
        </is>
      </c>
      <c r="F217" t="inlineStr">
        <is>
          <t>Assets/MachineBrigade/Scripts/Sim/AI/P5/ReasonCodes.cs:87</t>
        </is>
      </c>
      <c r="G217" t="inlineStr"/>
    </row>
    <row r="218">
      <c r="A218" t="inlineStr">
        <is>
          <t>TARGET_PURSUIT_ABORT_NOT_MISSION</t>
        </is>
      </c>
      <c r="B218" t="inlineStr">
        <is>
          <t>TARGET</t>
        </is>
      </c>
      <c r="C218" t="inlineStr">
        <is>
          <t>P3</t>
        </is>
      </c>
      <c r="D218" t="inlineStr"/>
      <c r="E218" t="inlineStr">
        <is>
          <t>the fleeing target is not worth the mission</t>
        </is>
      </c>
      <c r="F218" t="inlineStr">
        <is>
          <t>Assets/MachineBrigade/Scripts/Sim/AI/P5/ReasonCodes.cs:88</t>
        </is>
      </c>
      <c r="G218" t="inlineStr"/>
    </row>
    <row r="219">
      <c r="A219" t="inlineStr">
        <is>
          <t>TARGET_SPREAD_FIRE</t>
        </is>
      </c>
      <c r="B219" t="inlineStr">
        <is>
          <t>TARGET</t>
        </is>
      </c>
      <c r="C219" t="inlineStr">
        <is>
          <t>P3</t>
        </is>
      </c>
      <c r="D219" t="inlineStr"/>
      <c r="E219" t="inlineStr">
        <is>
          <t>fire spread over targets</t>
        </is>
      </c>
      <c r="F219" t="inlineStr">
        <is>
          <t>Assets/MachineBrigade/Scripts/Sim/AI/P5/ReasonCodes.cs:92</t>
        </is>
      </c>
      <c r="G219" t="inlineStr"/>
    </row>
    <row r="220">
      <c r="A220" t="inlineStr">
        <is>
          <t>TARGET_SWITCH_FRIENDLY_BLOCK</t>
        </is>
      </c>
      <c r="B220" t="inlineStr">
        <is>
          <t>TARGET</t>
        </is>
      </c>
      <c r="C220" t="inlineStr">
        <is>
          <t>P2</t>
        </is>
      </c>
      <c r="D220" t="inlineStr"/>
      <c r="E220" t="inlineStr">
        <is>
          <t>a friend blocks the shot: another target</t>
        </is>
      </c>
      <c r="F220" t="inlineStr">
        <is>
          <t>Assets/MachineBrigade/Scripts/Sim/AI/P5/ReasonCodes.cs:86</t>
        </is>
      </c>
      <c r="G220" t="inlineStr"/>
    </row>
    <row r="221">
      <c r="A221" t="inlineStr">
        <is>
          <t>TARGET_UNREACHABLE</t>
        </is>
      </c>
      <c r="B221" t="inlineStr">
        <is>
          <t>TARGET</t>
        </is>
      </c>
      <c r="C221" t="inlineStr">
        <is>
          <t>P0A</t>
        </is>
      </c>
      <c r="D221" t="inlineStr"/>
      <c r="E221" t="inlineStr">
        <is>
          <t>no reachable firing position</t>
        </is>
      </c>
      <c r="F221" t="inlineStr">
        <is>
          <t>Assets/MachineBrigade/Scripts/Sim/AI/P5/ReasonCodes.cs:81</t>
        </is>
      </c>
      <c r="G221" t="inlineStr"/>
    </row>
    <row r="222">
      <c r="A222" t="inlineStr">
        <is>
          <t>TARGET_UNREACHABLE_DROPPED</t>
        </is>
      </c>
      <c r="B222" t="inlineStr">
        <is>
          <t>TARGET</t>
        </is>
      </c>
      <c r="C222" t="inlineStr">
        <is>
          <t>P0A</t>
        </is>
      </c>
      <c r="D222" t="inlineStr"/>
      <c r="E222" t="inlineStr">
        <is>
          <t>an unreachable target dropped (no chase)</t>
        </is>
      </c>
      <c r="F222" t="inlineStr">
        <is>
          <t>Assets/MachineBrigade/Scripts/Sim/AI/P5/ReasonCodes.cs:82</t>
        </is>
      </c>
      <c r="G222" t="inlineStr"/>
    </row>
    <row r="223">
      <c r="A223" t="inlineStr">
        <is>
          <t>TARGET_WRONG_WEAPON_DOMAIN</t>
        </is>
      </c>
      <c r="B223" t="inlineStr">
        <is>
          <t>TARGET</t>
        </is>
      </c>
      <c r="C223" t="inlineStr">
        <is>
          <t>P0A</t>
        </is>
      </c>
      <c r="D223" t="inlineStr"/>
      <c r="E223" t="inlineStr">
        <is>
          <t>the weapon cannot hit that layer / domain</t>
        </is>
      </c>
      <c r="F223" t="inlineStr">
        <is>
          <t>Assets/MachineBrigade/Scripts/Sim/AI/P5/ReasonCodes.cs:74</t>
        </is>
      </c>
      <c r="G223" t="inlineStr"/>
    </row>
    <row r="224">
      <c r="A224" t="inlineStr">
        <is>
          <t>TRAFFIC_DEADLOCK_CYCLE</t>
        </is>
      </c>
      <c r="B224" t="inlineStr">
        <is>
          <t>TRAFFIC</t>
        </is>
      </c>
      <c r="C224" t="inlineStr">
        <is>
          <t>P1</t>
        </is>
      </c>
      <c r="D224" t="inlineStr"/>
      <c r="E224" t="inlineStr">
        <is>
          <t>wait-for cycle broken</t>
        </is>
      </c>
      <c r="F224" t="inlineStr">
        <is>
          <t>Assets/MachineBrigade/Scripts/Sim/AI/P5/ReasonCodes.cs:128</t>
        </is>
      </c>
      <c r="G224" t="inlineStr"/>
    </row>
    <row r="225">
      <c r="A225" t="inlineStr">
        <is>
          <t>TRAFFIC_GRANT</t>
        </is>
      </c>
      <c r="B225" t="inlineStr">
        <is>
          <t>TRAFFIC</t>
        </is>
      </c>
      <c r="C225" t="inlineStr">
        <is>
          <t>P1</t>
        </is>
      </c>
      <c r="D225" t="inlineStr"/>
      <c r="E225" t="inlineStr">
        <is>
          <t>passage granted</t>
        </is>
      </c>
      <c r="F225" t="inlineStr">
        <is>
          <t>Assets/MachineBrigade/Scripts/Sim/AI/P5/ReasonCodes.cs:124</t>
        </is>
      </c>
      <c r="G225" t="inlineStr"/>
    </row>
    <row r="226">
      <c r="A226" t="inlineStr">
        <is>
          <t>TRAFFIC_PREEMPT</t>
        </is>
      </c>
      <c r="B226" t="inlineStr">
        <is>
          <t>TRAFFIC</t>
        </is>
      </c>
      <c r="C226" t="inlineStr">
        <is>
          <t>P1</t>
        </is>
      </c>
      <c r="D226" t="inlineStr"/>
      <c r="E226" t="inlineStr">
        <is>
          <t>passage taken by a higher priority</t>
        </is>
      </c>
      <c r="F226" t="inlineStr">
        <is>
          <t>Assets/MachineBrigade/Scripts/Sim/AI/P5/ReasonCodes.cs:125</t>
        </is>
      </c>
      <c r="G226" t="inlineStr"/>
    </row>
    <row r="227">
      <c r="A227" t="inlineStr">
        <is>
          <t>TRAFFIC_QUEUE_TIMEOUT</t>
        </is>
      </c>
      <c r="B227" t="inlineStr">
        <is>
          <t>TRAFFIC</t>
        </is>
      </c>
      <c r="C227" t="inlineStr">
        <is>
          <t>P1</t>
        </is>
      </c>
      <c r="D227" t="inlineStr"/>
      <c r="E227" t="inlineStr">
        <is>
          <t>queue waited too long</t>
        </is>
      </c>
      <c r="F227" t="inlineStr">
        <is>
          <t>Assets/MachineBrigade/Scripts/Sim/AI/P5/ReasonCodes.cs:126</t>
        </is>
      </c>
      <c r="G227" t="inlineStr"/>
    </row>
    <row r="228">
      <c r="A228" t="inlineStr">
        <is>
          <t>TRAFFIC_SPAWN_EXIT_CLEAR</t>
        </is>
      </c>
      <c r="B228" t="inlineStr">
        <is>
          <t>TRAFFIC</t>
        </is>
      </c>
      <c r="C228" t="inlineStr">
        <is>
          <t>P1</t>
        </is>
      </c>
      <c r="D228" t="inlineStr"/>
      <c r="E228" t="inlineStr">
        <is>
          <t>a fresh unit cleared the spawn exit</t>
        </is>
      </c>
      <c r="F228" t="inlineStr">
        <is>
          <t>Assets/MachineBrigade/Scripts/Sim/AI/P5/ReasonCodes.cs:127</t>
        </is>
      </c>
      <c r="G228" t="inlineStr"/>
    </row>
    <row r="229">
      <c r="A229" t="inlineStr">
        <is>
          <t>WATCHDOG_CHURN_DAMPED</t>
        </is>
      </c>
      <c r="B229" t="inlineStr">
        <is>
          <t>WATCHDOG</t>
        </is>
      </c>
      <c r="C229" t="inlineStr">
        <is>
          <t>P5</t>
        </is>
      </c>
      <c r="D229" t="inlineStr"/>
      <c r="E229" t="inlineStr">
        <is>
          <t>a churning squad's commitment lengthened for a while</t>
        </is>
      </c>
      <c r="F229" t="inlineStr">
        <is>
          <t>Assets/MachineBrigade/Scripts/Sim/AI/P5/ReasonCodes.cs:311</t>
        </is>
      </c>
      <c r="G229" t="inlineStr"/>
    </row>
    <row r="230">
      <c r="A230" t="inlineStr">
        <is>
          <t>WATCHDOG_COMBAT_ANOMALY</t>
        </is>
      </c>
      <c r="B230" t="inlineStr">
        <is>
          <t>WATCHDOG</t>
        </is>
      </c>
      <c r="C230" t="inlineStr">
        <is>
          <t>P0A</t>
        </is>
      </c>
      <c r="D230" t="inlineStr"/>
      <c r="E230" t="inlineStr">
        <is>
          <t>a unit's combat anomaly (stale aim) recovered</t>
        </is>
      </c>
      <c r="F230" t="inlineStr">
        <is>
          <t>Assets/MachineBrigade/Scripts/Sim/AI/P5/ReasonCodes.cs:303</t>
        </is>
      </c>
      <c r="G230" t="inlineStr"/>
    </row>
    <row r="231">
      <c r="A231" t="inlineStr">
        <is>
          <t>WATCHDOG_IDLE_AUDIT</t>
        </is>
      </c>
      <c r="B231" t="inlineStr">
        <is>
          <t>WATCHDOG</t>
        </is>
      </c>
      <c r="C231" t="inlineStr">
        <is>
          <t>P5</t>
        </is>
      </c>
      <c r="D231" t="inlineStr"/>
      <c r="E231" t="inlineStr">
        <is>
          <t>too many armed units idle without a reason: target / firing-solution audit forced</t>
        </is>
      </c>
      <c r="F231" t="inlineStr">
        <is>
          <t>Assets/MachineBrigade/Scripts/Sim/AI/P5/ReasonCodes.cs:308</t>
        </is>
      </c>
      <c r="G231" t="inlineStr"/>
    </row>
    <row r="232">
      <c r="A232" t="inlineStr">
        <is>
          <t>WATCHDOG_IDLE_TOP_REASONS</t>
        </is>
      </c>
      <c r="B232" t="inlineStr">
        <is>
          <t>WATCHDOG</t>
        </is>
      </c>
      <c r="C232" t="inlineStr">
        <is>
          <t>P5</t>
        </is>
      </c>
      <c r="D232" t="inlineStr"/>
      <c r="E232" t="inlineStr">
        <is>
          <t>the top idle reasons of a side at the audit</t>
        </is>
      </c>
      <c r="F232" t="inlineStr">
        <is>
          <t>Assets/MachineBrigade/Scripts/Sim/AI/P5/ReasonCodes.cs:309</t>
        </is>
      </c>
      <c r="G232" t="inlineStr"/>
    </row>
    <row r="233">
      <c r="A233" t="inlineStr">
        <is>
          <t>WATCHDOG_IDLE_UNEXPLAINED</t>
        </is>
      </c>
      <c r="B233" t="inlineStr">
        <is>
          <t>WATCHDOG</t>
        </is>
      </c>
      <c r="C233" t="inlineStr">
        <is>
          <t>P0A</t>
        </is>
      </c>
      <c r="D233" t="inlineStr"/>
      <c r="E233" t="inlineStr">
        <is>
          <t>an armed unit idle without a reason (recovered)</t>
        </is>
      </c>
      <c r="F233" t="inlineStr">
        <is>
          <t>Assets/MachineBrigade/Scripts/Sim/AI/P5/ReasonCodes.cs:305</t>
        </is>
      </c>
      <c r="G233" t="inlineStr"/>
    </row>
    <row r="234">
      <c r="A234" t="inlineStr">
        <is>
          <t>WATCHDOG_LOW_UTILIZATION_CLASSES</t>
        </is>
      </c>
      <c r="B234" t="inlineStr">
        <is>
          <t>WATCHDOG</t>
        </is>
      </c>
      <c r="C234" t="inlineStr">
        <is>
          <t>P5</t>
        </is>
      </c>
      <c r="D234" t="inlineStr"/>
      <c r="E234" t="inlineStr">
        <is>
          <t>unit classes below the utilization threshold (the purchase modifier acts)</t>
        </is>
      </c>
      <c r="F234" t="inlineStr">
        <is>
          <t>Assets/MachineBrigade/Scripts/Sim/AI/P5/ReasonCodes.cs:312</t>
        </is>
      </c>
      <c r="G234" t="inlineStr"/>
    </row>
    <row r="235">
      <c r="A235" t="inlineStr">
        <is>
          <t>WATCHDOG_RECOVERY_ESCALATED</t>
        </is>
      </c>
      <c r="B235" t="inlineStr">
        <is>
          <t>WATCHDOG</t>
        </is>
      </c>
      <c r="C235" t="inlineStr">
        <is>
          <t>P0A</t>
        </is>
      </c>
      <c r="D235" t="inlineStr"/>
      <c r="E235" t="inlineStr">
        <is>
          <t>a unit's recovery escalated</t>
        </is>
      </c>
      <c r="F235" t="inlineStr">
        <is>
          <t>Assets/MachineBrigade/Scripts/Sim/AI/P5/ReasonCodes.cs:304</t>
        </is>
      </c>
      <c r="G235" t="inlineStr"/>
    </row>
    <row r="236">
      <c r="A236" t="inlineStr">
        <is>
          <t>WATCHDOG_SQUAD_STALLED_OBJECTIVE</t>
        </is>
      </c>
      <c r="B236" t="inlineStr">
        <is>
          <t>WATCHDOG</t>
        </is>
      </c>
      <c r="C236" t="inlineStr">
        <is>
          <t>P5</t>
        </is>
      </c>
      <c r="D236" t="inlineStr"/>
      <c r="E236" t="inlineStr">
        <is>
          <t>a squad's objective assignment made no progress: route and mission re-evaluated</t>
        </is>
      </c>
      <c r="F236" t="inlineStr">
        <is>
          <t>Assets/MachineBrigade/Scripts/Sim/AI/P5/ReasonCodes.cs:307</t>
        </is>
      </c>
      <c r="G236" t="inlineStr"/>
    </row>
    <row r="237">
      <c r="A237" t="inlineStr">
        <is>
          <t>WATCHDOG_SQUAD_ZERO_UTILIZATION</t>
        </is>
      </c>
      <c r="B237" t="inlineStr">
        <is>
          <t>WATCHDOG</t>
        </is>
      </c>
      <c r="C237" t="inlineStr">
        <is>
          <t>P5</t>
        </is>
      </c>
      <c r="D237" t="inlineStr"/>
      <c r="E237" t="inlineStr">
        <is>
          <t>a squad in contact did no damage for 10-20 s: anchor, route and mission re-evaluated</t>
        </is>
      </c>
      <c r="F237" t="inlineStr">
        <is>
          <t>Assets/MachineBrigade/Scripts/Sim/AI/P5/ReasonCodes.cs:306</t>
        </is>
      </c>
      <c r="G237" t="inlineStr"/>
    </row>
    <row r="238">
      <c r="A238" t="inlineStr">
        <is>
          <t>WATCHDOG_TRAFFIC_ESCALATION</t>
        </is>
      </c>
      <c r="B238" t="inlineStr">
        <is>
          <t>WATCHDOG</t>
        </is>
      </c>
      <c r="C238" t="inlineStr">
        <is>
          <t>P5</t>
        </is>
      </c>
      <c r="D238" t="inlineStr"/>
      <c r="E238" t="inlineStr">
        <is>
          <t>high blocked-unit ratio: blocked squads re-routed</t>
        </is>
      </c>
      <c r="F238" t="inlineStr">
        <is>
          <t>Assets/MachineBrigade/Scripts/Sim/AI/P5/ReasonCodes.cs:310</t>
        </is>
      </c>
      <c r="G238" t="inlineStr"/>
    </row>
  </sheetData>
  <autoFilter ref="A1:G238"/>
  <pageMargins left="0.75" right="0.75" top="1" bottom="1" header="0.5" footer="0.5"/>
</worksheet>
</file>

<file path=xl/worksheets/sheet2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9" customWidth="1" min="2" max="2"/>
    <col width="17" customWidth="1" min="3" max="3"/>
    <col width="10" customWidth="1" min="4" max="4"/>
    <col width="10" customWidth="1" min="5" max="5"/>
    <col width="17" customWidth="1" min="6" max="6"/>
    <col width="10" customWidth="1" min="7" max="7"/>
    <col width="12" customWidth="1" min="8" max="8"/>
    <col width="12" customWidth="1" min="9" max="9"/>
    <col width="14" customWidth="1" min="10" max="10"/>
    <col width="13" customWidth="1" min="11" max="11"/>
    <col width="17" customWidth="1" min="12" max="12"/>
    <col width="15" customWidth="1" min="13" max="13"/>
    <col width="15" customWidth="1" min="14" max="14"/>
    <col width="8" customWidth="1" min="15" max="15"/>
    <col width="9" customWidth="1" min="16" max="16"/>
    <col width="14" customWidth="1" min="17" max="17"/>
    <col width="16" customWidth="1" min="18" max="18"/>
    <col width="22" customWidth="1" min="19" max="19"/>
    <col width="8" customWidth="1" min="20" max="20"/>
    <col width="15" customWidth="1" min="21" max="21"/>
    <col width="17" customWidth="1" min="22" max="22"/>
    <col width="13" customWidth="1" min="23" max="23"/>
    <col width="60" customWidth="1" min="24" max="24"/>
    <col width="60" customWidth="1" min="25" max="25"/>
    <col width="10" customWidth="1" min="26" max="26"/>
  </cols>
  <sheetData>
    <row r="1">
      <c r="A1" s="1" t="inlineStr">
        <is>
          <t>id</t>
        </is>
      </c>
      <c r="B1" s="1" t="inlineStr">
        <is>
          <t>ke_thua</t>
        </is>
      </c>
      <c r="C1" s="1" t="inlineStr">
        <is>
          <t>che_do</t>
        </is>
      </c>
      <c r="D1" s="1" t="inlineStr">
        <is>
          <t>muc_tieu</t>
        </is>
      </c>
      <c r="E1" s="1" t="inlineStr">
        <is>
          <t>AirFirst</t>
        </is>
      </c>
      <c r="F1" s="1" t="inlineStr">
        <is>
          <t>ArtilleryWeight</t>
        </is>
      </c>
      <c r="G1" s="1" t="inlineStr">
        <is>
          <t>BandBias</t>
        </is>
      </c>
      <c r="H1" s="1" t="inlineStr">
        <is>
          <t>BossWeight</t>
        </is>
      </c>
      <c r="I1" s="1" t="inlineStr">
        <is>
          <t>Escalating</t>
        </is>
      </c>
      <c r="J1" s="1" t="inlineStr">
        <is>
          <t>EscortWeight</t>
        </is>
      </c>
      <c r="K1" s="1" t="inlineStr">
        <is>
          <t>FastReserve</t>
        </is>
      </c>
      <c r="L1" s="1" t="inlineStr">
        <is>
          <t>FireSupport</t>
        </is>
      </c>
      <c r="M1" s="1" t="inlineStr">
        <is>
          <t>Frontline</t>
        </is>
      </c>
      <c r="N1" s="1" t="inlineStr">
        <is>
          <t>MissionTarget</t>
        </is>
      </c>
      <c r="O1" s="1" t="inlineStr">
        <is>
          <t>Phased</t>
        </is>
      </c>
      <c r="P1" s="1" t="inlineStr">
        <is>
          <t>Pursuit</t>
        </is>
      </c>
      <c r="Q1" s="1" t="inlineStr">
        <is>
          <t>QuietStrikes</t>
        </is>
      </c>
      <c r="R1" s="1" t="inlineStr">
        <is>
          <t>ReserveAllowed</t>
        </is>
      </c>
      <c r="S1" s="1" t="inlineStr">
        <is>
          <t>ReserveEmergencyOnly</t>
        </is>
      </c>
      <c r="T1" s="1" t="inlineStr">
        <is>
          <t>Rotate</t>
        </is>
      </c>
      <c r="U1" s="1" t="inlineStr">
        <is>
          <t>ShootAndScoot</t>
        </is>
      </c>
      <c r="V1" s="1" t="inlineStr">
        <is>
          <t>StructureWeight</t>
        </is>
      </c>
      <c r="W1" s="1" t="inlineStr">
        <is>
          <t>TowerWeight</t>
        </is>
      </c>
      <c r="X1" s="1" t="inlineStr">
        <is>
          <t>Triggers</t>
        </is>
      </c>
      <c r="Y1" s="1" t="inlineStr">
        <is>
          <t>nguon</t>
        </is>
      </c>
      <c r="Z1" s="1" t="inlineStr">
        <is>
          <t>raw_json</t>
        </is>
      </c>
    </row>
    <row r="2">
      <c r="A2" t="inlineStr">
        <is>
          <t>assault</t>
        </is>
      </c>
      <c r="B2" t="inlineStr">
        <is>
          <t>balanced_objective</t>
        </is>
      </c>
      <c r="C2" t="inlineStr">
        <is>
          <t>Assault</t>
        </is>
      </c>
      <c r="D2" t="inlineStr"/>
      <c r="E2" t="inlineStr">
        <is>
          <t>false</t>
        </is>
      </c>
      <c r="F2" t="inlineStr">
        <is>
          <t>1</t>
        </is>
      </c>
      <c r="G2" t="inlineStr">
        <is>
          <t>0.5</t>
        </is>
      </c>
      <c r="H2" t="inlineStr">
        <is>
          <t>1</t>
        </is>
      </c>
      <c r="I2" t="inlineStr">
        <is>
          <t>false</t>
        </is>
      </c>
      <c r="J2" t="inlineStr">
        <is>
          <t>1</t>
        </is>
      </c>
      <c r="K2" t="inlineStr">
        <is>
          <t>false</t>
        </is>
      </c>
      <c r="L2" t="inlineStr">
        <is>
          <t>FrontLogical</t>
        </is>
      </c>
      <c r="M2" t="inlineStr">
        <is>
          <t>Advance</t>
        </is>
      </c>
      <c r="N2" t="inlineStr">
        <is>
          <t>false</t>
        </is>
      </c>
      <c r="O2" t="inlineStr">
        <is>
          <t>false</t>
        </is>
      </c>
      <c r="P2" t="inlineStr">
        <is>
          <t>Normal</t>
        </is>
      </c>
      <c r="Q2" t="inlineStr">
        <is>
          <t>false</t>
        </is>
      </c>
      <c r="R2" t="inlineStr">
        <is>
          <t>true</t>
        </is>
      </c>
      <c r="S2" t="inlineStr">
        <is>
          <t>false</t>
        </is>
      </c>
      <c r="T2" t="inlineStr">
        <is>
          <t>false</t>
        </is>
      </c>
      <c r="U2" t="inlineStr">
        <is>
          <t>false</t>
        </is>
      </c>
      <c r="V2" t="inlineStr">
        <is>
          <t>1</t>
        </is>
      </c>
      <c r="W2" t="inlineStr">
        <is>
          <t>1.4</t>
        </is>
      </c>
      <c r="X2" t="inlineStr">
        <is>
          <t>Utilization|FrontMoved|RangeBandLost|CounterBattery|RouteChanged|PhaseChange|TerrainChange</t>
        </is>
      </c>
      <c r="Y2" t="inlineStr">
        <is>
          <t>Assets/MachineBrigade/Scripts/Sim/AI/P2/ModeCombatDoctrine.cs:239</t>
        </is>
      </c>
      <c r="Z2" t="inlineStr"/>
    </row>
    <row r="3">
      <c r="A3" t="inlineStr">
        <is>
          <t>balanced_objective</t>
        </is>
      </c>
      <c r="B3" t="inlineStr"/>
      <c r="C3" t="inlineStr"/>
      <c r="D3" t="inlineStr"/>
      <c r="E3" t="inlineStr">
        <is>
          <t>false</t>
        </is>
      </c>
      <c r="F3" t="inlineStr">
        <is>
          <t>1</t>
        </is>
      </c>
      <c r="G3" t="inlineStr">
        <is>
          <t>0.5</t>
        </is>
      </c>
      <c r="H3" t="inlineStr">
        <is>
          <t>1</t>
        </is>
      </c>
      <c r="I3" t="inlineStr">
        <is>
          <t>false</t>
        </is>
      </c>
      <c r="J3" t="inlineStr">
        <is>
          <t>1</t>
        </is>
      </c>
      <c r="K3" t="inlineStr">
        <is>
          <t>false</t>
        </is>
      </c>
      <c r="L3" t="inlineStr">
        <is>
          <t>FrontLogical</t>
        </is>
      </c>
      <c r="M3" t="inlineStr">
        <is>
          <t>Advance</t>
        </is>
      </c>
      <c r="N3" t="inlineStr">
        <is>
          <t>false</t>
        </is>
      </c>
      <c r="O3" t="inlineStr">
        <is>
          <t>false</t>
        </is>
      </c>
      <c r="P3" t="inlineStr">
        <is>
          <t>Normal</t>
        </is>
      </c>
      <c r="Q3" t="inlineStr">
        <is>
          <t>false</t>
        </is>
      </c>
      <c r="R3" t="inlineStr">
        <is>
          <t>true</t>
        </is>
      </c>
      <c r="S3" t="inlineStr">
        <is>
          <t>false</t>
        </is>
      </c>
      <c r="T3" t="inlineStr">
        <is>
          <t>false</t>
        </is>
      </c>
      <c r="U3" t="inlineStr">
        <is>
          <t>false</t>
        </is>
      </c>
      <c r="V3" t="inlineStr">
        <is>
          <t>1</t>
        </is>
      </c>
      <c r="W3" t="inlineStr">
        <is>
          <t>1</t>
        </is>
      </c>
      <c r="X3" t="inlineStr">
        <is>
          <t>All</t>
        </is>
      </c>
      <c r="Y3" t="inlineStr">
        <is>
          <t>Assets/MachineBrigade/Scripts/Sim/AI/P2/ModeCombatDoctrine.cs:227</t>
        </is>
      </c>
      <c r="Z3" t="inlineStr"/>
    </row>
    <row r="4">
      <c r="A4" t="inlineStr">
        <is>
          <t>bossrush</t>
        </is>
      </c>
      <c r="B4" t="inlineStr">
        <is>
          <t>balanced_objective</t>
        </is>
      </c>
      <c r="C4" t="inlineStr">
        <is>
          <t>BossRush</t>
        </is>
      </c>
      <c r="D4" t="inlineStr"/>
      <c r="E4" t="inlineStr">
        <is>
          <t>false</t>
        </is>
      </c>
      <c r="F4" t="inlineStr">
        <is>
          <t>1</t>
        </is>
      </c>
      <c r="G4" t="inlineStr">
        <is>
          <t>0.5</t>
        </is>
      </c>
      <c r="H4" t="inlineStr">
        <is>
          <t>1.3</t>
        </is>
      </c>
      <c r="I4" t="inlineStr">
        <is>
          <t>false</t>
        </is>
      </c>
      <c r="J4" t="inlineStr">
        <is>
          <t>1.1</t>
        </is>
      </c>
      <c r="K4" t="inlineStr">
        <is>
          <t>false</t>
        </is>
      </c>
      <c r="L4" t="inlineStr">
        <is>
          <t>BossPredict</t>
        </is>
      </c>
      <c r="M4" t="inlineStr">
        <is>
          <t>BossFocus</t>
        </is>
      </c>
      <c r="N4" t="inlineStr">
        <is>
          <t>false</t>
        </is>
      </c>
      <c r="O4" t="inlineStr">
        <is>
          <t>false</t>
        </is>
      </c>
      <c r="P4" t="inlineStr">
        <is>
          <t>Normal</t>
        </is>
      </c>
      <c r="Q4" t="inlineStr">
        <is>
          <t>false</t>
        </is>
      </c>
      <c r="R4" t="inlineStr">
        <is>
          <t>false</t>
        </is>
      </c>
      <c r="S4" t="inlineStr">
        <is>
          <t>false</t>
        </is>
      </c>
      <c r="T4" t="inlineStr">
        <is>
          <t>false</t>
        </is>
      </c>
      <c r="U4" t="inlineStr">
        <is>
          <t>false</t>
        </is>
      </c>
      <c r="V4" t="inlineStr">
        <is>
          <t>1</t>
        </is>
      </c>
      <c r="W4" t="inlineStr">
        <is>
          <t>1</t>
        </is>
      </c>
      <c r="X4" t="inlineStr">
        <is>
          <t>All</t>
        </is>
      </c>
      <c r="Y4" t="inlineStr">
        <is>
          <t>Assets/MachineBrigade/Scripts/Sim/AI/P2/ModeCombatDoctrine.cs:324</t>
        </is>
      </c>
      <c r="Z4" t="inlineStr"/>
    </row>
    <row r="5">
      <c r="A5" t="inlineStr">
        <is>
          <t>bossrush_goal</t>
        </is>
      </c>
      <c r="B5" t="inlineStr">
        <is>
          <t>bossrush</t>
        </is>
      </c>
      <c r="C5" t="inlineStr"/>
      <c r="D5" t="inlineStr">
        <is>
          <t>Boss</t>
        </is>
      </c>
      <c r="E5" t="inlineStr">
        <is>
          <t>false</t>
        </is>
      </c>
      <c r="F5" t="inlineStr">
        <is>
          <t>1</t>
        </is>
      </c>
      <c r="G5" t="inlineStr">
        <is>
          <t>0.5</t>
        </is>
      </c>
      <c r="H5" t="inlineStr">
        <is>
          <t>1.3</t>
        </is>
      </c>
      <c r="I5" t="inlineStr">
        <is>
          <t>false</t>
        </is>
      </c>
      <c r="J5" t="inlineStr">
        <is>
          <t>1.1</t>
        </is>
      </c>
      <c r="K5" t="inlineStr">
        <is>
          <t>false</t>
        </is>
      </c>
      <c r="L5" t="inlineStr">
        <is>
          <t>BossPredict</t>
        </is>
      </c>
      <c r="M5" t="inlineStr">
        <is>
          <t>BossFocus</t>
        </is>
      </c>
      <c r="N5" t="inlineStr">
        <is>
          <t>false</t>
        </is>
      </c>
      <c r="O5" t="inlineStr">
        <is>
          <t>false</t>
        </is>
      </c>
      <c r="P5" t="inlineStr">
        <is>
          <t>Normal</t>
        </is>
      </c>
      <c r="Q5" t="inlineStr">
        <is>
          <t>false</t>
        </is>
      </c>
      <c r="R5" t="inlineStr">
        <is>
          <t>false</t>
        </is>
      </c>
      <c r="S5" t="inlineStr">
        <is>
          <t>false</t>
        </is>
      </c>
      <c r="T5" t="inlineStr">
        <is>
          <t>false</t>
        </is>
      </c>
      <c r="U5" t="inlineStr">
        <is>
          <t>false</t>
        </is>
      </c>
      <c r="V5" t="inlineStr">
        <is>
          <t>1</t>
        </is>
      </c>
      <c r="W5" t="inlineStr">
        <is>
          <t>1</t>
        </is>
      </c>
      <c r="X5" t="inlineStr">
        <is>
          <t>All</t>
        </is>
      </c>
      <c r="Y5" t="inlineStr">
        <is>
          <t>Assets/MachineBrigade/Scripts/Sim/AI/P2/ModeCombatDoctrine.cs:332</t>
        </is>
      </c>
      <c r="Z5" t="inlineStr"/>
    </row>
    <row r="6">
      <c r="A6" t="inlineStr">
        <is>
          <t>capture</t>
        </is>
      </c>
      <c r="B6" t="inlineStr">
        <is>
          <t>conquest</t>
        </is>
      </c>
      <c r="C6" t="inlineStr"/>
      <c r="D6" t="inlineStr">
        <is>
          <t>Capture</t>
        </is>
      </c>
      <c r="E6" t="inlineStr">
        <is>
          <t>false</t>
        </is>
      </c>
      <c r="F6" t="inlineStr">
        <is>
          <t>1</t>
        </is>
      </c>
      <c r="G6" t="inlineStr">
        <is>
          <t>0.5</t>
        </is>
      </c>
      <c r="H6" t="inlineStr">
        <is>
          <t>1</t>
        </is>
      </c>
      <c r="I6" t="inlineStr">
        <is>
          <t>false</t>
        </is>
      </c>
      <c r="J6" t="inlineStr">
        <is>
          <t>1</t>
        </is>
      </c>
      <c r="K6" t="inlineStr">
        <is>
          <t>true</t>
        </is>
      </c>
      <c r="L6" t="inlineStr">
        <is>
          <t>ObjectiveCover</t>
        </is>
      </c>
      <c r="M6" t="inlineStr">
        <is>
          <t>ObjectiveBody</t>
        </is>
      </c>
      <c r="N6" t="inlineStr">
        <is>
          <t>false</t>
        </is>
      </c>
      <c r="O6" t="inlineStr">
        <is>
          <t>false</t>
        </is>
      </c>
      <c r="P6" t="inlineStr">
        <is>
          <t>Normal</t>
        </is>
      </c>
      <c r="Q6" t="inlineStr">
        <is>
          <t>false</t>
        </is>
      </c>
      <c r="R6" t="inlineStr">
        <is>
          <t>true</t>
        </is>
      </c>
      <c r="S6" t="inlineStr">
        <is>
          <t>false</t>
        </is>
      </c>
      <c r="T6" t="inlineStr">
        <is>
          <t>false</t>
        </is>
      </c>
      <c r="U6" t="inlineStr">
        <is>
          <t>false</t>
        </is>
      </c>
      <c r="V6" t="inlineStr">
        <is>
          <t>1</t>
        </is>
      </c>
      <c r="W6" t="inlineStr">
        <is>
          <t>1</t>
        </is>
      </c>
      <c r="X6" t="inlineStr">
        <is>
          <t>ObjectiveUncovered|Utilization|CounterBattery|PhaseChange|TerrainChange</t>
        </is>
      </c>
      <c r="Y6" t="inlineStr">
        <is>
          <t>Assets/MachineBrigade/Scripts/Sim/AI/P2/ModeCombatDoctrine.cs:287</t>
        </is>
      </c>
      <c r="Z6" t="inlineStr"/>
    </row>
    <row r="7">
      <c r="A7" t="inlineStr">
        <is>
          <t>conquest</t>
        </is>
      </c>
      <c r="B7" t="inlineStr">
        <is>
          <t>balanced_objective</t>
        </is>
      </c>
      <c r="C7" t="inlineStr">
        <is>
          <t>Conquest;Sandbox</t>
        </is>
      </c>
      <c r="D7" t="inlineStr"/>
      <c r="E7" t="inlineStr">
        <is>
          <t>false</t>
        </is>
      </c>
      <c r="F7" t="inlineStr">
        <is>
          <t>1</t>
        </is>
      </c>
      <c r="G7" t="inlineStr">
        <is>
          <t>0.5</t>
        </is>
      </c>
      <c r="H7" t="inlineStr">
        <is>
          <t>1</t>
        </is>
      </c>
      <c r="I7" t="inlineStr">
        <is>
          <t>false</t>
        </is>
      </c>
      <c r="J7" t="inlineStr">
        <is>
          <t>1</t>
        </is>
      </c>
      <c r="K7" t="inlineStr">
        <is>
          <t>true</t>
        </is>
      </c>
      <c r="L7" t="inlineStr">
        <is>
          <t>ObjectiveCover</t>
        </is>
      </c>
      <c r="M7" t="inlineStr">
        <is>
          <t>ObjectiveBody</t>
        </is>
      </c>
      <c r="N7" t="inlineStr">
        <is>
          <t>false</t>
        </is>
      </c>
      <c r="O7" t="inlineStr">
        <is>
          <t>false</t>
        </is>
      </c>
      <c r="P7" t="inlineStr">
        <is>
          <t>Normal</t>
        </is>
      </c>
      <c r="Q7" t="inlineStr">
        <is>
          <t>false</t>
        </is>
      </c>
      <c r="R7" t="inlineStr">
        <is>
          <t>true</t>
        </is>
      </c>
      <c r="S7" t="inlineStr">
        <is>
          <t>false</t>
        </is>
      </c>
      <c r="T7" t="inlineStr">
        <is>
          <t>false</t>
        </is>
      </c>
      <c r="U7" t="inlineStr">
        <is>
          <t>false</t>
        </is>
      </c>
      <c r="V7" t="inlineStr">
        <is>
          <t>1</t>
        </is>
      </c>
      <c r="W7" t="inlineStr">
        <is>
          <t>1</t>
        </is>
      </c>
      <c r="X7" t="inlineStr">
        <is>
          <t>ObjectiveUncovered|Utilization|CounterBattery|PhaseChange|TerrainChange</t>
        </is>
      </c>
      <c r="Y7" t="inlineStr">
        <is>
          <t>Assets/MachineBrigade/Scripts/Sim/AI/P2/ModeCombatDoctrine.cs:279</t>
        </is>
      </c>
      <c r="Z7" t="inlineStr"/>
    </row>
    <row r="8">
      <c r="A8" t="inlineStr">
        <is>
          <t>deathmatch</t>
        </is>
      </c>
      <c r="B8" t="inlineStr">
        <is>
          <t>balanced_objective</t>
        </is>
      </c>
      <c r="C8" t="inlineStr">
        <is>
          <t>Deathmatch</t>
        </is>
      </c>
      <c r="D8" t="inlineStr"/>
      <c r="E8" t="inlineStr">
        <is>
          <t>false</t>
        </is>
      </c>
      <c r="F8" t="inlineStr">
        <is>
          <t>1</t>
        </is>
      </c>
      <c r="G8" t="inlineStr">
        <is>
          <t>0.5</t>
        </is>
      </c>
      <c r="H8" t="inlineStr">
        <is>
          <t>1</t>
        </is>
      </c>
      <c r="I8" t="inlineStr">
        <is>
          <t>false</t>
        </is>
      </c>
      <c r="J8" t="inlineStr">
        <is>
          <t>1</t>
        </is>
      </c>
      <c r="K8" t="inlineStr">
        <is>
          <t>false</t>
        </is>
      </c>
      <c r="L8" t="inlineStr">
        <is>
          <t>FrontLogical</t>
        </is>
      </c>
      <c r="M8" t="inlineStr">
        <is>
          <t>Mobile</t>
        </is>
      </c>
      <c r="N8" t="inlineStr">
        <is>
          <t>false</t>
        </is>
      </c>
      <c r="O8" t="inlineStr">
        <is>
          <t>false</t>
        </is>
      </c>
      <c r="P8" t="inlineStr">
        <is>
          <t>Normal</t>
        </is>
      </c>
      <c r="Q8" t="inlineStr">
        <is>
          <t>false</t>
        </is>
      </c>
      <c r="R8" t="inlineStr">
        <is>
          <t>true</t>
        </is>
      </c>
      <c r="S8" t="inlineStr">
        <is>
          <t>false</t>
        </is>
      </c>
      <c r="T8" t="inlineStr">
        <is>
          <t>false</t>
        </is>
      </c>
      <c r="U8" t="inlineStr">
        <is>
          <t>false</t>
        </is>
      </c>
      <c r="V8" t="inlineStr">
        <is>
          <t>1</t>
        </is>
      </c>
      <c r="W8" t="inlineStr">
        <is>
          <t>1</t>
        </is>
      </c>
      <c r="X8" t="inlineStr">
        <is>
          <t>Utilization|FrontMoved|RangeBandLost|PocketCompromised|CounterBattery|TerrainChange</t>
        </is>
      </c>
      <c r="Y8" t="inlineStr">
        <is>
          <t>Assets/MachineBrigade/Scripts/Sim/AI/P2/ModeCombatDoctrine.cs:334</t>
        </is>
      </c>
      <c r="Z8" t="inlineStr"/>
    </row>
    <row r="9">
      <c r="A9" t="inlineStr">
        <is>
          <t>defend</t>
        </is>
      </c>
      <c r="B9" t="inlineStr">
        <is>
          <t>balanced_objective</t>
        </is>
      </c>
      <c r="C9" t="inlineStr">
        <is>
          <t>Defend</t>
        </is>
      </c>
      <c r="D9" t="inlineStr"/>
      <c r="E9" t="inlineStr">
        <is>
          <t>false</t>
        </is>
      </c>
      <c r="F9" t="inlineStr">
        <is>
          <t>1</t>
        </is>
      </c>
      <c r="G9" t="inlineStr">
        <is>
          <t>0.8</t>
        </is>
      </c>
      <c r="H9" t="inlineStr">
        <is>
          <t>1</t>
        </is>
      </c>
      <c r="I9" t="inlineStr">
        <is>
          <t>false</t>
        </is>
      </c>
      <c r="J9" t="inlineStr">
        <is>
          <t>1</t>
        </is>
      </c>
      <c r="K9" t="inlineStr">
        <is>
          <t>false</t>
        </is>
      </c>
      <c r="L9" t="inlineStr">
        <is>
          <t>DefenceLine</t>
        </is>
      </c>
      <c r="M9" t="inlineStr">
        <is>
          <t>HoldLine</t>
        </is>
      </c>
      <c r="N9" t="inlineStr">
        <is>
          <t>false</t>
        </is>
      </c>
      <c r="O9" t="inlineStr">
        <is>
          <t>false</t>
        </is>
      </c>
      <c r="P9" t="inlineStr">
        <is>
          <t>NoChase</t>
        </is>
      </c>
      <c r="Q9" t="inlineStr">
        <is>
          <t>false</t>
        </is>
      </c>
      <c r="R9" t="inlineStr">
        <is>
          <t>true</t>
        </is>
      </c>
      <c r="S9" t="inlineStr">
        <is>
          <t>false</t>
        </is>
      </c>
      <c r="T9" t="inlineStr">
        <is>
          <t>false</t>
        </is>
      </c>
      <c r="U9" t="inlineStr">
        <is>
          <t>false</t>
        </is>
      </c>
      <c r="V9" t="inlineStr">
        <is>
          <t>1</t>
        </is>
      </c>
      <c r="W9" t="inlineStr">
        <is>
          <t>1</t>
        </is>
      </c>
      <c r="X9" t="inlineStr">
        <is>
          <t>Utilization|RangeBandLost|CounterBattery|PhaseChange|TerrainChange</t>
        </is>
      </c>
      <c r="Y9" t="inlineStr">
        <is>
          <t>Assets/MachineBrigade/Scripts/Sim/AI/P2/ModeCombatDoctrine.cs:250</t>
        </is>
      </c>
      <c r="Z9" t="inlineStr"/>
    </row>
    <row r="10">
      <c r="A10" t="inlineStr">
        <is>
          <t>destroy</t>
        </is>
      </c>
      <c r="B10" t="inlineStr">
        <is>
          <t>assault</t>
        </is>
      </c>
      <c r="C10" t="inlineStr"/>
      <c r="D10" t="inlineStr">
        <is>
          <t>Destroy</t>
        </is>
      </c>
      <c r="E10" t="inlineStr">
        <is>
          <t>false</t>
        </is>
      </c>
      <c r="F10" t="inlineStr">
        <is>
          <t>1</t>
        </is>
      </c>
      <c r="G10" t="inlineStr">
        <is>
          <t>0.5</t>
        </is>
      </c>
      <c r="H10" t="inlineStr">
        <is>
          <t>1</t>
        </is>
      </c>
      <c r="I10" t="inlineStr">
        <is>
          <t>false</t>
        </is>
      </c>
      <c r="J10" t="inlineStr">
        <is>
          <t>1</t>
        </is>
      </c>
      <c r="K10" t="inlineStr">
        <is>
          <t>false</t>
        </is>
      </c>
      <c r="L10" t="inlineStr">
        <is>
          <t>FrontLogical</t>
        </is>
      </c>
      <c r="M10" t="inlineStr">
        <is>
          <t>Advance</t>
        </is>
      </c>
      <c r="N10" t="inlineStr">
        <is>
          <t>true</t>
        </is>
      </c>
      <c r="O10" t="inlineStr">
        <is>
          <t>false</t>
        </is>
      </c>
      <c r="P10" t="inlineStr">
        <is>
          <t>Normal</t>
        </is>
      </c>
      <c r="Q10" t="inlineStr">
        <is>
          <t>false</t>
        </is>
      </c>
      <c r="R10" t="inlineStr">
        <is>
          <t>true</t>
        </is>
      </c>
      <c r="S10" t="inlineStr">
        <is>
          <t>false</t>
        </is>
      </c>
      <c r="T10" t="inlineStr">
        <is>
          <t>false</t>
        </is>
      </c>
      <c r="U10" t="inlineStr">
        <is>
          <t>false</t>
        </is>
      </c>
      <c r="V10" t="inlineStr">
        <is>
          <t>1.3</t>
        </is>
      </c>
      <c r="W10" t="inlineStr">
        <is>
          <t>1.4</t>
        </is>
      </c>
      <c r="X10" t="inlineStr">
        <is>
          <t>Utilization|FrontMoved|RangeBandLost|CounterBattery|RouteChanged|PhaseChange|TerrainChange</t>
        </is>
      </c>
      <c r="Y10" t="inlineStr">
        <is>
          <t>Assets/MachineBrigade/Scripts/Sim/AI/P2/ModeCombatDoctrine.cs:248</t>
        </is>
      </c>
      <c r="Z10" t="inlineStr"/>
    </row>
    <row r="11">
      <c r="A11" t="inlineStr">
        <is>
          <t>duel</t>
        </is>
      </c>
      <c r="B11" t="inlineStr">
        <is>
          <t>deathmatch</t>
        </is>
      </c>
      <c r="C11" t="inlineStr"/>
      <c r="D11" t="inlineStr">
        <is>
          <t>Duel</t>
        </is>
      </c>
      <c r="E11" t="inlineStr">
        <is>
          <t>false</t>
        </is>
      </c>
      <c r="F11" t="inlineStr">
        <is>
          <t>1</t>
        </is>
      </c>
      <c r="G11" t="inlineStr">
        <is>
          <t>0.5</t>
        </is>
      </c>
      <c r="H11" t="inlineStr">
        <is>
          <t>1</t>
        </is>
      </c>
      <c r="I11" t="inlineStr">
        <is>
          <t>false</t>
        </is>
      </c>
      <c r="J11" t="inlineStr">
        <is>
          <t>1</t>
        </is>
      </c>
      <c r="K11" t="inlineStr">
        <is>
          <t>false</t>
        </is>
      </c>
      <c r="L11" t="inlineStr">
        <is>
          <t>FrontLogical</t>
        </is>
      </c>
      <c r="M11" t="inlineStr">
        <is>
          <t>Mobile</t>
        </is>
      </c>
      <c r="N11" t="inlineStr">
        <is>
          <t>false</t>
        </is>
      </c>
      <c r="O11" t="inlineStr">
        <is>
          <t>false</t>
        </is>
      </c>
      <c r="P11" t="inlineStr">
        <is>
          <t>Normal</t>
        </is>
      </c>
      <c r="Q11" t="inlineStr">
        <is>
          <t>false</t>
        </is>
      </c>
      <c r="R11" t="inlineStr">
        <is>
          <t>false)</t>
        </is>
      </c>
      <c r="S11" t="inlineStr">
        <is>
          <t>false</t>
        </is>
      </c>
      <c r="T11" t="inlineStr">
        <is>
          <t>false</t>
        </is>
      </c>
      <c r="U11" t="inlineStr">
        <is>
          <t>false</t>
        </is>
      </c>
      <c r="V11" t="inlineStr">
        <is>
          <t>1</t>
        </is>
      </c>
      <c r="W11" t="inlineStr">
        <is>
          <t>1</t>
        </is>
      </c>
      <c r="X11" t="inlineStr">
        <is>
          <t>Utilization|FrontMoved|RangeBandLost|PocketCompromised|CounterBattery|TerrainChange</t>
        </is>
      </c>
      <c r="Y11" t="inlineStr">
        <is>
          <t>Assets/MachineBrigade/Scripts/Sim/AI/P2/ModeCombatDoctrine.cs:341</t>
        </is>
      </c>
      <c r="Z11" t="inlineStr"/>
    </row>
    <row r="12">
      <c r="A12" t="inlineStr">
        <is>
          <t>endless</t>
        </is>
      </c>
      <c r="B12" t="inlineStr">
        <is>
          <t>defend</t>
        </is>
      </c>
      <c r="C12" t="inlineStr">
        <is>
          <t>Endless</t>
        </is>
      </c>
      <c r="D12" t="inlineStr"/>
      <c r="E12" t="inlineStr">
        <is>
          <t>false</t>
        </is>
      </c>
      <c r="F12" t="inlineStr">
        <is>
          <t>1</t>
        </is>
      </c>
      <c r="G12" t="inlineStr">
        <is>
          <t>0.8</t>
        </is>
      </c>
      <c r="H12" t="inlineStr">
        <is>
          <t>1</t>
        </is>
      </c>
      <c r="I12" t="inlineStr">
        <is>
          <t>false</t>
        </is>
      </c>
      <c r="J12" t="inlineStr">
        <is>
          <t>1</t>
        </is>
      </c>
      <c r="K12" t="inlineStr">
        <is>
          <t>false</t>
        </is>
      </c>
      <c r="L12" t="inlineStr">
        <is>
          <t>PreparedPockets</t>
        </is>
      </c>
      <c r="M12" t="inlineStr">
        <is>
          <t>HoldLine</t>
        </is>
      </c>
      <c r="N12" t="inlineStr">
        <is>
          <t>false</t>
        </is>
      </c>
      <c r="O12" t="inlineStr">
        <is>
          <t>false</t>
        </is>
      </c>
      <c r="P12" t="inlineStr">
        <is>
          <t>NoChase</t>
        </is>
      </c>
      <c r="Q12" t="inlineStr">
        <is>
          <t>false</t>
        </is>
      </c>
      <c r="R12" t="inlineStr">
        <is>
          <t>true</t>
        </is>
      </c>
      <c r="S12" t="inlineStr">
        <is>
          <t>true</t>
        </is>
      </c>
      <c r="T12" t="inlineStr">
        <is>
          <t>true</t>
        </is>
      </c>
      <c r="U12" t="inlineStr">
        <is>
          <t>false</t>
        </is>
      </c>
      <c r="V12" t="inlineStr">
        <is>
          <t>1</t>
        </is>
      </c>
      <c r="W12" t="inlineStr">
        <is>
          <t>1</t>
        </is>
      </c>
      <c r="X12" t="inlineStr">
        <is>
          <t>Utilization|RangeBandLost|CounterBattery|PhaseChange|TerrainChange|Rotation|WaveDirection</t>
        </is>
      </c>
      <c r="Y12" t="inlineStr">
        <is>
          <t>Assets/MachineBrigade/Scripts/Sim/AI/P2/ModeCombatDoctrine.cs:271</t>
        </is>
      </c>
      <c r="Z12" t="inlineStr"/>
    </row>
    <row r="13">
      <c r="A13" t="inlineStr">
        <is>
          <t>escort</t>
        </is>
      </c>
      <c r="B13" t="inlineStr">
        <is>
          <t>balanced_objective</t>
        </is>
      </c>
      <c r="C13" t="inlineStr"/>
      <c r="D13" t="inlineStr">
        <is>
          <t>Escort</t>
        </is>
      </c>
      <c r="E13" t="inlineStr">
        <is>
          <t>false</t>
        </is>
      </c>
      <c r="F13" t="inlineStr">
        <is>
          <t>1</t>
        </is>
      </c>
      <c r="G13" t="inlineStr">
        <is>
          <t>0.5</t>
        </is>
      </c>
      <c r="H13" t="inlineStr">
        <is>
          <t>1</t>
        </is>
      </c>
      <c r="I13" t="inlineStr">
        <is>
          <t>false</t>
        </is>
      </c>
      <c r="J13" t="inlineStr">
        <is>
          <t>1</t>
        </is>
      </c>
      <c r="K13" t="inlineStr">
        <is>
          <t>false</t>
        </is>
      </c>
      <c r="L13" t="inlineStr">
        <is>
          <t>ConvoyLeapfrog</t>
        </is>
      </c>
      <c r="M13" t="inlineStr">
        <is>
          <t>ConvoyScreen</t>
        </is>
      </c>
      <c r="N13" t="inlineStr">
        <is>
          <t>false</t>
        </is>
      </c>
      <c r="O13" t="inlineStr">
        <is>
          <t>false</t>
        </is>
      </c>
      <c r="P13" t="inlineStr">
        <is>
          <t>Leash</t>
        </is>
      </c>
      <c r="Q13" t="inlineStr">
        <is>
          <t>false</t>
        </is>
      </c>
      <c r="R13" t="inlineStr">
        <is>
          <t>true</t>
        </is>
      </c>
      <c r="S13" t="inlineStr">
        <is>
          <t>false</t>
        </is>
      </c>
      <c r="T13" t="inlineStr">
        <is>
          <t>false</t>
        </is>
      </c>
      <c r="U13" t="inlineStr">
        <is>
          <t>false</t>
        </is>
      </c>
      <c r="V13" t="inlineStr">
        <is>
          <t>1</t>
        </is>
      </c>
      <c r="W13" t="inlineStr">
        <is>
          <t>1</t>
        </is>
      </c>
      <c r="X13" t="inlineStr">
        <is>
          <t>RangeBandLost|RouteChanged|CounterBattery|PhaseChange|TerrainChange</t>
        </is>
      </c>
      <c r="Y13" t="inlineStr">
        <is>
          <t>Assets/MachineBrigade/Scripts/Sim/AI/P2/ModeCombatDoctrine.cs:290</t>
        </is>
      </c>
      <c r="Z13" t="inlineStr"/>
    </row>
    <row r="14">
      <c r="A14" t="inlineStr">
        <is>
          <t>evacuate</t>
        </is>
      </c>
      <c r="B14" t="inlineStr">
        <is>
          <t>escort</t>
        </is>
      </c>
      <c r="C14" t="inlineStr"/>
      <c r="D14" t="inlineStr">
        <is>
          <t>Evacuate</t>
        </is>
      </c>
      <c r="E14" t="inlineStr">
        <is>
          <t>false</t>
        </is>
      </c>
      <c r="F14" t="inlineStr">
        <is>
          <t>1</t>
        </is>
      </c>
      <c r="G14" t="inlineStr">
        <is>
          <t>0.5</t>
        </is>
      </c>
      <c r="H14" t="inlineStr">
        <is>
          <t>1</t>
        </is>
      </c>
      <c r="I14" t="inlineStr">
        <is>
          <t>false</t>
        </is>
      </c>
      <c r="J14" t="inlineStr">
        <is>
          <t>1</t>
        </is>
      </c>
      <c r="K14" t="inlineStr">
        <is>
          <t>false</t>
        </is>
      </c>
      <c r="L14" t="inlineStr">
        <is>
          <t>ConvoyLeapfrog</t>
        </is>
      </c>
      <c r="M14" t="inlineStr">
        <is>
          <t>ConvoyScreen</t>
        </is>
      </c>
      <c r="N14" t="inlineStr">
        <is>
          <t>false</t>
        </is>
      </c>
      <c r="O14" t="inlineStr">
        <is>
          <t>false</t>
        </is>
      </c>
      <c r="P14" t="inlineStr">
        <is>
          <t>NoChase)</t>
        </is>
      </c>
      <c r="Q14" t="inlineStr">
        <is>
          <t>false</t>
        </is>
      </c>
      <c r="R14" t="inlineStr">
        <is>
          <t>true</t>
        </is>
      </c>
      <c r="S14" t="inlineStr">
        <is>
          <t>false</t>
        </is>
      </c>
      <c r="T14" t="inlineStr">
        <is>
          <t>false</t>
        </is>
      </c>
      <c r="U14" t="inlineStr">
        <is>
          <t>false</t>
        </is>
      </c>
      <c r="V14" t="inlineStr">
        <is>
          <t>1</t>
        </is>
      </c>
      <c r="W14" t="inlineStr">
        <is>
          <t>1</t>
        </is>
      </c>
      <c r="X14" t="inlineStr">
        <is>
          <t>RangeBandLost|RouteChanged|CounterBattery|PhaseChange|TerrainChange</t>
        </is>
      </c>
      <c r="Y14" t="inlineStr">
        <is>
          <t>Assets/MachineBrigade/Scripts/Sim/AI/P2/ModeCombatDoctrine.cs:299</t>
        </is>
      </c>
      <c r="Z14" t="inlineStr"/>
    </row>
    <row r="15">
      <c r="A15" t="inlineStr">
        <is>
          <t>fixed_deck</t>
        </is>
      </c>
      <c r="B15" t="inlineStr">
        <is>
          <t>balanced_objective</t>
        </is>
      </c>
      <c r="C15" t="inlineStr">
        <is>
          <t>FixedDeck</t>
        </is>
      </c>
      <c r="D15" t="inlineStr"/>
      <c r="E15" t="inlineStr">
        <is>
          <t>false</t>
        </is>
      </c>
      <c r="F15" t="inlineStr">
        <is>
          <t>1</t>
        </is>
      </c>
      <c r="G15" t="inlineStr">
        <is>
          <t>0.5</t>
        </is>
      </c>
      <c r="H15" t="inlineStr">
        <is>
          <t>1</t>
        </is>
      </c>
      <c r="I15" t="inlineStr">
        <is>
          <t>false</t>
        </is>
      </c>
      <c r="J15" t="inlineStr">
        <is>
          <t>1</t>
        </is>
      </c>
      <c r="K15" t="inlineStr">
        <is>
          <t>false</t>
        </is>
      </c>
      <c r="L15" t="inlineStr">
        <is>
          <t>FrontLogical</t>
        </is>
      </c>
      <c r="M15" t="inlineStr">
        <is>
          <t>Advance</t>
        </is>
      </c>
      <c r="N15" t="inlineStr">
        <is>
          <t>false</t>
        </is>
      </c>
      <c r="O15" t="inlineStr">
        <is>
          <t>false</t>
        </is>
      </c>
      <c r="P15" t="inlineStr">
        <is>
          <t>Normal</t>
        </is>
      </c>
      <c r="Q15" t="inlineStr">
        <is>
          <t>false</t>
        </is>
      </c>
      <c r="R15" t="inlineStr">
        <is>
          <t>true</t>
        </is>
      </c>
      <c r="S15" t="inlineStr">
        <is>
          <t>false</t>
        </is>
      </c>
      <c r="T15" t="inlineStr">
        <is>
          <t>false</t>
        </is>
      </c>
      <c r="U15" t="inlineStr">
        <is>
          <t>false</t>
        </is>
      </c>
      <c r="V15" t="inlineStr">
        <is>
          <t>1</t>
        </is>
      </c>
      <c r="W15" t="inlineStr">
        <is>
          <t>1</t>
        </is>
      </c>
      <c r="X15" t="inlineStr">
        <is>
          <t>All</t>
        </is>
      </c>
      <c r="Y15" t="inlineStr">
        <is>
          <t>Assets/MachineBrigade/Scripts/Sim/AI/P2/ModeCombatDoctrine.cs:377</t>
        </is>
      </c>
      <c r="Z15" t="inlineStr"/>
    </row>
    <row r="16">
      <c r="A16" t="inlineStr">
        <is>
          <t>hill</t>
        </is>
      </c>
      <c r="B16" t="inlineStr">
        <is>
          <t>conquest</t>
        </is>
      </c>
      <c r="C16" t="inlineStr">
        <is>
          <t>KingOfTheHill</t>
        </is>
      </c>
      <c r="D16" t="inlineStr"/>
      <c r="E16" t="inlineStr">
        <is>
          <t>false</t>
        </is>
      </c>
      <c r="F16" t="inlineStr">
        <is>
          <t>1</t>
        </is>
      </c>
      <c r="G16" t="inlineStr">
        <is>
          <t>0.5</t>
        </is>
      </c>
      <c r="H16" t="inlineStr">
        <is>
          <t>1</t>
        </is>
      </c>
      <c r="I16" t="inlineStr">
        <is>
          <t>false</t>
        </is>
      </c>
      <c r="J16" t="inlineStr">
        <is>
          <t>1</t>
        </is>
      </c>
      <c r="K16" t="inlineStr">
        <is>
          <t>true</t>
        </is>
      </c>
      <c r="L16" t="inlineStr">
        <is>
          <t>ObjectiveCover</t>
        </is>
      </c>
      <c r="M16" t="inlineStr">
        <is>
          <t>ObjectiveBody</t>
        </is>
      </c>
      <c r="N16" t="inlineStr">
        <is>
          <t>false</t>
        </is>
      </c>
      <c r="O16" t="inlineStr">
        <is>
          <t>false</t>
        </is>
      </c>
      <c r="P16" t="inlineStr">
        <is>
          <t>Normal</t>
        </is>
      </c>
      <c r="Q16" t="inlineStr">
        <is>
          <t>false</t>
        </is>
      </c>
      <c r="R16" t="inlineStr">
        <is>
          <t>true</t>
        </is>
      </c>
      <c r="S16" t="inlineStr">
        <is>
          <t>false</t>
        </is>
      </c>
      <c r="T16" t="inlineStr">
        <is>
          <t>false</t>
        </is>
      </c>
      <c r="U16" t="inlineStr">
        <is>
          <t>false</t>
        </is>
      </c>
      <c r="V16" t="inlineStr">
        <is>
          <t>1</t>
        </is>
      </c>
      <c r="W16" t="inlineStr">
        <is>
          <t>1</t>
        </is>
      </c>
      <c r="X16" t="inlineStr">
        <is>
          <t>ObjectiveUncovered|Utilization|CounterBattery|PhaseChange|TerrainChange</t>
        </is>
      </c>
      <c r="Y16" t="inlineStr">
        <is>
          <t>Assets/MachineBrigade/Scripts/Sim/AI/P2/ModeCombatDoctrine.cs:288</t>
        </is>
      </c>
      <c r="Z16" t="inlineStr"/>
    </row>
    <row r="17">
      <c r="A17" t="inlineStr">
        <is>
          <t>hold</t>
        </is>
      </c>
      <c r="B17" t="inlineStr">
        <is>
          <t>defend</t>
        </is>
      </c>
      <c r="C17" t="inlineStr"/>
      <c r="D17" t="inlineStr">
        <is>
          <t>Hold</t>
        </is>
      </c>
      <c r="E17" t="inlineStr">
        <is>
          <t>false</t>
        </is>
      </c>
      <c r="F17" t="inlineStr">
        <is>
          <t>1</t>
        </is>
      </c>
      <c r="G17" t="inlineStr">
        <is>
          <t>0.8</t>
        </is>
      </c>
      <c r="H17" t="inlineStr">
        <is>
          <t>1</t>
        </is>
      </c>
      <c r="I17" t="inlineStr">
        <is>
          <t>false</t>
        </is>
      </c>
      <c r="J17" t="inlineStr">
        <is>
          <t>1</t>
        </is>
      </c>
      <c r="K17" t="inlineStr">
        <is>
          <t>false</t>
        </is>
      </c>
      <c r="L17" t="inlineStr">
        <is>
          <t>DefenceLine</t>
        </is>
      </c>
      <c r="M17" t="inlineStr">
        <is>
          <t>ObjectiveBody)</t>
        </is>
      </c>
      <c r="N17" t="inlineStr">
        <is>
          <t>false</t>
        </is>
      </c>
      <c r="O17" t="inlineStr">
        <is>
          <t>false</t>
        </is>
      </c>
      <c r="P17" t="inlineStr">
        <is>
          <t>NoChase</t>
        </is>
      </c>
      <c r="Q17" t="inlineStr">
        <is>
          <t>false</t>
        </is>
      </c>
      <c r="R17" t="inlineStr">
        <is>
          <t>true</t>
        </is>
      </c>
      <c r="S17" t="inlineStr">
        <is>
          <t>false</t>
        </is>
      </c>
      <c r="T17" t="inlineStr">
        <is>
          <t>false</t>
        </is>
      </c>
      <c r="U17" t="inlineStr">
        <is>
          <t>false</t>
        </is>
      </c>
      <c r="V17" t="inlineStr">
        <is>
          <t>1</t>
        </is>
      </c>
      <c r="W17" t="inlineStr">
        <is>
          <t>1</t>
        </is>
      </c>
      <c r="X17" t="inlineStr">
        <is>
          <t>Utilization|RangeBandLost|CounterBattery|PhaseChange|TerrainChange</t>
        </is>
      </c>
      <c r="Y17" t="inlineStr">
        <is>
          <t>Assets/MachineBrigade/Scripts/Sim/AI/P2/ModeCombatDoctrine.cs:260</t>
        </is>
      </c>
      <c r="Z17" t="inlineStr"/>
    </row>
    <row r="18">
      <c r="A18" t="inlineStr">
        <is>
          <t>hunt</t>
        </is>
      </c>
      <c r="B18" t="inlineStr">
        <is>
          <t>balanced_objective</t>
        </is>
      </c>
      <c r="C18" t="inlineStr"/>
      <c r="D18" t="inlineStr">
        <is>
          <t>Hunt</t>
        </is>
      </c>
      <c r="E18" t="inlineStr">
        <is>
          <t>false</t>
        </is>
      </c>
      <c r="F18" t="inlineStr">
        <is>
          <t>1</t>
        </is>
      </c>
      <c r="G18" t="inlineStr">
        <is>
          <t>0.5</t>
        </is>
      </c>
      <c r="H18" t="inlineStr">
        <is>
          <t>1</t>
        </is>
      </c>
      <c r="I18" t="inlineStr">
        <is>
          <t>false</t>
        </is>
      </c>
      <c r="J18" t="inlineStr">
        <is>
          <t>1</t>
        </is>
      </c>
      <c r="K18" t="inlineStr">
        <is>
          <t>false</t>
        </is>
      </c>
      <c r="L18" t="inlineStr">
        <is>
          <t>InterceptPredict</t>
        </is>
      </c>
      <c r="M18" t="inlineStr">
        <is>
          <t>Mobile</t>
        </is>
      </c>
      <c r="N18" t="inlineStr">
        <is>
          <t>false</t>
        </is>
      </c>
      <c r="O18" t="inlineStr">
        <is>
          <t>false</t>
        </is>
      </c>
      <c r="P18" t="inlineStr">
        <is>
          <t>Leash</t>
        </is>
      </c>
      <c r="Q18" t="inlineStr">
        <is>
          <t>false</t>
        </is>
      </c>
      <c r="R18" t="inlineStr">
        <is>
          <t>true</t>
        </is>
      </c>
      <c r="S18" t="inlineStr">
        <is>
          <t>false</t>
        </is>
      </c>
      <c r="T18" t="inlineStr">
        <is>
          <t>false</t>
        </is>
      </c>
      <c r="U18" t="inlineStr">
        <is>
          <t>false</t>
        </is>
      </c>
      <c r="V18" t="inlineStr">
        <is>
          <t>1</t>
        </is>
      </c>
      <c r="W18" t="inlineStr">
        <is>
          <t>1</t>
        </is>
      </c>
      <c r="X18" t="inlineStr">
        <is>
          <t>All</t>
        </is>
      </c>
      <c r="Y18" t="inlineStr">
        <is>
          <t>Assets/MachineBrigade/Scripts/Sim/AI/P2/ModeCombatDoctrine.cs:343</t>
        </is>
      </c>
      <c r="Z18" t="inlineStr"/>
    </row>
    <row r="19">
      <c r="A19" t="inlineStr">
        <is>
          <t>intercept</t>
        </is>
      </c>
      <c r="B19" t="inlineStr">
        <is>
          <t>hunt</t>
        </is>
      </c>
      <c r="C19" t="inlineStr"/>
      <c r="D19" t="inlineStr">
        <is>
          <t>Intercept</t>
        </is>
      </c>
      <c r="E19" t="inlineStr">
        <is>
          <t>false</t>
        </is>
      </c>
      <c r="F19" t="inlineStr">
        <is>
          <t>1</t>
        </is>
      </c>
      <c r="G19" t="inlineStr">
        <is>
          <t>0.5</t>
        </is>
      </c>
      <c r="H19" t="inlineStr">
        <is>
          <t>1</t>
        </is>
      </c>
      <c r="I19" t="inlineStr">
        <is>
          <t>false</t>
        </is>
      </c>
      <c r="J19" t="inlineStr">
        <is>
          <t>1</t>
        </is>
      </c>
      <c r="K19" t="inlineStr">
        <is>
          <t>false</t>
        </is>
      </c>
      <c r="L19" t="inlineStr">
        <is>
          <t>InterceptPredict</t>
        </is>
      </c>
      <c r="M19" t="inlineStr">
        <is>
          <t>Mobile</t>
        </is>
      </c>
      <c r="N19" t="inlineStr">
        <is>
          <t>false</t>
        </is>
      </c>
      <c r="O19" t="inlineStr">
        <is>
          <t>false</t>
        </is>
      </c>
      <c r="P19" t="inlineStr">
        <is>
          <t>Leash</t>
        </is>
      </c>
      <c r="Q19" t="inlineStr">
        <is>
          <t>false</t>
        </is>
      </c>
      <c r="R19" t="inlineStr">
        <is>
          <t>false)</t>
        </is>
      </c>
      <c r="S19" t="inlineStr">
        <is>
          <t>false</t>
        </is>
      </c>
      <c r="T19" t="inlineStr">
        <is>
          <t>false</t>
        </is>
      </c>
      <c r="U19" t="inlineStr">
        <is>
          <t>false</t>
        </is>
      </c>
      <c r="V19" t="inlineStr">
        <is>
          <t>1</t>
        </is>
      </c>
      <c r="W19" t="inlineStr">
        <is>
          <t>1</t>
        </is>
      </c>
      <c r="X19" t="inlineStr">
        <is>
          <t>All</t>
        </is>
      </c>
      <c r="Y19" t="inlineStr">
        <is>
          <t>Assets/MachineBrigade/Scripts/Sim/AI/P2/ModeCombatDoctrine.cs:349</t>
        </is>
      </c>
      <c r="Z19" t="inlineStr"/>
    </row>
    <row r="20">
      <c r="A20" t="inlineStr">
        <is>
          <t>operation</t>
        </is>
      </c>
      <c r="B20" t="inlineStr">
        <is>
          <t>assault</t>
        </is>
      </c>
      <c r="C20" t="inlineStr">
        <is>
          <t>Operation</t>
        </is>
      </c>
      <c r="D20" t="inlineStr"/>
      <c r="E20" t="inlineStr">
        <is>
          <t>false</t>
        </is>
      </c>
      <c r="F20" t="inlineStr">
        <is>
          <t>1</t>
        </is>
      </c>
      <c r="G20" t="inlineStr">
        <is>
          <t>0.5</t>
        </is>
      </c>
      <c r="H20" t="inlineStr">
        <is>
          <t>1</t>
        </is>
      </c>
      <c r="I20" t="inlineStr">
        <is>
          <t>false</t>
        </is>
      </c>
      <c r="J20" t="inlineStr">
        <is>
          <t>1</t>
        </is>
      </c>
      <c r="K20" t="inlineStr">
        <is>
          <t>false</t>
        </is>
      </c>
      <c r="L20" t="inlineStr">
        <is>
          <t>FrontLogical</t>
        </is>
      </c>
      <c r="M20" t="inlineStr">
        <is>
          <t>Advance</t>
        </is>
      </c>
      <c r="N20" t="inlineStr">
        <is>
          <t>false</t>
        </is>
      </c>
      <c r="O20" t="inlineStr">
        <is>
          <t>true)</t>
        </is>
      </c>
      <c r="P20" t="inlineStr">
        <is>
          <t>Normal</t>
        </is>
      </c>
      <c r="Q20" t="inlineStr">
        <is>
          <t>false</t>
        </is>
      </c>
      <c r="R20" t="inlineStr">
        <is>
          <t>true</t>
        </is>
      </c>
      <c r="S20" t="inlineStr">
        <is>
          <t>false</t>
        </is>
      </c>
      <c r="T20" t="inlineStr">
        <is>
          <t>false</t>
        </is>
      </c>
      <c r="U20" t="inlineStr">
        <is>
          <t>false</t>
        </is>
      </c>
      <c r="V20" t="inlineStr">
        <is>
          <t>1</t>
        </is>
      </c>
      <c r="W20" t="inlineStr">
        <is>
          <t>1.4</t>
        </is>
      </c>
      <c r="X20" t="inlineStr">
        <is>
          <t>Utilization|FrontMoved|RangeBandLost|CounterBattery|RouteChanged|PhaseChange|TerrainChange</t>
        </is>
      </c>
      <c r="Y20" t="inlineStr">
        <is>
          <t>Assets/MachineBrigade/Scripts/Sim/AI/P2/ModeCombatDoctrine.cs:360</t>
        </is>
      </c>
      <c r="Z20" t="inlineStr"/>
    </row>
    <row r="21">
      <c r="A21" t="inlineStr">
        <is>
          <t>outpost</t>
        </is>
      </c>
      <c r="B21" t="inlineStr">
        <is>
          <t>defend</t>
        </is>
      </c>
      <c r="C21" t="inlineStr"/>
      <c r="D21" t="inlineStr">
        <is>
          <t>Outpost</t>
        </is>
      </c>
      <c r="E21" t="inlineStr">
        <is>
          <t>false</t>
        </is>
      </c>
      <c r="F21" t="inlineStr">
        <is>
          <t>1</t>
        </is>
      </c>
      <c r="G21" t="inlineStr">
        <is>
          <t>0.7)</t>
        </is>
      </c>
      <c r="H21" t="inlineStr">
        <is>
          <t>1</t>
        </is>
      </c>
      <c r="I21" t="inlineStr">
        <is>
          <t>false</t>
        </is>
      </c>
      <c r="J21" t="inlineStr">
        <is>
          <t>1</t>
        </is>
      </c>
      <c r="K21" t="inlineStr">
        <is>
          <t>false</t>
        </is>
      </c>
      <c r="L21" t="inlineStr">
        <is>
          <t>DefenceLine</t>
        </is>
      </c>
      <c r="M21" t="inlineStr">
        <is>
          <t>HoldLine</t>
        </is>
      </c>
      <c r="N21" t="inlineStr">
        <is>
          <t>false</t>
        </is>
      </c>
      <c r="O21" t="inlineStr">
        <is>
          <t>false</t>
        </is>
      </c>
      <c r="P21" t="inlineStr">
        <is>
          <t>NoChase</t>
        </is>
      </c>
      <c r="Q21" t="inlineStr">
        <is>
          <t>false</t>
        </is>
      </c>
      <c r="R21" t="inlineStr">
        <is>
          <t>true</t>
        </is>
      </c>
      <c r="S21" t="inlineStr">
        <is>
          <t>false</t>
        </is>
      </c>
      <c r="T21" t="inlineStr">
        <is>
          <t>false</t>
        </is>
      </c>
      <c r="U21" t="inlineStr">
        <is>
          <t>false</t>
        </is>
      </c>
      <c r="V21" t="inlineStr">
        <is>
          <t>1</t>
        </is>
      </c>
      <c r="W21" t="inlineStr">
        <is>
          <t>1</t>
        </is>
      </c>
      <c r="X21" t="inlineStr">
        <is>
          <t>Utilization|RangeBandLost|CounterBattery|PhaseChange|TerrainChange</t>
        </is>
      </c>
      <c r="Y21" t="inlineStr">
        <is>
          <t>Assets/MachineBrigade/Scripts/Sim/AI/P2/ModeCombatDoctrine.cs:262</t>
        </is>
      </c>
      <c r="Z21" t="inlineStr"/>
    </row>
    <row r="22">
      <c r="A22" t="inlineStr">
        <is>
          <t>protect</t>
        </is>
      </c>
      <c r="B22" t="inlineStr">
        <is>
          <t>defend</t>
        </is>
      </c>
      <c r="C22" t="inlineStr"/>
      <c r="D22" t="inlineStr">
        <is>
          <t>Protect</t>
        </is>
      </c>
      <c r="E22" t="inlineStr">
        <is>
          <t>false</t>
        </is>
      </c>
      <c r="F22" t="inlineStr">
        <is>
          <t>1</t>
        </is>
      </c>
      <c r="G22" t="inlineStr">
        <is>
          <t>0.8</t>
        </is>
      </c>
      <c r="H22" t="inlineStr">
        <is>
          <t>1</t>
        </is>
      </c>
      <c r="I22" t="inlineStr">
        <is>
          <t>false</t>
        </is>
      </c>
      <c r="J22" t="inlineStr">
        <is>
          <t>1</t>
        </is>
      </c>
      <c r="K22" t="inlineStr">
        <is>
          <t>false</t>
        </is>
      </c>
      <c r="L22" t="inlineStr">
        <is>
          <t>DefenceLine</t>
        </is>
      </c>
      <c r="M22" t="inlineStr">
        <is>
          <t>HoldLine</t>
        </is>
      </c>
      <c r="N22" t="inlineStr">
        <is>
          <t>false</t>
        </is>
      </c>
      <c r="O22" t="inlineStr">
        <is>
          <t>false</t>
        </is>
      </c>
      <c r="P22" t="inlineStr">
        <is>
          <t>NoChase)</t>
        </is>
      </c>
      <c r="Q22" t="inlineStr">
        <is>
          <t>false</t>
        </is>
      </c>
      <c r="R22" t="inlineStr">
        <is>
          <t>true</t>
        </is>
      </c>
      <c r="S22" t="inlineStr">
        <is>
          <t>false</t>
        </is>
      </c>
      <c r="T22" t="inlineStr">
        <is>
          <t>false</t>
        </is>
      </c>
      <c r="U22" t="inlineStr">
        <is>
          <t>false</t>
        </is>
      </c>
      <c r="V22" t="inlineStr">
        <is>
          <t>1</t>
        </is>
      </c>
      <c r="W22" t="inlineStr">
        <is>
          <t>1</t>
        </is>
      </c>
      <c r="X22" t="inlineStr">
        <is>
          <t>Utilization|RangeBandLost|CounterBattery|PhaseChange|TerrainChange</t>
        </is>
      </c>
      <c r="Y22" t="inlineStr">
        <is>
          <t>Assets/MachineBrigade/Scripts/Sim/AI/P2/ModeCombatDoctrine.cs:261</t>
        </is>
      </c>
      <c r="Z22" t="inlineStr"/>
    </row>
    <row r="23">
      <c r="A23" t="inlineStr">
        <is>
          <t>recon</t>
        </is>
      </c>
      <c r="B23" t="inlineStr">
        <is>
          <t>balanced_objective</t>
        </is>
      </c>
      <c r="C23" t="inlineStr"/>
      <c r="D23" t="inlineStr">
        <is>
          <t>Recon</t>
        </is>
      </c>
      <c r="E23" t="inlineStr">
        <is>
          <t>false</t>
        </is>
      </c>
      <c r="F23" t="inlineStr">
        <is>
          <t>1</t>
        </is>
      </c>
      <c r="G23" t="inlineStr">
        <is>
          <t>1</t>
        </is>
      </c>
      <c r="H23" t="inlineStr">
        <is>
          <t>1</t>
        </is>
      </c>
      <c r="I23" t="inlineStr">
        <is>
          <t>false</t>
        </is>
      </c>
      <c r="J23" t="inlineStr">
        <is>
          <t>1</t>
        </is>
      </c>
      <c r="K23" t="inlineStr">
        <is>
          <t>false</t>
        </is>
      </c>
      <c r="L23" t="inlineStr">
        <is>
          <t>Quiet</t>
        </is>
      </c>
      <c r="M23" t="inlineStr">
        <is>
          <t>Mobile</t>
        </is>
      </c>
      <c r="N23" t="inlineStr">
        <is>
          <t>false</t>
        </is>
      </c>
      <c r="O23" t="inlineStr">
        <is>
          <t>false</t>
        </is>
      </c>
      <c r="P23" t="inlineStr">
        <is>
          <t>NoChase</t>
        </is>
      </c>
      <c r="Q23" t="inlineStr">
        <is>
          <t>true</t>
        </is>
      </c>
      <c r="R23" t="inlineStr">
        <is>
          <t>true</t>
        </is>
      </c>
      <c r="S23" t="inlineStr">
        <is>
          <t>false</t>
        </is>
      </c>
      <c r="T23" t="inlineStr">
        <is>
          <t>false</t>
        </is>
      </c>
      <c r="U23" t="inlineStr">
        <is>
          <t>false</t>
        </is>
      </c>
      <c r="V23" t="inlineStr">
        <is>
          <t>1</t>
        </is>
      </c>
      <c r="W23" t="inlineStr">
        <is>
          <t>1</t>
        </is>
      </c>
      <c r="X23" t="inlineStr">
        <is>
          <t>All</t>
        </is>
      </c>
      <c r="Y23" t="inlineStr">
        <is>
          <t>Assets/MachineBrigade/Scripts/Sim/AI/P2/ModeCombatDoctrine.cs:351</t>
        </is>
      </c>
      <c r="Z23" t="inlineStr"/>
    </row>
    <row r="24">
      <c r="A24" t="inlineStr">
        <is>
          <t>relieve</t>
        </is>
      </c>
      <c r="B24" t="inlineStr">
        <is>
          <t>defend</t>
        </is>
      </c>
      <c r="C24" t="inlineStr"/>
      <c r="D24" t="inlineStr">
        <is>
          <t>Relieve</t>
        </is>
      </c>
      <c r="E24" t="inlineStr">
        <is>
          <t>false</t>
        </is>
      </c>
      <c r="F24" t="inlineStr">
        <is>
          <t>1</t>
        </is>
      </c>
      <c r="G24" t="inlineStr">
        <is>
          <t>0.6</t>
        </is>
      </c>
      <c r="H24" t="inlineStr">
        <is>
          <t>1</t>
        </is>
      </c>
      <c r="I24" t="inlineStr">
        <is>
          <t>false</t>
        </is>
      </c>
      <c r="J24" t="inlineStr">
        <is>
          <t>1</t>
        </is>
      </c>
      <c r="K24" t="inlineStr">
        <is>
          <t>false</t>
        </is>
      </c>
      <c r="L24" t="inlineStr">
        <is>
          <t>FrontLogical</t>
        </is>
      </c>
      <c r="M24" t="inlineStr">
        <is>
          <t>Advance</t>
        </is>
      </c>
      <c r="N24" t="inlineStr">
        <is>
          <t>false</t>
        </is>
      </c>
      <c r="O24" t="inlineStr">
        <is>
          <t>false</t>
        </is>
      </c>
      <c r="P24" t="inlineStr">
        <is>
          <t>Leash</t>
        </is>
      </c>
      <c r="Q24" t="inlineStr">
        <is>
          <t>false</t>
        </is>
      </c>
      <c r="R24" t="inlineStr">
        <is>
          <t>true</t>
        </is>
      </c>
      <c r="S24" t="inlineStr">
        <is>
          <t>false</t>
        </is>
      </c>
      <c r="T24" t="inlineStr">
        <is>
          <t>false</t>
        </is>
      </c>
      <c r="U24" t="inlineStr">
        <is>
          <t>false</t>
        </is>
      </c>
      <c r="V24" t="inlineStr">
        <is>
          <t>1</t>
        </is>
      </c>
      <c r="W24" t="inlineStr">
        <is>
          <t>1</t>
        </is>
      </c>
      <c r="X24" t="inlineStr">
        <is>
          <t>Utilization|RangeBandLost|CounterBattery|PhaseChange|TerrainChange</t>
        </is>
      </c>
      <c r="Y24" t="inlineStr">
        <is>
          <t>Assets/MachineBrigade/Scripts/Sim/AI/P2/ModeCombatDoctrine.cs:263</t>
        </is>
      </c>
      <c r="Z24" t="inlineStr"/>
    </row>
    <row r="25">
      <c r="A25" t="inlineStr">
        <is>
          <t>shootdown</t>
        </is>
      </c>
      <c r="B25" t="inlineStr">
        <is>
          <t>balanced_objective</t>
        </is>
      </c>
      <c r="C25" t="inlineStr"/>
      <c r="D25" t="inlineStr">
        <is>
          <t>ShootDown</t>
        </is>
      </c>
      <c r="E25" t="inlineStr">
        <is>
          <t>true</t>
        </is>
      </c>
      <c r="F25" t="inlineStr">
        <is>
          <t>1</t>
        </is>
      </c>
      <c r="G25" t="inlineStr">
        <is>
          <t>0.5</t>
        </is>
      </c>
      <c r="H25" t="inlineStr">
        <is>
          <t>1</t>
        </is>
      </c>
      <c r="I25" t="inlineStr">
        <is>
          <t>false</t>
        </is>
      </c>
      <c r="J25" t="inlineStr">
        <is>
          <t>1</t>
        </is>
      </c>
      <c r="K25" t="inlineStr">
        <is>
          <t>false</t>
        </is>
      </c>
      <c r="L25" t="inlineStr">
        <is>
          <t>DefenceLine</t>
        </is>
      </c>
      <c r="M25" t="inlineStr">
        <is>
          <t>HoldLine</t>
        </is>
      </c>
      <c r="N25" t="inlineStr">
        <is>
          <t>false</t>
        </is>
      </c>
      <c r="O25" t="inlineStr">
        <is>
          <t>false</t>
        </is>
      </c>
      <c r="P25" t="inlineStr">
        <is>
          <t>NoChase</t>
        </is>
      </c>
      <c r="Q25" t="inlineStr">
        <is>
          <t>false</t>
        </is>
      </c>
      <c r="R25" t="inlineStr">
        <is>
          <t>true</t>
        </is>
      </c>
      <c r="S25" t="inlineStr">
        <is>
          <t>false</t>
        </is>
      </c>
      <c r="T25" t="inlineStr">
        <is>
          <t>false</t>
        </is>
      </c>
      <c r="U25" t="inlineStr">
        <is>
          <t>false</t>
        </is>
      </c>
      <c r="V25" t="inlineStr">
        <is>
          <t>1</t>
        </is>
      </c>
      <c r="W25" t="inlineStr">
        <is>
          <t>1</t>
        </is>
      </c>
      <c r="X25" t="inlineStr">
        <is>
          <t>All</t>
        </is>
      </c>
      <c r="Y25" t="inlineStr">
        <is>
          <t>Assets/MachineBrigade/Scripts/Sim/AI/P2/ModeCombatDoctrine.cs:369</t>
        </is>
      </c>
      <c r="Z25" t="inlineStr"/>
    </row>
    <row r="26">
      <c r="A26" t="inlineStr">
        <is>
          <t>showdown</t>
        </is>
      </c>
      <c r="B26" t="inlineStr">
        <is>
          <t>balanced_objective</t>
        </is>
      </c>
      <c r="C26" t="inlineStr">
        <is>
          <t>Showdown</t>
        </is>
      </c>
      <c r="D26" t="inlineStr"/>
      <c r="E26" t="inlineStr">
        <is>
          <t>false</t>
        </is>
      </c>
      <c r="F26" t="inlineStr">
        <is>
          <t>1</t>
        </is>
      </c>
      <c r="G26" t="inlineStr">
        <is>
          <t>0.5</t>
        </is>
      </c>
      <c r="H26" t="inlineStr">
        <is>
          <t>1</t>
        </is>
      </c>
      <c r="I26" t="inlineStr">
        <is>
          <t>true</t>
        </is>
      </c>
      <c r="J26" t="inlineStr">
        <is>
          <t>1</t>
        </is>
      </c>
      <c r="K26" t="inlineStr">
        <is>
          <t>false</t>
        </is>
      </c>
      <c r="L26" t="inlineStr">
        <is>
          <t>FrontLogical</t>
        </is>
      </c>
      <c r="M26" t="inlineStr">
        <is>
          <t>Advance</t>
        </is>
      </c>
      <c r="N26" t="inlineStr">
        <is>
          <t>false</t>
        </is>
      </c>
      <c r="O26" t="inlineStr">
        <is>
          <t>false</t>
        </is>
      </c>
      <c r="P26" t="inlineStr">
        <is>
          <t>Normal</t>
        </is>
      </c>
      <c r="Q26" t="inlineStr">
        <is>
          <t>false</t>
        </is>
      </c>
      <c r="R26" t="inlineStr">
        <is>
          <t>true</t>
        </is>
      </c>
      <c r="S26" t="inlineStr">
        <is>
          <t>false</t>
        </is>
      </c>
      <c r="T26" t="inlineStr">
        <is>
          <t>false</t>
        </is>
      </c>
      <c r="U26" t="inlineStr">
        <is>
          <t>false</t>
        </is>
      </c>
      <c r="V26" t="inlineStr">
        <is>
          <t>1</t>
        </is>
      </c>
      <c r="W26" t="inlineStr">
        <is>
          <t>1.2</t>
        </is>
      </c>
      <c r="X26" t="inlineStr">
        <is>
          <t>All</t>
        </is>
      </c>
      <c r="Y26" t="inlineStr">
        <is>
          <t>Assets/MachineBrigade/Scripts/Sim/AI/P2/ModeCombatDoctrine.cs:362</t>
        </is>
      </c>
      <c r="Z26" t="inlineStr"/>
    </row>
    <row r="27">
      <c r="A27" t="inlineStr">
        <is>
          <t>siege</t>
        </is>
      </c>
      <c r="B27" t="inlineStr">
        <is>
          <t>balanced_objective</t>
        </is>
      </c>
      <c r="C27" t="inlineStr">
        <is>
          <t>Siege</t>
        </is>
      </c>
      <c r="D27" t="inlineStr"/>
      <c r="E27" t="inlineStr">
        <is>
          <t>false</t>
        </is>
      </c>
      <c r="F27" t="inlineStr">
        <is>
          <t>1.3</t>
        </is>
      </c>
      <c r="G27" t="inlineStr">
        <is>
          <t>0.5</t>
        </is>
      </c>
      <c r="H27" t="inlineStr">
        <is>
          <t>1</t>
        </is>
      </c>
      <c r="I27" t="inlineStr">
        <is>
          <t>false</t>
        </is>
      </c>
      <c r="J27" t="inlineStr">
        <is>
          <t>1</t>
        </is>
      </c>
      <c r="K27" t="inlineStr">
        <is>
          <t>false</t>
        </is>
      </c>
      <c r="L27" t="inlineStr">
        <is>
          <t>SiegeLayers</t>
        </is>
      </c>
      <c r="M27" t="inlineStr">
        <is>
          <t>Advance</t>
        </is>
      </c>
      <c r="N27" t="inlineStr">
        <is>
          <t>false</t>
        </is>
      </c>
      <c r="O27" t="inlineStr">
        <is>
          <t>false</t>
        </is>
      </c>
      <c r="P27" t="inlineStr">
        <is>
          <t>Normal</t>
        </is>
      </c>
      <c r="Q27" t="inlineStr">
        <is>
          <t>false</t>
        </is>
      </c>
      <c r="R27" t="inlineStr">
        <is>
          <t>false</t>
        </is>
      </c>
      <c r="S27" t="inlineStr">
        <is>
          <t>false</t>
        </is>
      </c>
      <c r="T27" t="inlineStr">
        <is>
          <t>false</t>
        </is>
      </c>
      <c r="U27" t="inlineStr">
        <is>
          <t>true</t>
        </is>
      </c>
      <c r="V27" t="inlineStr">
        <is>
          <t>1</t>
        </is>
      </c>
      <c r="W27" t="inlineStr">
        <is>
          <t>1.5</t>
        </is>
      </c>
      <c r="X27" t="inlineStr">
        <is>
          <t>All</t>
        </is>
      </c>
      <c r="Y27" t="inlineStr">
        <is>
          <t>Assets/MachineBrigade/Scripts/Sim/AI/P2/ModeCombatDoctrine.cs:301</t>
        </is>
      </c>
      <c r="Z27" t="inlineStr"/>
    </row>
    <row r="28">
      <c r="A28" t="inlineStr">
        <is>
          <t>survival</t>
        </is>
      </c>
      <c r="B28" t="inlineStr">
        <is>
          <t>balanced_objective</t>
        </is>
      </c>
      <c r="C28" t="inlineStr">
        <is>
          <t>Survival</t>
        </is>
      </c>
      <c r="D28" t="inlineStr">
        <is>
          <t>Survive</t>
        </is>
      </c>
      <c r="E28" t="inlineStr">
        <is>
          <t>false</t>
        </is>
      </c>
      <c r="F28" t="inlineStr">
        <is>
          <t>1</t>
        </is>
      </c>
      <c r="G28" t="inlineStr">
        <is>
          <t>0.5</t>
        </is>
      </c>
      <c r="H28" t="inlineStr">
        <is>
          <t>1</t>
        </is>
      </c>
      <c r="I28" t="inlineStr">
        <is>
          <t>false</t>
        </is>
      </c>
      <c r="J28" t="inlineStr">
        <is>
          <t>1</t>
        </is>
      </c>
      <c r="K28" t="inlineStr">
        <is>
          <t>false</t>
        </is>
      </c>
      <c r="L28" t="inlineStr">
        <is>
          <t>PreparedPockets</t>
        </is>
      </c>
      <c r="M28" t="inlineStr">
        <is>
          <t>Survival</t>
        </is>
      </c>
      <c r="N28" t="inlineStr">
        <is>
          <t>false</t>
        </is>
      </c>
      <c r="O28" t="inlineStr">
        <is>
          <t>false</t>
        </is>
      </c>
      <c r="P28" t="inlineStr">
        <is>
          <t>NoChase</t>
        </is>
      </c>
      <c r="Q28" t="inlineStr">
        <is>
          <t>false</t>
        </is>
      </c>
      <c r="R28" t="inlineStr">
        <is>
          <t>false</t>
        </is>
      </c>
      <c r="S28" t="inlineStr">
        <is>
          <t>false</t>
        </is>
      </c>
      <c r="T28" t="inlineStr">
        <is>
          <t>true</t>
        </is>
      </c>
      <c r="U28" t="inlineStr">
        <is>
          <t>false</t>
        </is>
      </c>
      <c r="V28" t="inlineStr">
        <is>
          <t>1</t>
        </is>
      </c>
      <c r="W28" t="inlineStr">
        <is>
          <t>1</t>
        </is>
      </c>
      <c r="X28" t="inlineStr">
        <is>
          <t>WaveDirection|Rotation|CounterBattery|RangeBandLost|TerrainChange</t>
        </is>
      </c>
      <c r="Y28" t="inlineStr">
        <is>
          <t>Assets/MachineBrigade/Scripts/Sim/AI/P2/ModeCombatDoctrine.cs:313</t>
        </is>
      </c>
      <c r="Z28" t="inlineStr"/>
    </row>
    <row r="29">
      <c r="A29" t="inlineStr">
        <is>
          <t>weekly</t>
        </is>
      </c>
      <c r="B29" t="inlineStr">
        <is>
          <t>siege</t>
        </is>
      </c>
      <c r="C29" t="inlineStr">
        <is>
          <t>Weekly</t>
        </is>
      </c>
      <c r="D29" t="inlineStr"/>
      <c r="E29" t="inlineStr">
        <is>
          <t>false</t>
        </is>
      </c>
      <c r="F29" t="inlineStr">
        <is>
          <t>1.3</t>
        </is>
      </c>
      <c r="G29" t="inlineStr">
        <is>
          <t>0.5</t>
        </is>
      </c>
      <c r="H29" t="inlineStr">
        <is>
          <t>1</t>
        </is>
      </c>
      <c r="I29" t="inlineStr">
        <is>
          <t>false</t>
        </is>
      </c>
      <c r="J29" t="inlineStr">
        <is>
          <t>1</t>
        </is>
      </c>
      <c r="K29" t="inlineStr">
        <is>
          <t>false</t>
        </is>
      </c>
      <c r="L29" t="inlineStr">
        <is>
          <t>SiegeLayers</t>
        </is>
      </c>
      <c r="M29" t="inlineStr">
        <is>
          <t>Advance</t>
        </is>
      </c>
      <c r="N29" t="inlineStr">
        <is>
          <t>true)</t>
        </is>
      </c>
      <c r="O29" t="inlineStr">
        <is>
          <t>false</t>
        </is>
      </c>
      <c r="P29" t="inlineStr">
        <is>
          <t>Normal</t>
        </is>
      </c>
      <c r="Q29" t="inlineStr">
        <is>
          <t>false</t>
        </is>
      </c>
      <c r="R29" t="inlineStr">
        <is>
          <t>false</t>
        </is>
      </c>
      <c r="S29" t="inlineStr">
        <is>
          <t>false</t>
        </is>
      </c>
      <c r="T29" t="inlineStr">
        <is>
          <t>false</t>
        </is>
      </c>
      <c r="U29" t="inlineStr">
        <is>
          <t>true</t>
        </is>
      </c>
      <c r="V29" t="inlineStr">
        <is>
          <t>1</t>
        </is>
      </c>
      <c r="W29" t="inlineStr">
        <is>
          <t>1.5</t>
        </is>
      </c>
      <c r="X29" t="inlineStr">
        <is>
          <t>All</t>
        </is>
      </c>
      <c r="Y29" t="inlineStr">
        <is>
          <t>Assets/MachineBrigade/Scripts/Sim/AI/P2/ModeCombatDoctrine.cs:311</t>
        </is>
      </c>
      <c r="Z29" t="inlineStr"/>
    </row>
  </sheetData>
  <autoFilter ref="A1:Z29"/>
  <pageMargins left="0.75" right="0.75" top="1" bottom="1" header="0.5" footer="0.5"/>
</worksheet>
</file>

<file path=xl/worksheets/sheet2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60" customWidth="1" min="3" max="3"/>
    <col width="53" customWidth="1" min="4" max="4"/>
    <col width="8" customWidth="1" min="5" max="5"/>
    <col width="60" customWidth="1" min="6" max="6"/>
    <col width="60" customWidth="1" min="7" max="7"/>
    <col width="10" customWidth="1" min="8" max="8"/>
  </cols>
  <sheetData>
    <row r="1">
      <c r="A1" s="1" t="inlineStr">
        <is>
          <t>id</t>
        </is>
      </c>
      <c r="B1" s="1" t="inlineStr">
        <is>
          <t>vai_tro</t>
        </is>
      </c>
      <c r="C1" s="1" t="inlineStr">
        <is>
          <t>dieu_kien</t>
        </is>
      </c>
      <c r="D1" s="1" t="inlineStr">
        <is>
          <t>bac</t>
        </is>
      </c>
      <c r="E1" s="1" t="inlineStr">
        <is>
          <t>he_so</t>
        </is>
      </c>
      <c r="F1" s="1" t="inlineStr">
        <is>
          <t>quy_tac</t>
        </is>
      </c>
      <c r="G1" s="1" t="inlineStr">
        <is>
          <t>nguon</t>
        </is>
      </c>
      <c r="H1" s="1" t="inlineStr">
        <is>
          <t>raw_json</t>
        </is>
      </c>
    </row>
    <row r="2">
      <c r="A2" t="inlineStr">
        <is>
          <t>AntiAir/1</t>
        </is>
      </c>
      <c r="B2" t="inlineStr">
        <is>
          <t>AntiAir</t>
        </is>
      </c>
      <c r="C2" t="inlineStr">
        <is>
          <t>if Air(c) &amp;&amp; objectiveThreat &gt; 0f</t>
        </is>
      </c>
      <c r="D2" t="inlineStr">
        <is>
          <t>1/5</t>
        </is>
      </c>
      <c r="E2" t="n">
        <v>1.6</v>
      </c>
      <c r="F2" t="inlineStr">
        <is>
          <t>B7: aircraft attacking a protected asset, bomber / strike, gunship, fighter, drone; no ground chase.</t>
        </is>
      </c>
      <c r="G2" t="inlineStr">
        <is>
          <t>Assets/MachineBrigade/Scripts/Sim/AI/P2/CombatRoleDoctrine.cs:239</t>
        </is>
      </c>
      <c r="H2" t="inlineStr"/>
    </row>
    <row r="3">
      <c r="A3" t="inlineStr">
        <is>
          <t>AntiAir/2</t>
        </is>
      </c>
      <c r="B3" t="inlineStr">
        <is>
          <t>AntiAir</t>
        </is>
      </c>
      <c r="C3" t="inlineStr">
        <is>
          <t>Bomber | StrikeAir</t>
        </is>
      </c>
      <c r="D3" t="inlineStr">
        <is>
          <t>2/5</t>
        </is>
      </c>
      <c r="E3" t="n">
        <v>1.36</v>
      </c>
      <c r="F3" t="inlineStr">
        <is>
          <t>B7: aircraft attacking a protected asset, bomber / strike, gunship, fighter, drone; no ground chase.</t>
        </is>
      </c>
      <c r="G3" t="inlineStr">
        <is>
          <t>Assets/MachineBrigade/Scripts/Sim/AI/P2/CombatRoleDoctrine.cs:239</t>
        </is>
      </c>
      <c r="H3" t="inlineStr"/>
    </row>
    <row r="4">
      <c r="A4" t="inlineStr">
        <is>
          <t>AntiAir/3</t>
        </is>
      </c>
      <c r="B4" t="inlineStr">
        <is>
          <t>AntiAir</t>
        </is>
      </c>
      <c r="C4" t="inlineStr">
        <is>
          <t>Helicopter</t>
        </is>
      </c>
      <c r="D4" t="inlineStr">
        <is>
          <t>3/5</t>
        </is>
      </c>
      <c r="E4" t="n">
        <v>1.156</v>
      </c>
      <c r="F4" t="inlineStr">
        <is>
          <t>B7: aircraft attacking a protected asset, bomber / strike, gunship, fighter, drone; no ground chase.</t>
        </is>
      </c>
      <c r="G4" t="inlineStr">
        <is>
          <t>Assets/MachineBrigade/Scripts/Sim/AI/P2/CombatRoleDoctrine.cs:239</t>
        </is>
      </c>
      <c r="H4" t="inlineStr"/>
    </row>
    <row r="5">
      <c r="A5" t="inlineStr">
        <is>
          <t>AntiAir/4</t>
        </is>
      </c>
      <c r="B5" t="inlineStr">
        <is>
          <t>AntiAir</t>
        </is>
      </c>
      <c r="C5" t="inlineStr">
        <is>
          <t>Fighter</t>
        </is>
      </c>
      <c r="D5" t="inlineStr">
        <is>
          <t>4/5</t>
        </is>
      </c>
      <c r="E5" t="n">
        <v>0.9826</v>
      </c>
      <c r="F5" t="inlineStr">
        <is>
          <t>B7: aircraft attacking a protected asset, bomber / strike, gunship, fighter, drone; no ground chase.</t>
        </is>
      </c>
      <c r="G5" t="inlineStr">
        <is>
          <t>Assets/MachineBrigade/Scripts/Sim/AI/P2/CombatRoleDoctrine.cs:239</t>
        </is>
      </c>
      <c r="H5" t="inlineStr"/>
    </row>
    <row r="6">
      <c r="A6" t="inlineStr">
        <is>
          <t>AntiAir/5</t>
        </is>
      </c>
      <c r="B6" t="inlineStr">
        <is>
          <t>AntiAir</t>
        </is>
      </c>
      <c r="C6" t="inlineStr">
        <is>
          <t>Drone</t>
        </is>
      </c>
      <c r="D6" t="inlineStr">
        <is>
          <t>5/5</t>
        </is>
      </c>
      <c r="E6" t="n">
        <v>0.8352000000000001</v>
      </c>
      <c r="F6" t="inlineStr">
        <is>
          <t>B7: aircraft attacking a protected asset, bomber / strike, gunship, fighter, drone; no ground chase.</t>
        </is>
      </c>
      <c r="G6" t="inlineStr">
        <is>
          <t>Assets/MachineBrigade/Scripts/Sim/AI/P2/CombatRoleDoctrine.cs:239</t>
        </is>
      </c>
      <c r="H6" t="inlineStr"/>
    </row>
    <row r="7">
      <c r="A7" t="inlineStr">
        <is>
          <t>AntiAir/6</t>
        </is>
      </c>
      <c r="B7" t="inlineStr">
        <is>
          <t>AntiAir</t>
        </is>
      </c>
      <c r="C7" t="inlineStr">
        <is>
          <t>_</t>
        </is>
      </c>
      <c r="D7" t="inlineStr">
        <is>
          <t>survival ? Rung(0, 5) : LastResort</t>
        </is>
      </c>
      <c r="E7" t="inlineStr"/>
      <c r="F7" t="inlineStr">
        <is>
          <t>B7: aircraft attacking a protected asset, bomber / strike, gunship, fighter, drone; no ground chase.</t>
        </is>
      </c>
      <c r="G7" t="inlineStr">
        <is>
          <t>Assets/MachineBrigade/Scripts/Sim/AI/P2/CombatRoleDoctrine.cs:239</t>
        </is>
      </c>
      <c r="H7" t="inlineStr"/>
    </row>
    <row r="8">
      <c r="A8" t="inlineStr">
        <is>
          <t>Bomber/1</t>
        </is>
      </c>
      <c r="B8" t="inlineStr">
        <is>
          <t>Bomber</t>
        </is>
      </c>
      <c r="C8" t="inlineStr">
        <is>
          <t>if c is Structure | Tower | Boss</t>
        </is>
      </c>
      <c r="D8" t="inlineStr">
        <is>
          <t>1/5</t>
        </is>
      </c>
      <c r="E8" t="n">
        <v>1.6</v>
      </c>
      <c r="F8" t="inlineStr">
        <is>
          <t>B11: high-value structure, artillery, SAM / radar, heavy cluster, objective cluster; single light only if urgent.</t>
        </is>
      </c>
      <c r="G8" t="inlineStr">
        <is>
          <t>Assets/MachineBrigade/Scripts/Sim/AI/P2/CombatRoleDoctrine.cs:264</t>
        </is>
      </c>
      <c r="H8" t="inlineStr"/>
    </row>
    <row r="9">
      <c r="A9" t="inlineStr">
        <is>
          <t>Bomber/2</t>
        </is>
      </c>
      <c r="B9" t="inlineStr">
        <is>
          <t>Bomber</t>
        </is>
      </c>
      <c r="C9" t="inlineStr">
        <is>
          <t>if c == Artillery</t>
        </is>
      </c>
      <c r="D9" t="inlineStr">
        <is>
          <t>2/5</t>
        </is>
      </c>
      <c r="E9" t="n">
        <v>1.36</v>
      </c>
      <c r="F9" t="inlineStr">
        <is>
          <t>B11: high-value structure, artillery, SAM / radar, heavy cluster, objective cluster; single light only if urgent.</t>
        </is>
      </c>
      <c r="G9" t="inlineStr">
        <is>
          <t>Assets/MachineBrigade/Scripts/Sim/AI/P2/CombatRoleDoctrine.cs:264</t>
        </is>
      </c>
      <c r="H9" t="inlineStr"/>
    </row>
    <row r="10">
      <c r="A10" t="inlineStr">
        <is>
          <t>Bomber/3</t>
        </is>
      </c>
      <c r="B10" t="inlineStr">
        <is>
          <t>Bomber</t>
        </is>
      </c>
      <c r="C10" t="inlineStr">
        <is>
          <t>if c == SamRadar</t>
        </is>
      </c>
      <c r="D10" t="inlineStr">
        <is>
          <t>3/5</t>
        </is>
      </c>
      <c r="E10" t="n">
        <v>1.156</v>
      </c>
      <c r="F10" t="inlineStr">
        <is>
          <t>B11: high-value structure, artillery, SAM / radar, heavy cluster, objective cluster; single light only if urgent.</t>
        </is>
      </c>
      <c r="G10" t="inlineStr">
        <is>
          <t>Assets/MachineBrigade/Scripts/Sim/AI/P2/CombatRoleDoctrine.cs:264</t>
        </is>
      </c>
      <c r="H10" t="inlineStr"/>
    </row>
    <row r="11">
      <c r="A11" t="inlineStr">
        <is>
          <t>Bomber/4</t>
        </is>
      </c>
      <c r="B11" t="inlineStr">
        <is>
          <t>Bomber</t>
        </is>
      </c>
      <c r="C11" t="inlineStr">
        <is>
          <t>if HeavyArmour(c) &amp;&amp; clustered</t>
        </is>
      </c>
      <c r="D11" t="inlineStr">
        <is>
          <t>4/5</t>
        </is>
      </c>
      <c r="E11" t="n">
        <v>0.9826</v>
      </c>
      <c r="F11" t="inlineStr">
        <is>
          <t>B11: high-value structure, artillery, SAM / radar, heavy cluster, objective cluster; single light only if urgent.</t>
        </is>
      </c>
      <c r="G11" t="inlineStr">
        <is>
          <t>Assets/MachineBrigade/Scripts/Sim/AI/P2/CombatRoleDoctrine.cs:264</t>
        </is>
      </c>
      <c r="H11" t="inlineStr"/>
    </row>
    <row r="12">
      <c r="A12" t="inlineStr">
        <is>
          <t>Bomber/5</t>
        </is>
      </c>
      <c r="B12" t="inlineStr">
        <is>
          <t>Bomber</t>
        </is>
      </c>
      <c r="C12" t="inlineStr">
        <is>
          <t>if objectiveThreat &gt; 0f &amp;&amp; clustered</t>
        </is>
      </c>
      <c r="D12" t="inlineStr">
        <is>
          <t>5/5</t>
        </is>
      </c>
      <c r="E12" t="n">
        <v>0.8352000000000001</v>
      </c>
      <c r="F12" t="inlineStr">
        <is>
          <t>B11: high-value structure, artillery, SAM / radar, heavy cluster, objective cluster; single light only if urgent.</t>
        </is>
      </c>
      <c r="G12" t="inlineStr">
        <is>
          <t>Assets/MachineBrigade/Scripts/Sim/AI/P2/CombatRoleDoctrine.cs:264</t>
        </is>
      </c>
      <c r="H12" t="inlineStr"/>
    </row>
    <row r="13">
      <c r="A13" t="inlineStr">
        <is>
          <t>Bomber/6</t>
        </is>
      </c>
      <c r="B13" t="inlineStr">
        <is>
          <t>Bomber</t>
        </is>
      </c>
      <c r="C13" t="inlineStr">
        <is>
          <t>(còn lại)</t>
        </is>
      </c>
      <c r="D13" t="inlineStr">
        <is>
          <t>clustered ? Rung(0, 5) : LastResort()</t>
        </is>
      </c>
      <c r="E13" t="inlineStr"/>
      <c r="F13" t="inlineStr">
        <is>
          <t>B11: high-value structure, artillery, SAM / radar, heavy cluster, objective cluster; single light only if urgent.</t>
        </is>
      </c>
      <c r="G13" t="inlineStr">
        <is>
          <t>Assets/MachineBrigade/Scripts/Sim/AI/P2/CombatRoleDoctrine.cs:264</t>
        </is>
      </c>
      <c r="H13" t="inlineStr"/>
    </row>
    <row r="14">
      <c r="A14" t="inlineStr">
        <is>
          <t>Fighter/1</t>
        </is>
      </c>
      <c r="B14" t="inlineStr">
        <is>
          <t>Fighter</t>
        </is>
      </c>
      <c r="C14" t="inlineStr">
        <is>
          <t>Bomber</t>
        </is>
      </c>
      <c r="D14" t="inlineStr">
        <is>
          <t>1/5</t>
        </is>
      </c>
      <c r="E14" t="n">
        <v>1.6</v>
      </c>
      <c r="F14" t="inlineStr">
        <is>
          <t>B12: bomber, strike aircraft, fighter, gunship / helicopter, drone; ground only if the weapon supports it.</t>
        </is>
      </c>
      <c r="G14" t="inlineStr">
        <is>
          <t>Assets/MachineBrigade/Scripts/Sim/AI/P2/CombatRoleDoctrine.cs:272</t>
        </is>
      </c>
      <c r="H14" t="inlineStr"/>
    </row>
    <row r="15">
      <c r="A15" t="inlineStr">
        <is>
          <t>Fighter/2</t>
        </is>
      </c>
      <c r="B15" t="inlineStr">
        <is>
          <t>Fighter</t>
        </is>
      </c>
      <c r="C15" t="inlineStr">
        <is>
          <t>StrikeAir</t>
        </is>
      </c>
      <c r="D15" t="inlineStr">
        <is>
          <t>2/5</t>
        </is>
      </c>
      <c r="E15" t="n">
        <v>1.36</v>
      </c>
      <c r="F15" t="inlineStr">
        <is>
          <t>B12: bomber, strike aircraft, fighter, gunship / helicopter, drone; ground only if the weapon supports it.</t>
        </is>
      </c>
      <c r="G15" t="inlineStr">
        <is>
          <t>Assets/MachineBrigade/Scripts/Sim/AI/P2/CombatRoleDoctrine.cs:272</t>
        </is>
      </c>
      <c r="H15" t="inlineStr"/>
    </row>
    <row r="16">
      <c r="A16" t="inlineStr">
        <is>
          <t>Fighter/3</t>
        </is>
      </c>
      <c r="B16" t="inlineStr">
        <is>
          <t>Fighter</t>
        </is>
      </c>
      <c r="C16" t="inlineStr">
        <is>
          <t>Fighter</t>
        </is>
      </c>
      <c r="D16" t="inlineStr">
        <is>
          <t>3/5</t>
        </is>
      </c>
      <c r="E16" t="n">
        <v>1.156</v>
      </c>
      <c r="F16" t="inlineStr">
        <is>
          <t>B12: bomber, strike aircraft, fighter, gunship / helicopter, drone; ground only if the weapon supports it.</t>
        </is>
      </c>
      <c r="G16" t="inlineStr">
        <is>
          <t>Assets/MachineBrigade/Scripts/Sim/AI/P2/CombatRoleDoctrine.cs:272</t>
        </is>
      </c>
      <c r="H16" t="inlineStr"/>
    </row>
    <row r="17">
      <c r="A17" t="inlineStr">
        <is>
          <t>Fighter/4</t>
        </is>
      </c>
      <c r="B17" t="inlineStr">
        <is>
          <t>Fighter</t>
        </is>
      </c>
      <c r="C17" t="inlineStr">
        <is>
          <t>Helicopter</t>
        </is>
      </c>
      <c r="D17" t="inlineStr">
        <is>
          <t>4/5</t>
        </is>
      </c>
      <c r="E17" t="n">
        <v>0.9826</v>
      </c>
      <c r="F17" t="inlineStr">
        <is>
          <t>B12: bomber, strike aircraft, fighter, gunship / helicopter, drone; ground only if the weapon supports it.</t>
        </is>
      </c>
      <c r="G17" t="inlineStr">
        <is>
          <t>Assets/MachineBrigade/Scripts/Sim/AI/P2/CombatRoleDoctrine.cs:272</t>
        </is>
      </c>
      <c r="H17" t="inlineStr"/>
    </row>
    <row r="18">
      <c r="A18" t="inlineStr">
        <is>
          <t>Fighter/5</t>
        </is>
      </c>
      <c r="B18" t="inlineStr">
        <is>
          <t>Fighter</t>
        </is>
      </c>
      <c r="C18" t="inlineStr">
        <is>
          <t>Drone</t>
        </is>
      </c>
      <c r="D18" t="inlineStr">
        <is>
          <t>5/5</t>
        </is>
      </c>
      <c r="E18" t="n">
        <v>0.8352000000000001</v>
      </c>
      <c r="F18" t="inlineStr">
        <is>
          <t>B12: bomber, strike aircraft, fighter, gunship / helicopter, drone; ground only if the weapon supports it.</t>
        </is>
      </c>
      <c r="G18" t="inlineStr">
        <is>
          <t>Assets/MachineBrigade/Scripts/Sim/AI/P2/CombatRoleDoctrine.cs:272</t>
        </is>
      </c>
      <c r="H18" t="inlineStr"/>
    </row>
    <row r="19">
      <c r="A19" t="inlineStr">
        <is>
          <t>Fighter/6</t>
        </is>
      </c>
      <c r="B19" t="inlineStr">
        <is>
          <t>Fighter</t>
        </is>
      </c>
      <c r="C19" t="inlineStr">
        <is>
          <t>_</t>
        </is>
      </c>
      <c r="D19" t="inlineStr">
        <is>
          <t>dưới bậc cuối (5)</t>
        </is>
      </c>
      <c r="E19" t="n">
        <v>0.7099</v>
      </c>
      <c r="F19" t="inlineStr">
        <is>
          <t>B12: bomber, strike aircraft, fighter, gunship / helicopter, drone; ground only if the weapon supports it.</t>
        </is>
      </c>
      <c r="G19" t="inlineStr">
        <is>
          <t>Assets/MachineBrigade/Scripts/Sim/AI/P2/CombatRoleDoctrine.cs:272</t>
        </is>
      </c>
      <c r="H19" t="inlineStr"/>
    </row>
    <row r="20">
      <c r="A20" t="inlineStr">
        <is>
          <t>FireSupport/1</t>
        </is>
      </c>
      <c r="B20" t="inlineStr">
        <is>
          <t>FireSupport</t>
        </is>
      </c>
      <c r="C20" t="inlineStr">
        <is>
          <t>if salvoWeapon &amp;&amp; !clustered &amp;&amp; !critical &amp;&amp; c != Tower &amp;&amp; c != Artillery &amp;&amp; targetWorth &lt; Tun.RoleDoctrine.HeavySalvoMinWorth</t>
        </is>
      </c>
      <c r="D20" t="inlineStr">
        <is>
          <t>phương án cuối</t>
        </is>
      </c>
      <c r="E20" t="n">
        <v>0.35</v>
      </c>
      <c r="F20" t="inlineStr">
        <is>
          <t>B8: counter-battery, tower / defensive cluster, dense cluster, static heavy, objective defenders, isolated light only if urgent; heavy salvo weapons keep a minimum target value.</t>
        </is>
      </c>
      <c r="G20" t="inlineStr">
        <is>
          <t>Assets/MachineBrigade/Scripts/Sim/AI/P2/CombatRoleDoctrine.cs:250</t>
        </is>
      </c>
      <c r="H20" t="inlineStr"/>
    </row>
    <row r="21">
      <c r="A21" t="inlineStr">
        <is>
          <t>FireSupport/2</t>
        </is>
      </c>
      <c r="B21" t="inlineStr">
        <is>
          <t>FireSupport</t>
        </is>
      </c>
      <c r="C21" t="inlineStr">
        <is>
          <t>if c == Artillery</t>
        </is>
      </c>
      <c r="D21" t="inlineStr">
        <is>
          <t>1/6</t>
        </is>
      </c>
      <c r="E21" t="n">
        <v>1.6</v>
      </c>
      <c r="F21" t="inlineStr">
        <is>
          <t>B8: counter-battery, tower / defensive cluster, dense cluster, static heavy, objective defenders, isolated light only if urgent; heavy salvo weapons keep a minimum target value.</t>
        </is>
      </c>
      <c r="G21" t="inlineStr">
        <is>
          <t>Assets/MachineBrigade/Scripts/Sim/AI/P2/CombatRoleDoctrine.cs:250</t>
        </is>
      </c>
      <c r="H21" t="inlineStr"/>
    </row>
    <row r="22">
      <c r="A22" t="inlineStr">
        <is>
          <t>FireSupport/3</t>
        </is>
      </c>
      <c r="B22" t="inlineStr">
        <is>
          <t>FireSupport</t>
        </is>
      </c>
      <c r="C22" t="inlineStr">
        <is>
          <t>if c is Tower | SamRadar</t>
        </is>
      </c>
      <c r="D22" t="inlineStr">
        <is>
          <t>2/6</t>
        </is>
      </c>
      <c r="E22" t="n">
        <v>1.36</v>
      </c>
      <c r="F22" t="inlineStr">
        <is>
          <t>B8: counter-battery, tower / defensive cluster, dense cluster, static heavy, objective defenders, isolated light only if urgent; heavy salvo weapons keep a minimum target value.</t>
        </is>
      </c>
      <c r="G22" t="inlineStr">
        <is>
          <t>Assets/MachineBrigade/Scripts/Sim/AI/P2/CombatRoleDoctrine.cs:250</t>
        </is>
      </c>
      <c r="H22" t="inlineStr"/>
    </row>
    <row r="23">
      <c r="A23" t="inlineStr">
        <is>
          <t>FireSupport/4</t>
        </is>
      </c>
      <c r="B23" t="inlineStr">
        <is>
          <t>FireSupport</t>
        </is>
      </c>
      <c r="C23" t="inlineStr">
        <is>
          <t>if clustered</t>
        </is>
      </c>
      <c r="D23" t="inlineStr">
        <is>
          <t>3/6</t>
        </is>
      </c>
      <c r="E23" t="n">
        <v>1.156</v>
      </c>
      <c r="F23" t="inlineStr">
        <is>
          <t>B8: counter-battery, tower / defensive cluster, dense cluster, static heavy, objective defenders, isolated light only if urgent; heavy salvo weapons keep a minimum target value.</t>
        </is>
      </c>
      <c r="G23" t="inlineStr">
        <is>
          <t>Assets/MachineBrigade/Scripts/Sim/AI/P2/CombatRoleDoctrine.cs:250</t>
        </is>
      </c>
      <c r="H23" t="inlineStr"/>
    </row>
    <row r="24">
      <c r="A24" t="inlineStr">
        <is>
          <t>FireSupport/5</t>
        </is>
      </c>
      <c r="B24" t="inlineStr">
        <is>
          <t>FireSupport</t>
        </is>
      </c>
      <c r="C24" t="inlineStr">
        <is>
          <t>if HeavyArmour(c) &amp;&amp; !moving</t>
        </is>
      </c>
      <c r="D24" t="inlineStr">
        <is>
          <t>4/6</t>
        </is>
      </c>
      <c r="E24" t="n">
        <v>0.9826</v>
      </c>
      <c r="F24" t="inlineStr">
        <is>
          <t>B8: counter-battery, tower / defensive cluster, dense cluster, static heavy, objective defenders, isolated light only if urgent; heavy salvo weapons keep a minimum target value.</t>
        </is>
      </c>
      <c r="G24" t="inlineStr">
        <is>
          <t>Assets/MachineBrigade/Scripts/Sim/AI/P2/CombatRoleDoctrine.cs:250</t>
        </is>
      </c>
      <c r="H24" t="inlineStr"/>
    </row>
    <row r="25">
      <c r="A25" t="inlineStr">
        <is>
          <t>FireSupport/6</t>
        </is>
      </c>
      <c r="B25" t="inlineStr">
        <is>
          <t>FireSupport</t>
        </is>
      </c>
      <c r="C25" t="inlineStr">
        <is>
          <t>if objectiveThreat &gt; 0f</t>
        </is>
      </c>
      <c r="D25" t="inlineStr">
        <is>
          <t>5/6</t>
        </is>
      </c>
      <c r="E25" t="n">
        <v>0.8352000000000001</v>
      </c>
      <c r="F25" t="inlineStr">
        <is>
          <t>B8: counter-battery, tower / defensive cluster, dense cluster, static heavy, objective defenders, isolated light only if urgent; heavy salvo weapons keep a minimum target value.</t>
        </is>
      </c>
      <c r="G25" t="inlineStr">
        <is>
          <t>Assets/MachineBrigade/Scripts/Sim/AI/P2/CombatRoleDoctrine.cs:250</t>
        </is>
      </c>
      <c r="H25" t="inlineStr"/>
    </row>
    <row r="26">
      <c r="A26" t="inlineStr">
        <is>
          <t>FireSupport/7</t>
        </is>
      </c>
      <c r="B26" t="inlineStr">
        <is>
          <t>FireSupport</t>
        </is>
      </c>
      <c r="C26" t="inlineStr">
        <is>
          <t>if LightTarget(c)</t>
        </is>
      </c>
      <c r="D26" t="inlineStr">
        <is>
          <t>phương án cuối (LastResort; nguy cấp: dưới bậc cuối)</t>
        </is>
      </c>
      <c r="E26" t="n">
        <v>0.35</v>
      </c>
      <c r="F26" t="inlineStr">
        <is>
          <t>B8: counter-battery, tower / defensive cluster, dense cluster, static heavy, objective defenders, isolated light only if urgent; heavy salvo weapons keep a minimum target value.</t>
        </is>
      </c>
      <c r="G26" t="inlineStr">
        <is>
          <t>Assets/MachineBrigade/Scripts/Sim/AI/P2/CombatRoleDoctrine.cs:250</t>
        </is>
      </c>
      <c r="H26" t="inlineStr"/>
    </row>
    <row r="27">
      <c r="A27" t="inlineStr">
        <is>
          <t>FireSupport/8</t>
        </is>
      </c>
      <c r="B27" t="inlineStr">
        <is>
          <t>FireSupport</t>
        </is>
      </c>
      <c r="C27" t="inlineStr">
        <is>
          <t>(còn lại)</t>
        </is>
      </c>
      <c r="D27" t="inlineStr">
        <is>
          <t>6/6</t>
        </is>
      </c>
      <c r="E27" t="n">
        <v>0.7099</v>
      </c>
      <c r="F27" t="inlineStr">
        <is>
          <t>B8: counter-battery, tower / defensive cluster, dense cluster, static heavy, objective defenders, isolated light only if urgent; heavy salvo weapons keep a minimum target value.</t>
        </is>
      </c>
      <c r="G27" t="inlineStr">
        <is>
          <t>Assets/MachineBrigade/Scripts/Sim/AI/P2/CombatRoleDoctrine.cs:250</t>
        </is>
      </c>
      <c r="H27" t="inlineStr"/>
    </row>
    <row r="28">
      <c r="A28" t="inlineStr">
        <is>
          <t>LightCombat/1</t>
        </is>
      </c>
      <c r="B28" t="inlineStr">
        <is>
          <t>LightCombat</t>
        </is>
      </c>
      <c r="C28" t="inlineStr">
        <is>
          <t>Light</t>
        </is>
      </c>
      <c r="D28" t="inlineStr">
        <is>
          <t>1/5</t>
        </is>
      </c>
      <c r="E28" t="n">
        <v>1.6</v>
      </c>
      <c r="F28" t="inlineStr">
        <is>
          <t>B6: light, recon, drone / low air, fragile support, medium; heavy only with nothing suitable or in self-defence.</t>
        </is>
      </c>
      <c r="G28" t="inlineStr">
        <is>
          <t>Assets/MachineBrigade/Scripts/Sim/AI/P2/CombatRoleDoctrine.cs:227</t>
        </is>
      </c>
      <c r="H28" t="inlineStr"/>
    </row>
    <row r="29">
      <c r="A29" t="inlineStr">
        <is>
          <t>LightCombat/2</t>
        </is>
      </c>
      <c r="B29" t="inlineStr">
        <is>
          <t>LightCombat</t>
        </is>
      </c>
      <c r="C29" t="inlineStr">
        <is>
          <t>Recon</t>
        </is>
      </c>
      <c r="D29" t="inlineStr">
        <is>
          <t>2/5</t>
        </is>
      </c>
      <c r="E29" t="n">
        <v>1.36</v>
      </c>
      <c r="F29" t="inlineStr">
        <is>
          <t>B6: light, recon, drone / low air, fragile support, medium; heavy only with nothing suitable or in self-defence.</t>
        </is>
      </c>
      <c r="G29" t="inlineStr">
        <is>
          <t>Assets/MachineBrigade/Scripts/Sim/AI/P2/CombatRoleDoctrine.cs:227</t>
        </is>
      </c>
      <c r="H29" t="inlineStr"/>
    </row>
    <row r="30">
      <c r="A30" t="inlineStr">
        <is>
          <t>LightCombat/3</t>
        </is>
      </c>
      <c r="B30" t="inlineStr">
        <is>
          <t>LightCombat</t>
        </is>
      </c>
      <c r="C30" t="inlineStr">
        <is>
          <t>Drone | Helicopter</t>
        </is>
      </c>
      <c r="D30" t="inlineStr">
        <is>
          <t>3/5</t>
        </is>
      </c>
      <c r="E30" t="n">
        <v>1.156</v>
      </c>
      <c r="F30" t="inlineStr">
        <is>
          <t>B6: light, recon, drone / low air, fragile support, medium; heavy only with nothing suitable or in self-defence.</t>
        </is>
      </c>
      <c r="G30" t="inlineStr">
        <is>
          <t>Assets/MachineBrigade/Scripts/Sim/AI/P2/CombatRoleDoctrine.cs:227</t>
        </is>
      </c>
      <c r="H30" t="inlineStr"/>
    </row>
    <row r="31">
      <c r="A31" t="inlineStr">
        <is>
          <t>LightCombat/4</t>
        </is>
      </c>
      <c r="B31" t="inlineStr">
        <is>
          <t>LightCombat</t>
        </is>
      </c>
      <c r="C31" t="inlineStr">
        <is>
          <t>Support | Artillery | SamRadar</t>
        </is>
      </c>
      <c r="D31" t="inlineStr">
        <is>
          <t>4/5</t>
        </is>
      </c>
      <c r="E31" t="n">
        <v>0.9826</v>
      </c>
      <c r="F31" t="inlineStr">
        <is>
          <t>B6: light, recon, drone / low air, fragile support, medium; heavy only with nothing suitable or in self-defence.</t>
        </is>
      </c>
      <c r="G31" t="inlineStr">
        <is>
          <t>Assets/MachineBrigade/Scripts/Sim/AI/P2/CombatRoleDoctrine.cs:227</t>
        </is>
      </c>
      <c r="H31" t="inlineStr"/>
    </row>
    <row r="32">
      <c r="A32" t="inlineStr">
        <is>
          <t>LightCombat/5</t>
        </is>
      </c>
      <c r="B32" t="inlineStr">
        <is>
          <t>LightCombat</t>
        </is>
      </c>
      <c r="C32" t="inlineStr">
        <is>
          <t>Medium | AntiTank</t>
        </is>
      </c>
      <c r="D32" t="inlineStr">
        <is>
          <t>5/5</t>
        </is>
      </c>
      <c r="E32" t="n">
        <v>0.8352000000000001</v>
      </c>
      <c r="F32" t="inlineStr">
        <is>
          <t>B6: light, recon, drone / low air, fragile support, medium; heavy only with nothing suitable or in self-defence.</t>
        </is>
      </c>
      <c r="G32" t="inlineStr">
        <is>
          <t>Assets/MachineBrigade/Scripts/Sim/AI/P2/CombatRoleDoctrine.cs:227</t>
        </is>
      </c>
      <c r="H32" t="inlineStr"/>
    </row>
    <row r="33">
      <c r="A33" t="inlineStr">
        <is>
          <t>LightCombat/6</t>
        </is>
      </c>
      <c r="B33" t="inlineStr">
        <is>
          <t>LightCombat</t>
        </is>
      </c>
      <c r="C33" t="inlineStr">
        <is>
          <t>_ when HeavyArmour(c) || c == Boss</t>
        </is>
      </c>
      <c r="D33" t="inlineStr">
        <is>
          <t>phương án cuối (LastResort; nguy cấp: dưới bậc cuối)</t>
        </is>
      </c>
      <c r="E33" t="n">
        <v>0.35</v>
      </c>
      <c r="F33" t="inlineStr">
        <is>
          <t>B6: light, recon, drone / low air, fragile support, medium; heavy only with nothing suitable or in self-defence.</t>
        </is>
      </c>
      <c r="G33" t="inlineStr">
        <is>
          <t>Assets/MachineBrigade/Scripts/Sim/AI/P2/CombatRoleDoctrine.cs:227</t>
        </is>
      </c>
      <c r="H33" t="inlineStr"/>
    </row>
    <row r="34">
      <c r="A34" t="inlineStr">
        <is>
          <t>LightCombat/7</t>
        </is>
      </c>
      <c r="B34" t="inlineStr">
        <is>
          <t>LightCombat</t>
        </is>
      </c>
      <c r="C34" t="inlineStr">
        <is>
          <t>_</t>
        </is>
      </c>
      <c r="D34" t="inlineStr">
        <is>
          <t>dưới bậc cuối (5)</t>
        </is>
      </c>
      <c r="E34" t="n">
        <v>0.7099</v>
      </c>
      <c r="F34" t="inlineStr">
        <is>
          <t>B6: light, recon, drone / low air, fragile support, medium; heavy only with nothing suitable or in self-defence.</t>
        </is>
      </c>
      <c r="G34" t="inlineStr">
        <is>
          <t>Assets/MachineBrigade/Scripts/Sim/AI/P2/CombatRoleDoctrine.cs:227</t>
        </is>
      </c>
      <c r="H34" t="inlineStr"/>
    </row>
    <row r="35">
      <c r="A35" t="inlineStr">
        <is>
          <t>LoiterAntiArmour/1</t>
        </is>
      </c>
      <c r="B35" t="inlineStr">
        <is>
          <t>LoiterAntiArmour</t>
        </is>
      </c>
      <c r="C35" t="inlineStr">
        <is>
          <t>if HeavyArmour(c)</t>
        </is>
      </c>
      <c r="D35" t="inlineStr">
        <is>
          <t>1/4</t>
        </is>
      </c>
      <c r="E35" t="n">
        <v>1.6</v>
      </c>
      <c r="F35" t="inlineStr">
        <is>
          <t>B13 anti-armour: heavy armour, TD / artillery, expensive support, tower.</t>
        </is>
      </c>
      <c r="G35" t="inlineStr">
        <is>
          <t>Assets/MachineBrigade/Scripts/Sim/AI/P2/CombatRoleDoctrine.cs:283</t>
        </is>
      </c>
      <c r="H35" t="inlineStr"/>
    </row>
    <row r="36">
      <c r="A36" t="inlineStr">
        <is>
          <t>LoiterAntiArmour/2</t>
        </is>
      </c>
      <c r="B36" t="inlineStr">
        <is>
          <t>LoiterAntiArmour</t>
        </is>
      </c>
      <c r="C36" t="inlineStr">
        <is>
          <t>if c is AntiTank | Artillery</t>
        </is>
      </c>
      <c r="D36" t="inlineStr">
        <is>
          <t>2/4</t>
        </is>
      </c>
      <c r="E36" t="n">
        <v>1.36</v>
      </c>
      <c r="F36" t="inlineStr">
        <is>
          <t>B13 anti-armour: heavy armour, TD / artillery, expensive support, tower.</t>
        </is>
      </c>
      <c r="G36" t="inlineStr">
        <is>
          <t>Assets/MachineBrigade/Scripts/Sim/AI/P2/CombatRoleDoctrine.cs:283</t>
        </is>
      </c>
      <c r="H36" t="inlineStr"/>
    </row>
    <row r="37">
      <c r="A37" t="inlineStr">
        <is>
          <t>LoiterAntiArmour/3</t>
        </is>
      </c>
      <c r="B37" t="inlineStr">
        <is>
          <t>LoiterAntiArmour</t>
        </is>
      </c>
      <c r="C37" t="inlineStr">
        <is>
          <t>if c is Support | SamRadar</t>
        </is>
      </c>
      <c r="D37" t="inlineStr">
        <is>
          <t>3/4</t>
        </is>
      </c>
      <c r="E37" t="n">
        <v>1.156</v>
      </c>
      <c r="F37" t="inlineStr">
        <is>
          <t>B13 anti-armour: heavy armour, TD / artillery, expensive support, tower.</t>
        </is>
      </c>
      <c r="G37" t="inlineStr">
        <is>
          <t>Assets/MachineBrigade/Scripts/Sim/AI/P2/CombatRoleDoctrine.cs:283</t>
        </is>
      </c>
      <c r="H37" t="inlineStr"/>
    </row>
    <row r="38">
      <c r="A38" t="inlineStr">
        <is>
          <t>LoiterAntiArmour/4</t>
        </is>
      </c>
      <c r="B38" t="inlineStr">
        <is>
          <t>LoiterAntiArmour</t>
        </is>
      </c>
      <c r="C38" t="inlineStr">
        <is>
          <t>if c == Tower</t>
        </is>
      </c>
      <c r="D38" t="inlineStr">
        <is>
          <t>4/4</t>
        </is>
      </c>
      <c r="E38" t="n">
        <v>0.9826</v>
      </c>
      <c r="F38" t="inlineStr">
        <is>
          <t>B13 anti-armour: heavy armour, TD / artillery, expensive support, tower.</t>
        </is>
      </c>
      <c r="G38" t="inlineStr">
        <is>
          <t>Assets/MachineBrigade/Scripts/Sim/AI/P2/CombatRoleDoctrine.cs:283</t>
        </is>
      </c>
      <c r="H38" t="inlineStr"/>
    </row>
    <row r="39">
      <c r="A39" t="inlineStr">
        <is>
          <t>LoiterAntiArmour/5</t>
        </is>
      </c>
      <c r="B39" t="inlineStr">
        <is>
          <t>LoiterAntiArmour</t>
        </is>
      </c>
      <c r="C39" t="inlineStr">
        <is>
          <t>(còn lại)</t>
        </is>
      </c>
      <c r="D39" t="inlineStr">
        <is>
          <t>LightTarget(c) ? LastResort() : Rung(0, 4)</t>
        </is>
      </c>
      <c r="E39" t="inlineStr"/>
      <c r="F39" t="inlineStr">
        <is>
          <t>B13 anti-armour: heavy armour, TD / artillery, expensive support, tower.</t>
        </is>
      </c>
      <c r="G39" t="inlineStr">
        <is>
          <t>Assets/MachineBrigade/Scripts/Sim/AI/P2/CombatRoleDoctrine.cs:283</t>
        </is>
      </c>
      <c r="H39" t="inlineStr"/>
    </row>
    <row r="40">
      <c r="A40" t="inlineStr">
        <is>
          <t>LoiterAntiArtillery/1</t>
        </is>
      </c>
      <c r="B40" t="inlineStr">
        <is>
          <t>LoiterAntiArtillery</t>
        </is>
      </c>
      <c r="C40" t="inlineStr">
        <is>
          <t>Artillery</t>
        </is>
      </c>
      <c r="D40" t="inlineStr">
        <is>
          <t>1/5</t>
        </is>
      </c>
      <c r="E40" t="n">
        <v>1.6</v>
      </c>
      <c r="F40" t="inlineStr">
        <is>
          <t>B13 Lancet-like: artillery, SAM / radar, parked support, tower, heavy.</t>
        </is>
      </c>
      <c r="G40" t="inlineStr">
        <is>
          <t>Assets/MachineBrigade/Scripts/Sim/AI/P2/CombatRoleDoctrine.cs:290</t>
        </is>
      </c>
      <c r="H40" t="inlineStr"/>
    </row>
    <row r="41">
      <c r="A41" t="inlineStr">
        <is>
          <t>LoiterAntiArtillery/2</t>
        </is>
      </c>
      <c r="B41" t="inlineStr">
        <is>
          <t>LoiterAntiArtillery</t>
        </is>
      </c>
      <c r="C41" t="inlineStr">
        <is>
          <t>SamRadar</t>
        </is>
      </c>
      <c r="D41" t="inlineStr">
        <is>
          <t>2/5</t>
        </is>
      </c>
      <c r="E41" t="n">
        <v>1.36</v>
      </c>
      <c r="F41" t="inlineStr">
        <is>
          <t>B13 Lancet-like: artillery, SAM / radar, parked support, tower, heavy.</t>
        </is>
      </c>
      <c r="G41" t="inlineStr">
        <is>
          <t>Assets/MachineBrigade/Scripts/Sim/AI/P2/CombatRoleDoctrine.cs:290</t>
        </is>
      </c>
      <c r="H41" t="inlineStr"/>
    </row>
    <row r="42">
      <c r="A42" t="inlineStr">
        <is>
          <t>LoiterAntiArtillery/3</t>
        </is>
      </c>
      <c r="B42" t="inlineStr">
        <is>
          <t>LoiterAntiArtillery</t>
        </is>
      </c>
      <c r="C42" t="inlineStr">
        <is>
          <t>Support</t>
        </is>
      </c>
      <c r="D42" t="inlineStr">
        <is>
          <t>3/5</t>
        </is>
      </c>
      <c r="E42" t="n">
        <v>1.156</v>
      </c>
      <c r="F42" t="inlineStr">
        <is>
          <t>B13 Lancet-like: artillery, SAM / radar, parked support, tower, heavy.</t>
        </is>
      </c>
      <c r="G42" t="inlineStr">
        <is>
          <t>Assets/MachineBrigade/Scripts/Sim/AI/P2/CombatRoleDoctrine.cs:290</t>
        </is>
      </c>
      <c r="H42" t="inlineStr"/>
    </row>
    <row r="43">
      <c r="A43" t="inlineStr">
        <is>
          <t>LoiterAntiArtillery/4</t>
        </is>
      </c>
      <c r="B43" t="inlineStr">
        <is>
          <t>LoiterAntiArtillery</t>
        </is>
      </c>
      <c r="C43" t="inlineStr">
        <is>
          <t>Tower</t>
        </is>
      </c>
      <c r="D43" t="inlineStr">
        <is>
          <t>4/5</t>
        </is>
      </c>
      <c r="E43" t="n">
        <v>0.9826</v>
      </c>
      <c r="F43" t="inlineStr">
        <is>
          <t>B13 Lancet-like: artillery, SAM / radar, parked support, tower, heavy.</t>
        </is>
      </c>
      <c r="G43" t="inlineStr">
        <is>
          <t>Assets/MachineBrigade/Scripts/Sim/AI/P2/CombatRoleDoctrine.cs:290</t>
        </is>
      </c>
      <c r="H43" t="inlineStr"/>
    </row>
    <row r="44">
      <c r="A44" t="inlineStr">
        <is>
          <t>LoiterAntiArtillery/5</t>
        </is>
      </c>
      <c r="B44" t="inlineStr">
        <is>
          <t>LoiterAntiArtillery</t>
        </is>
      </c>
      <c r="C44" t="inlineStr">
        <is>
          <t>_ when HeavyArmour(c)</t>
        </is>
      </c>
      <c r="D44" t="inlineStr">
        <is>
          <t>5/5</t>
        </is>
      </c>
      <c r="E44" t="n">
        <v>0.8352000000000001</v>
      </c>
      <c r="F44" t="inlineStr">
        <is>
          <t>B13 Lancet-like: artillery, SAM / radar, parked support, tower, heavy.</t>
        </is>
      </c>
      <c r="G44" t="inlineStr">
        <is>
          <t>Assets/MachineBrigade/Scripts/Sim/AI/P2/CombatRoleDoctrine.cs:290</t>
        </is>
      </c>
      <c r="H44" t="inlineStr"/>
    </row>
    <row r="45">
      <c r="A45" t="inlineStr">
        <is>
          <t>LoiterAntiArtillery/6</t>
        </is>
      </c>
      <c r="B45" t="inlineStr">
        <is>
          <t>LoiterAntiArtillery</t>
        </is>
      </c>
      <c r="C45" t="inlineStr">
        <is>
          <t>_</t>
        </is>
      </c>
      <c r="D45" t="inlineStr">
        <is>
          <t>phương án cuối (LastResort; nguy cấp: dưới bậc cuối)</t>
        </is>
      </c>
      <c r="E45" t="n">
        <v>0.35</v>
      </c>
      <c r="F45" t="inlineStr">
        <is>
          <t>B13 Lancet-like: artillery, SAM / radar, parked support, tower, heavy.</t>
        </is>
      </c>
      <c r="G45" t="inlineStr">
        <is>
          <t>Assets/MachineBrigade/Scripts/Sim/AI/P2/CombatRoleDoctrine.cs:290</t>
        </is>
      </c>
      <c r="H45" t="inlineStr"/>
    </row>
    <row r="46">
      <c r="A46" t="inlineStr">
        <is>
          <t>MainBattle/1</t>
        </is>
      </c>
      <c r="B46" t="inlineStr">
        <is>
          <t>MainBattle</t>
        </is>
      </c>
      <c r="C46" t="inlineStr">
        <is>
          <t>if survival</t>
        </is>
      </c>
      <c r="D46" t="inlineStr">
        <is>
          <t>1/6</t>
        </is>
      </c>
      <c r="E46" t="n">
        <v>1.6</v>
      </c>
      <c r="F46" t="inlineStr">
        <is>
          <t>B5: immediate threat, heavy / MBT, TD threatening our heavies, objective defender, structure, light.</t>
        </is>
      </c>
      <c r="G46" t="inlineStr">
        <is>
          <t>Assets/MachineBrigade/Scripts/Sim/AI/P2/CombatRoleDoctrine.cs:219</t>
        </is>
      </c>
      <c r="H46" t="inlineStr"/>
    </row>
    <row r="47">
      <c r="A47" t="inlineStr">
        <is>
          <t>MainBattle/2</t>
        </is>
      </c>
      <c r="B47" t="inlineStr">
        <is>
          <t>MainBattle</t>
        </is>
      </c>
      <c r="C47" t="inlineStr">
        <is>
          <t>if HeavyArmour(c)</t>
        </is>
      </c>
      <c r="D47" t="inlineStr">
        <is>
          <t>2/6</t>
        </is>
      </c>
      <c r="E47" t="n">
        <v>1.36</v>
      </c>
      <c r="F47" t="inlineStr">
        <is>
          <t>B5: immediate threat, heavy / MBT, TD threatening our heavies, objective defender, structure, light.</t>
        </is>
      </c>
      <c r="G47" t="inlineStr">
        <is>
          <t>Assets/MachineBrigade/Scripts/Sim/AI/P2/CombatRoleDoctrine.cs:219</t>
        </is>
      </c>
      <c r="H47" t="inlineStr"/>
    </row>
    <row r="48">
      <c r="A48" t="inlineStr">
        <is>
          <t>MainBattle/3</t>
        </is>
      </c>
      <c r="B48" t="inlineStr">
        <is>
          <t>MainBattle</t>
        </is>
      </c>
      <c r="C48" t="inlineStr">
        <is>
          <t>if c == AntiTank</t>
        </is>
      </c>
      <c r="D48" t="inlineStr">
        <is>
          <t>targetsOwnHeavy ? Rung(3, 6) : Rung(4, 6)</t>
        </is>
      </c>
      <c r="E48" t="inlineStr"/>
      <c r="F48" t="inlineStr">
        <is>
          <t>B5: immediate threat, heavy / MBT, TD threatening our heavies, objective defender, structure, light.</t>
        </is>
      </c>
      <c r="G48" t="inlineStr">
        <is>
          <t>Assets/MachineBrigade/Scripts/Sim/AI/P2/CombatRoleDoctrine.cs:219</t>
        </is>
      </c>
      <c r="H48" t="inlineStr"/>
    </row>
    <row r="49">
      <c r="A49" t="inlineStr">
        <is>
          <t>MainBattle/4</t>
        </is>
      </c>
      <c r="B49" t="inlineStr">
        <is>
          <t>MainBattle</t>
        </is>
      </c>
      <c r="C49" t="inlineStr">
        <is>
          <t>if objectiveThreat &gt; 0f</t>
        </is>
      </c>
      <c r="D49" t="inlineStr">
        <is>
          <t>4/6</t>
        </is>
      </c>
      <c r="E49" t="n">
        <v>0.9826</v>
      </c>
      <c r="F49" t="inlineStr">
        <is>
          <t>B5: immediate threat, heavy / MBT, TD threatening our heavies, objective defender, structure, light.</t>
        </is>
      </c>
      <c r="G49" t="inlineStr">
        <is>
          <t>Assets/MachineBrigade/Scripts/Sim/AI/P2/CombatRoleDoctrine.cs:219</t>
        </is>
      </c>
      <c r="H49" t="inlineStr"/>
    </row>
    <row r="50">
      <c r="A50" t="inlineStr">
        <is>
          <t>MainBattle/5</t>
        </is>
      </c>
      <c r="B50" t="inlineStr">
        <is>
          <t>MainBattle</t>
        </is>
      </c>
      <c r="C50" t="inlineStr">
        <is>
          <t>if c is Tower | Structure | Boss</t>
        </is>
      </c>
      <c r="D50" t="inlineStr">
        <is>
          <t>5/6</t>
        </is>
      </c>
      <c r="E50" t="n">
        <v>0.8352000000000001</v>
      </c>
      <c r="F50" t="inlineStr">
        <is>
          <t>B5: immediate threat, heavy / MBT, TD threatening our heavies, objective defender, structure, light.</t>
        </is>
      </c>
      <c r="G50" t="inlineStr">
        <is>
          <t>Assets/MachineBrigade/Scripts/Sim/AI/P2/CombatRoleDoctrine.cs:219</t>
        </is>
      </c>
      <c r="H50" t="inlineStr"/>
    </row>
    <row r="51">
      <c r="A51" t="inlineStr">
        <is>
          <t>MainBattle/6</t>
        </is>
      </c>
      <c r="B51" t="inlineStr">
        <is>
          <t>MainBattle</t>
        </is>
      </c>
      <c r="C51" t="inlineStr">
        <is>
          <t>(còn lại)</t>
        </is>
      </c>
      <c r="D51" t="inlineStr">
        <is>
          <t>6/6</t>
        </is>
      </c>
      <c r="E51" t="n">
        <v>0.7099</v>
      </c>
      <c r="F51" t="inlineStr">
        <is>
          <t>B5: immediate threat, heavy / MBT, TD threatening our heavies, objective defender, structure, light.</t>
        </is>
      </c>
      <c r="G51" t="inlineStr">
        <is>
          <t>Assets/MachineBrigade/Scripts/Sim/AI/P2/CombatRoleDoctrine.cs:219</t>
        </is>
      </c>
      <c r="H51" t="inlineStr"/>
    </row>
    <row r="52">
      <c r="A52" t="inlineStr">
        <is>
          <t>Screen/1</t>
        </is>
      </c>
      <c r="B52" t="inlineStr">
        <is>
          <t>Screen</t>
        </is>
      </c>
      <c r="C52" t="inlineStr">
        <is>
          <t>if survival || objectiveThreat &gt; 0f</t>
        </is>
      </c>
      <c r="D52" t="inlineStr">
        <is>
          <t>1/3</t>
        </is>
      </c>
      <c r="E52" t="n">
        <v>1.6</v>
      </c>
      <c r="F52" t="inlineStr">
        <is>
          <t>F1: self-defence and screening: what threatens it or the objective, then light targets its secondaries hurt.</t>
        </is>
      </c>
      <c r="G52" t="inlineStr">
        <is>
          <t>Assets/MachineBrigade/Scripts/Sim/AI/P2/CombatRoleDoctrine.cs:301</t>
        </is>
      </c>
      <c r="H52" t="inlineStr"/>
    </row>
    <row r="53">
      <c r="A53" t="inlineStr">
        <is>
          <t>Screen/2</t>
        </is>
      </c>
      <c r="B53" t="inlineStr">
        <is>
          <t>Screen</t>
        </is>
      </c>
      <c r="C53" t="inlineStr">
        <is>
          <t>if LightTarget(c) || c == Drone</t>
        </is>
      </c>
      <c r="D53" t="inlineStr">
        <is>
          <t>2/3</t>
        </is>
      </c>
      <c r="E53" t="n">
        <v>1.36</v>
      </c>
      <c r="F53" t="inlineStr">
        <is>
          <t>F1: self-defence and screening: what threatens it or the objective, then light targets its secondaries hurt.</t>
        </is>
      </c>
      <c r="G53" t="inlineStr">
        <is>
          <t>Assets/MachineBrigade/Scripts/Sim/AI/P2/CombatRoleDoctrine.cs:301</t>
        </is>
      </c>
      <c r="H53" t="inlineStr"/>
    </row>
    <row r="54">
      <c r="A54" t="inlineStr">
        <is>
          <t>Screen/3</t>
        </is>
      </c>
      <c r="B54" t="inlineStr">
        <is>
          <t>Screen</t>
        </is>
      </c>
      <c r="C54" t="inlineStr">
        <is>
          <t>(còn lại)</t>
        </is>
      </c>
      <c r="D54" t="inlineStr">
        <is>
          <t>3/3</t>
        </is>
      </c>
      <c r="E54" t="n">
        <v>1.156</v>
      </c>
      <c r="F54" t="inlineStr">
        <is>
          <t>F1: self-defence and screening: what threatens it or the objective, then light targets its secondaries hurt.</t>
        </is>
      </c>
      <c r="G54" t="inlineStr">
        <is>
          <t>Assets/MachineBrigade/Scripts/Sim/AI/P2/CombatRoleDoctrine.cs:301</t>
        </is>
      </c>
      <c r="H54" t="inlineStr"/>
    </row>
    <row r="55">
      <c r="A55" t="inlineStr">
        <is>
          <t>TankDestroyer/1</t>
        </is>
      </c>
      <c r="B55" t="inlineStr">
        <is>
          <t>TankDestroyer</t>
        </is>
      </c>
      <c r="C55" t="inlineStr">
        <is>
          <t>SuperHeavy</t>
        </is>
      </c>
      <c r="D55" t="inlineStr">
        <is>
          <t>1/6</t>
        </is>
      </c>
      <c r="E55" t="n">
        <v>1.6</v>
      </c>
      <c r="F55" t="inlineStr">
        <is>
          <t>B4: Armour5, Armour4, heavy, boss, MBT, medium; light only when nothing better or critical.</t>
        </is>
      </c>
      <c r="G55" t="inlineStr">
        <is>
          <t>Assets/MachineBrigade/Scripts/Sim/AI/P2/CombatRoleDoctrine.cs:206</t>
        </is>
      </c>
      <c r="H55" t="inlineStr"/>
    </row>
    <row r="56">
      <c r="A56" t="inlineStr">
        <is>
          <t>TankDestroyer/2</t>
        </is>
      </c>
      <c r="B56" t="inlineStr">
        <is>
          <t>TankDestroyer</t>
        </is>
      </c>
      <c r="C56" t="inlineStr">
        <is>
          <t>Armour4</t>
        </is>
      </c>
      <c r="D56" t="inlineStr">
        <is>
          <t>2/6</t>
        </is>
      </c>
      <c r="E56" t="n">
        <v>1.36</v>
      </c>
      <c r="F56" t="inlineStr">
        <is>
          <t>B4: Armour5, Armour4, heavy, boss, MBT, medium; light only when nothing better or critical.</t>
        </is>
      </c>
      <c r="G56" t="inlineStr">
        <is>
          <t>Assets/MachineBrigade/Scripts/Sim/AI/P2/CombatRoleDoctrine.cs:206</t>
        </is>
      </c>
      <c r="H56" t="inlineStr"/>
    </row>
    <row r="57">
      <c r="A57" t="inlineStr">
        <is>
          <t>TankDestroyer/3</t>
        </is>
      </c>
      <c r="B57" t="inlineStr">
        <is>
          <t>TankDestroyer</t>
        </is>
      </c>
      <c r="C57" t="inlineStr">
        <is>
          <t>Heavy</t>
        </is>
      </c>
      <c r="D57" t="inlineStr">
        <is>
          <t>3/6</t>
        </is>
      </c>
      <c r="E57" t="n">
        <v>1.156</v>
      </c>
      <c r="F57" t="inlineStr">
        <is>
          <t>B4: Armour5, Armour4, heavy, boss, MBT, medium; light only when nothing better or critical.</t>
        </is>
      </c>
      <c r="G57" t="inlineStr">
        <is>
          <t>Assets/MachineBrigade/Scripts/Sim/AI/P2/CombatRoleDoctrine.cs:206</t>
        </is>
      </c>
      <c r="H57" t="inlineStr"/>
    </row>
    <row r="58">
      <c r="A58" t="inlineStr">
        <is>
          <t>TankDestroyer/4</t>
        </is>
      </c>
      <c r="B58" t="inlineStr">
        <is>
          <t>TankDestroyer</t>
        </is>
      </c>
      <c r="C58" t="inlineStr">
        <is>
          <t>Boss</t>
        </is>
      </c>
      <c r="D58" t="inlineStr">
        <is>
          <t>4/6</t>
        </is>
      </c>
      <c r="E58" t="n">
        <v>0.9826</v>
      </c>
      <c r="F58" t="inlineStr">
        <is>
          <t>B4: Armour5, Armour4, heavy, boss, MBT, medium; light only when nothing better or critical.</t>
        </is>
      </c>
      <c r="G58" t="inlineStr">
        <is>
          <t>Assets/MachineBrigade/Scripts/Sim/AI/P2/CombatRoleDoctrine.cs:206</t>
        </is>
      </c>
      <c r="H58" t="inlineStr"/>
    </row>
    <row r="59">
      <c r="A59" t="inlineStr">
        <is>
          <t>TankDestroyer/5</t>
        </is>
      </c>
      <c r="B59" t="inlineStr">
        <is>
          <t>TankDestroyer</t>
        </is>
      </c>
      <c r="C59" t="inlineStr">
        <is>
          <t>Mbt</t>
        </is>
      </c>
      <c r="D59" t="inlineStr">
        <is>
          <t>5/6</t>
        </is>
      </c>
      <c r="E59" t="n">
        <v>0.8352000000000001</v>
      </c>
      <c r="F59" t="inlineStr">
        <is>
          <t>B4: Armour5, Armour4, heavy, boss, MBT, medium; light only when nothing better or critical.</t>
        </is>
      </c>
      <c r="G59" t="inlineStr">
        <is>
          <t>Assets/MachineBrigade/Scripts/Sim/AI/P2/CombatRoleDoctrine.cs:206</t>
        </is>
      </c>
      <c r="H59" t="inlineStr"/>
    </row>
    <row r="60">
      <c r="A60" t="inlineStr">
        <is>
          <t>TankDestroyer/6</t>
        </is>
      </c>
      <c r="B60" t="inlineStr">
        <is>
          <t>TankDestroyer</t>
        </is>
      </c>
      <c r="C60" t="inlineStr">
        <is>
          <t>Medium | AntiTank</t>
        </is>
      </c>
      <c r="D60" t="inlineStr">
        <is>
          <t>6/6</t>
        </is>
      </c>
      <c r="E60" t="n">
        <v>0.7099</v>
      </c>
      <c r="F60" t="inlineStr">
        <is>
          <t>B4: Armour5, Armour4, heavy, boss, MBT, medium; light only when nothing better or critical.</t>
        </is>
      </c>
      <c r="G60" t="inlineStr">
        <is>
          <t>Assets/MachineBrigade/Scripts/Sim/AI/P2/CombatRoleDoctrine.cs:206</t>
        </is>
      </c>
      <c r="H60" t="inlineStr"/>
    </row>
    <row r="61">
      <c r="A61" t="inlineStr">
        <is>
          <t>TankDestroyer/7</t>
        </is>
      </c>
      <c r="B61" t="inlineStr">
        <is>
          <t>TankDestroyer</t>
        </is>
      </c>
      <c r="C61" t="inlineStr">
        <is>
          <t>Light | Recon | Support | Drone</t>
        </is>
      </c>
      <c r="D61" t="inlineStr">
        <is>
          <t>phương án cuối (LastResort; nguy cấp: dưới bậc cuối)</t>
        </is>
      </c>
      <c r="E61" t="n">
        <v>0.35</v>
      </c>
      <c r="F61" t="inlineStr">
        <is>
          <t>B4: Armour5, Armour4, heavy, boss, MBT, medium; light only when nothing better or critical.</t>
        </is>
      </c>
      <c r="G61" t="inlineStr">
        <is>
          <t>Assets/MachineBrigade/Scripts/Sim/AI/P2/CombatRoleDoctrine.cs:206</t>
        </is>
      </c>
      <c r="H61" t="inlineStr"/>
    </row>
    <row r="62">
      <c r="A62" t="inlineStr">
        <is>
          <t>TankDestroyer/8</t>
        </is>
      </c>
      <c r="B62" t="inlineStr">
        <is>
          <t>TankDestroyer</t>
        </is>
      </c>
      <c r="C62" t="inlineStr">
        <is>
          <t>_</t>
        </is>
      </c>
      <c r="D62" t="inlineStr">
        <is>
          <t>dưới bậc cuối (6)</t>
        </is>
      </c>
      <c r="E62" t="n">
        <v>0.6034</v>
      </c>
      <c r="F62" t="inlineStr">
        <is>
          <t>B4: Armour5, Armour4, heavy, boss, MBT, medium; light only when nothing better or critical.</t>
        </is>
      </c>
      <c r="G62" t="inlineStr">
        <is>
          <t>Assets/MachineBrigade/Scripts/Sim/AI/P2/CombatRoleDoctrine.cs:206</t>
        </is>
      </c>
      <c r="H62" t="inlineStr"/>
    </row>
  </sheetData>
  <autoFilter ref="A1:H62"/>
  <pageMargins left="0.75" right="0.75" top="1" bottom="1" header="0.5" footer="0.5"/>
</worksheet>
</file>

<file path=xl/worksheets/sheet2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15" customWidth="1" min="3" max="3"/>
    <col width="9" customWidth="1" min="4" max="4"/>
    <col width="13" customWidth="1" min="5" max="5"/>
    <col width="21" customWidth="1" min="6" max="6"/>
    <col width="60" customWidth="1" min="7" max="7"/>
    <col width="60" customWidth="1" min="8" max="8"/>
    <col width="10" customWidth="1" min="9" max="9"/>
  </cols>
  <sheetData>
    <row r="1">
      <c r="A1" s="1" t="inlineStr">
        <is>
          <t>id</t>
        </is>
      </c>
      <c r="B1" s="1" t="inlineStr">
        <is>
          <t>khoi</t>
        </is>
      </c>
      <c r="C1" s="1" t="inlineStr">
        <is>
          <t>nhom</t>
        </is>
      </c>
      <c r="D1" s="1" t="inlineStr">
        <is>
          <t>so_khoa</t>
        </is>
      </c>
      <c r="E1" s="1" t="inlineStr">
        <is>
          <t>lane</t>
        </is>
      </c>
      <c r="F1" s="1" t="inlineStr">
        <is>
          <t>sheet_gia_tri</t>
        </is>
      </c>
      <c r="G1" s="1" t="inlineStr">
        <is>
          <t>khoa</t>
        </is>
      </c>
      <c r="H1" s="1" t="inlineStr">
        <is>
          <t>nguon</t>
        </is>
      </c>
      <c r="I1" s="1" t="inlineStr">
        <is>
          <t>raw_json</t>
        </is>
      </c>
    </row>
    <row r="2">
      <c r="A2" t="inlineStr">
        <is>
          <t>ai.adaptation</t>
        </is>
      </c>
      <c r="B2" t="inlineStr">
        <is>
          <t>ai</t>
        </is>
      </c>
      <c r="C2" t="inlineStr">
        <is>
          <t>adaptation</t>
        </is>
      </c>
      <c r="D2" t="n">
        <v>10</v>
      </c>
      <c r="E2" t="inlineStr">
        <is>
          <t>AI MASTER P4</t>
        </is>
      </c>
      <c r="F2" t="inlineStr">
        <is>
          <t>09_ai/Hang_so_ai</t>
        </is>
      </c>
      <c r="G2" t="inlineStr">
        <is>
          <t>emaAlpha;lowUtilization;lowUtilizationS;purchaseFloor;baitRepeat;leashScale;reconBoost;airHeavyShare;campImpacts;towerCount</t>
        </is>
      </c>
      <c r="H2" t="inlineStr">
        <is>
          <t>Assets/MachineBrigade/Resources/Data/tunables.json: ai.adaptation</t>
        </is>
      </c>
      <c r="I2" t="inlineStr"/>
    </row>
    <row r="3">
      <c r="A3" t="inlineStr">
        <is>
          <t>ai.airOps</t>
        </is>
      </c>
      <c r="B3" t="inlineStr">
        <is>
          <t>ai</t>
        </is>
      </c>
      <c r="C3" t="inlineStr">
        <is>
          <t>airOps</t>
        </is>
      </c>
      <c r="D3" t="n">
        <v>15</v>
      </c>
      <c r="E3" t="inlineStr">
        <is>
          <t>AI MASTER P4</t>
        </is>
      </c>
      <c r="F3" t="inlineStr">
        <is>
          <t>09_ai/Hang_so_ai</t>
        </is>
      </c>
      <c r="G3" t="inlineStr">
        <is>
          <t>seadHoldS;seadStandoff;seadThreat;riskSamples;riskPassLimit;capRadius;capLeash;capPatrolS;handoffMax;handoffTtkS;bomberMinValue;bomberRiskMax;bomberBlastGap;bomberWaitMaxS;interceptHorizonS</t>
        </is>
      </c>
      <c r="H3" t="inlineStr">
        <is>
          <t>Assets/MachineBrigade/Resources/Data/tunables.json: ai.airOps</t>
        </is>
      </c>
      <c r="I3" t="inlineStr"/>
    </row>
    <row r="4">
      <c r="A4" t="inlineStr">
        <is>
          <t>ai.ammo</t>
        </is>
      </c>
      <c r="B4" t="inlineStr">
        <is>
          <t>ai</t>
        </is>
      </c>
      <c r="C4" t="inlineStr">
        <is>
          <t>ammo</t>
        </is>
      </c>
      <c r="D4" t="n">
        <v>7</v>
      </c>
      <c r="E4" t="inlineStr">
        <is>
          <t>AI MASTER P5</t>
        </is>
      </c>
      <c r="F4" t="inlineStr">
        <is>
          <t>09_ai/Hang_so_ai</t>
        </is>
      </c>
      <c r="G4" t="inlineStr">
        <is>
          <t>enabled;nearEmptyShare;meaningfulReloadS;emergencyUrgency;repositionMinReloadS;scootMinReloadS;keepTargetWhileReloading</t>
        </is>
      </c>
      <c r="H4" t="inlineStr">
        <is>
          <t>Assets/MachineBrigade/Resources/Data/tunables.json: ai.ammo</t>
        </is>
      </c>
      <c r="I4" t="inlineStr"/>
    </row>
    <row r="5">
      <c r="A5" t="inlineStr">
        <is>
          <t>ai.attackSync</t>
        </is>
      </c>
      <c r="B5" t="inlineStr">
        <is>
          <t>ai</t>
        </is>
      </c>
      <c r="C5" t="inlineStr">
        <is>
          <t>attackSync</t>
        </is>
      </c>
      <c r="D5" t="n">
        <v>15</v>
      </c>
      <c r="E5" t="inlineStr">
        <is>
          <t>AI MASTER P3</t>
        </is>
      </c>
      <c r="F5" t="inlineStr">
        <is>
          <t>09_ai/Hang_so_ai</t>
        </is>
      </c>
      <c r="G5" t="inlineStr">
        <is>
          <t>groundToleranceS;airToleranceS;artilleryPrepLeadS;detour;packageSeconds;stagingBand;subZoneSpacing;maxStageS;scoutMaxWaitS;scoutUnknownShare;scoutDeathDanger;fixEnvelope;frontageSeparation;waveGapS;defaultFrontage</t>
        </is>
      </c>
      <c r="H5" t="inlineStr">
        <is>
          <t>Assets/MachineBrigade/Resources/Data/tunables.json: ai.attackSync</t>
        </is>
      </c>
      <c r="I5" t="inlineStr"/>
    </row>
    <row r="6">
      <c r="A6" t="inlineStr">
        <is>
          <t>ai.board</t>
        </is>
      </c>
      <c r="B6" t="inlineStr">
        <is>
          <t>ai</t>
        </is>
      </c>
      <c r="C6" t="inlineStr">
        <is>
          <t>board</t>
        </is>
      </c>
      <c r="D6" t="n">
        <v>13</v>
      </c>
      <c r="E6" t="inlineStr">
        <is>
          <t>AI MASTER P3</t>
        </is>
      </c>
      <c r="F6" t="inlineStr">
        <is>
          <t>09_ai/Hang_so_ai</t>
        </is>
      </c>
      <c r="G6" t="inlineStr">
        <is>
          <t>plannedOverkillShare;damageLeadS;repairWindowS;smokeSpacing;smokeSeconds;handoffRatio;handoffLockS;preferWorth;avoidWorth;spreadFocusShare;nearKillShare;secondaryHeavy;secondaryFit</t>
        </is>
      </c>
      <c r="H6" t="inlineStr">
        <is>
          <t>Assets/MachineBrigade/Resources/Data/tunables.json: ai.board</t>
        </is>
      </c>
      <c r="I6" t="inlineStr"/>
    </row>
    <row r="7">
      <c r="A7" t="inlineStr">
        <is>
          <t>ai.bossTactics</t>
        </is>
      </c>
      <c r="B7" t="inlineStr">
        <is>
          <t>ai</t>
        </is>
      </c>
      <c r="C7" t="inlineStr">
        <is>
          <t>bossTactics</t>
        </is>
      </c>
      <c r="D7" t="n">
        <v>11</v>
      </c>
      <c r="E7" t="inlineStr">
        <is>
          <t>AI MASTER P4</t>
        </is>
      </c>
      <c r="F7" t="inlineStr">
        <is>
          <t>09_ai/Hang_so_ai</t>
        </is>
      </c>
      <c r="G7" t="inlineStr">
        <is>
          <t>weakpointWeights;sectorsByLevel;sectorMargin;patternWindowS;patternCost;pressureBudget;pressureDelayS;pressureMaxDelayS;phaseMargin;phaseReserveShare;phaseReserveMaxS</t>
        </is>
      </c>
      <c r="H7" t="inlineStr">
        <is>
          <t>Assets/MachineBrigade/Resources/Data/tunables.json: ai.bossTactics</t>
        </is>
      </c>
      <c r="I7" t="inlineStr"/>
    </row>
    <row r="8">
      <c r="A8" t="inlineStr">
        <is>
          <t>ai.budget</t>
        </is>
      </c>
      <c r="B8" t="inlineStr">
        <is>
          <t>ai</t>
        </is>
      </c>
      <c r="C8" t="inlineStr">
        <is>
          <t>budget</t>
        </is>
      </c>
      <c r="D8" t="n">
        <v>3</v>
      </c>
      <c r="E8" t="inlineStr">
        <is>
          <t>AI MASTER P5</t>
        </is>
      </c>
      <c r="F8" t="inlineStr">
        <is>
          <t>09_ai/Hang_so_ai</t>
        </is>
      </c>
      <c r="G8" t="inlineStr">
        <is>
          <t>squadBuckets;spatialCell;perfCounters</t>
        </is>
      </c>
      <c r="H8" t="inlineStr">
        <is>
          <t>Assets/MachineBrigade/Resources/Data/tunables.json: ai.budget</t>
        </is>
      </c>
      <c r="I8" t="inlineStr"/>
    </row>
    <row r="9">
      <c r="A9" t="inlineStr">
        <is>
          <t>ai.combatWatchdog</t>
        </is>
      </c>
      <c r="B9" t="inlineStr">
        <is>
          <t>ai</t>
        </is>
      </c>
      <c r="C9" t="inlineStr">
        <is>
          <t>combatWatchdog</t>
        </is>
      </c>
      <c r="D9" t="n">
        <v>7</v>
      </c>
      <c r="E9" t="inlineStr"/>
      <c r="F9" t="inlineStr">
        <is>
          <t>09_ai/Hang_so_ai</t>
        </is>
      </c>
      <c r="G9" t="inlineStr">
        <is>
          <t>evaluateEveryTicks;anomalyGraceSeconds;idleReasonSeconds;firedRecentlySeconds;suppressSeconds;sidestepMetres;explainSeconds</t>
        </is>
      </c>
      <c r="H9" t="inlineStr">
        <is>
          <t>Assets/MachineBrigade/Resources/Data/tunables.json: ai.combatWatchdog</t>
        </is>
      </c>
      <c r="I9" t="inlineStr"/>
    </row>
    <row r="10">
      <c r="A10" t="inlineStr">
        <is>
          <t>ai.commitment</t>
        </is>
      </c>
      <c r="B10" t="inlineStr">
        <is>
          <t>ai</t>
        </is>
      </c>
      <c r="C10" t="inlineStr">
        <is>
          <t>commitment</t>
        </is>
      </c>
      <c r="D10" t="n">
        <v>2</v>
      </c>
      <c r="E10" t="inlineStr">
        <is>
          <t>AI MASTER P4</t>
        </is>
      </c>
      <c r="F10" t="inlineStr">
        <is>
          <t>09_ai/Hang_so_ai</t>
        </is>
      </c>
      <c r="G10" t="inlineStr">
        <is>
          <t>routeS;packageS</t>
        </is>
      </c>
      <c r="H10" t="inlineStr">
        <is>
          <t>Assets/MachineBrigade/Resources/Data/tunables.json: ai.commitment</t>
        </is>
      </c>
      <c r="I10" t="inlineStr"/>
    </row>
    <row r="11">
      <c r="A11" t="inlineStr">
        <is>
          <t>ai.componentState</t>
        </is>
      </c>
      <c r="B11" t="inlineStr">
        <is>
          <t>ai</t>
        </is>
      </c>
      <c r="C11" t="inlineStr">
        <is>
          <t>componentState</t>
        </is>
      </c>
      <c r="D11" t="n">
        <v>3</v>
      </c>
      <c r="E11" t="inlineStr">
        <is>
          <t>AI MASTER P2</t>
        </is>
      </c>
      <c r="F11" t="inlineStr">
        <is>
          <t>09_ai/Hang_so_ai</t>
        </is>
      </c>
      <c r="G11" t="inlineStr">
        <is>
          <t>engineCrippledShare;flankPenalty;holdBonus</t>
        </is>
      </c>
      <c r="H11" t="inlineStr">
        <is>
          <t>Assets/MachineBrigade/Resources/Data/tunables.json: ai.componentState</t>
        </is>
      </c>
      <c r="I11" t="inlineStr"/>
    </row>
    <row r="12">
      <c r="A12" t="inlineStr">
        <is>
          <t>ai.confidence</t>
        </is>
      </c>
      <c r="B12" t="inlineStr">
        <is>
          <t>ai</t>
        </is>
      </c>
      <c r="C12" t="inlineStr">
        <is>
          <t>confidence</t>
        </is>
      </c>
      <c r="D12" t="n">
        <v>5</v>
      </c>
      <c r="E12" t="inlineStr">
        <is>
          <t>AI MASTER P3</t>
        </is>
      </c>
      <c r="F12" t="inlineStr">
        <is>
          <t>09_ai/Hang_so_ai</t>
        </is>
      </c>
      <c r="G12" t="inlineStr">
        <is>
          <t>weights;aggressive;cautious;noCommit;points</t>
        </is>
      </c>
      <c r="H12" t="inlineStr">
        <is>
          <t>Assets/MachineBrigade/Resources/Data/tunables.json: ai.confidence</t>
        </is>
      </c>
      <c r="I12" t="inlineStr"/>
    </row>
    <row r="13">
      <c r="A13" t="inlineStr">
        <is>
          <t>ai.conquestAi</t>
        </is>
      </c>
      <c r="B13" t="inlineStr">
        <is>
          <t>ai</t>
        </is>
      </c>
      <c r="C13" t="inlineStr">
        <is>
          <t>conquestAi</t>
        </is>
      </c>
      <c r="D13" t="n">
        <v>2</v>
      </c>
      <c r="E13" t="inlineStr"/>
      <c r="F13" t="inlineStr">
        <is>
          <t>09_ai/Hang_so_ai</t>
        </is>
      </c>
      <c r="G13" t="inlineStr">
        <is>
          <t>clusterRadius;holdReach</t>
        </is>
      </c>
      <c r="H13" t="inlineStr">
        <is>
          <t>Assets/MachineBrigade/Resources/Data/tunables.json: ai.conquestAi</t>
        </is>
      </c>
      <c r="I13" t="inlineStr"/>
    </row>
    <row r="14">
      <c r="A14" t="inlineStr">
        <is>
          <t>ai.coordination</t>
        </is>
      </c>
      <c r="B14" t="inlineStr">
        <is>
          <t>ai</t>
        </is>
      </c>
      <c r="C14" t="inlineStr">
        <is>
          <t>coordination</t>
        </is>
      </c>
      <c r="D14" t="n">
        <v>3</v>
      </c>
      <c r="E14" t="inlineStr">
        <is>
          <t>AI MASTER P3</t>
        </is>
      </c>
      <c r="F14" t="inlineStr">
        <is>
          <t>09_ai/Hang_so_ai</t>
        </is>
      </c>
      <c r="G14" t="inlineStr">
        <is>
          <t>enabled;frontlineUpdateS;localRadius</t>
        </is>
      </c>
      <c r="H14" t="inlineStr">
        <is>
          <t>Assets/MachineBrigade/Resources/Data/tunables.json: ai.coordination</t>
        </is>
      </c>
      <c r="I14" t="inlineStr"/>
    </row>
    <row r="15">
      <c r="A15" t="inlineStr">
        <is>
          <t>ai.coverage</t>
        </is>
      </c>
      <c r="B15" t="inlineStr">
        <is>
          <t>ai</t>
        </is>
      </c>
      <c r="C15" t="inlineStr">
        <is>
          <t>coverage</t>
        </is>
      </c>
      <c r="D15" t="n">
        <v>8</v>
      </c>
      <c r="E15" t="inlineStr">
        <is>
          <t>AI MASTER P3</t>
        </is>
      </c>
      <c r="F15" t="inlineStr">
        <is>
          <t>09_ai/Hang_so_ai</t>
        </is>
      </c>
      <c r="G15" t="inlineStr">
        <is>
          <t>updateS;reachShare;exposureWeight;congestionWeight;redundantWeight;assetWorth;coverWorth;offWorth</t>
        </is>
      </c>
      <c r="H15" t="inlineStr">
        <is>
          <t>Assets/MachineBrigade/Resources/Data/tunables.json: ai.coverage</t>
        </is>
      </c>
      <c r="I15" t="inlineStr"/>
    </row>
    <row r="16">
      <c r="A16" t="inlineStr">
        <is>
          <t>ai.cues</t>
        </is>
      </c>
      <c r="B16" t="inlineStr">
        <is>
          <t>ai</t>
        </is>
      </c>
      <c r="C16" t="inlineStr">
        <is>
          <t>cues</t>
        </is>
      </c>
      <c r="D16" t="n">
        <v>3</v>
      </c>
      <c r="E16" t="inlineStr">
        <is>
          <t>AI MASTER P4</t>
        </is>
      </c>
      <c r="F16" t="inlineStr">
        <is>
          <t>09_ai/Hang_so_ai</t>
        </is>
      </c>
      <c r="G16" t="inlineStr">
        <is>
          <t>enabled;cooldownS;kept</t>
        </is>
      </c>
      <c r="H16" t="inlineStr">
        <is>
          <t>Assets/MachineBrigade/Resources/Data/tunables.json: ai.cues</t>
        </is>
      </c>
      <c r="I16" t="inlineStr"/>
    </row>
    <row r="17">
      <c r="A17" t="inlineStr">
        <is>
          <t>ai.feasibility</t>
        </is>
      </c>
      <c r="B17" t="inlineStr">
        <is>
          <t>ai</t>
        </is>
      </c>
      <c r="C17" t="inlineStr">
        <is>
          <t>feasibility</t>
        </is>
      </c>
      <c r="D17" t="n">
        <v>2</v>
      </c>
      <c r="E17" t="inlineStr"/>
      <c r="F17" t="inlineStr">
        <is>
          <t>09_ai/Hang_so_ai</t>
        </is>
      </c>
      <c r="G17" t="inlineStr">
        <is>
          <t>travelDetour;laneSamples</t>
        </is>
      </c>
      <c r="H17" t="inlineStr">
        <is>
          <t>Assets/MachineBrigade/Resources/Data/tunables.json: ai.feasibility</t>
        </is>
      </c>
      <c r="I17" t="inlineStr"/>
    </row>
    <row r="18">
      <c r="A18" t="inlineStr">
        <is>
          <t>ai.feint</t>
        </is>
      </c>
      <c r="B18" t="inlineStr">
        <is>
          <t>ai</t>
        </is>
      </c>
      <c r="C18" t="inlineStr">
        <is>
          <t>feint</t>
        </is>
      </c>
      <c r="D18" t="n">
        <v>6</v>
      </c>
      <c r="E18" t="inlineStr">
        <is>
          <t>AI MASTER P4</t>
        </is>
      </c>
      <c r="F18" t="inlineStr">
        <is>
          <t>09_ai/Hang_so_ai</t>
        </is>
      </c>
      <c r="G18" t="inlineStr">
        <is>
          <t>minUtility;weights;maxSeconds;redeployShare;cooldownS;powerShareMax</t>
        </is>
      </c>
      <c r="H18" t="inlineStr">
        <is>
          <t>Assets/MachineBrigade/Resources/Data/tunables.json: ai.feint</t>
        </is>
      </c>
      <c r="I18" t="inlineStr"/>
    </row>
    <row r="19">
      <c r="A19" t="inlineStr">
        <is>
          <t>ai.fireMissions</t>
        </is>
      </c>
      <c r="B19" t="inlineStr">
        <is>
          <t>ai</t>
        </is>
      </c>
      <c r="C19" t="inlineStr">
        <is>
          <t>fireMissions</t>
        </is>
      </c>
      <c r="D19" t="n">
        <v>15</v>
      </c>
      <c r="E19" t="inlineStr">
        <is>
          <t>AI MASTER P3</t>
        </is>
      </c>
      <c r="F19" t="inlineStr">
        <is>
          <t>09_ai/Hang_so_ai</t>
        </is>
      </c>
      <c r="G19" t="inlineStr">
        <is>
          <t>minError;errorShare;mergeRadius;halfLifeS;missionConfidence;strikeConfidence;strikeMaxError;staleSeconds;maxGunsPerTarget;scootSalvos;scootDistance;threatRadius;impactMemoryS;frontMargin;chokeMargin</t>
        </is>
      </c>
      <c r="H19" t="inlineStr">
        <is>
          <t>Assets/MachineBrigade/Resources/Data/tunables.json: ai.fireMissions</t>
        </is>
      </c>
      <c r="I19" t="inlineStr"/>
    </row>
    <row r="20">
      <c r="A20" t="inlineStr">
        <is>
          <t>ai.fireSupport</t>
        </is>
      </c>
      <c r="B20" t="inlineStr">
        <is>
          <t>ai</t>
        </is>
      </c>
      <c r="C20" t="inlineStr">
        <is>
          <t>fireSupport</t>
        </is>
      </c>
      <c r="D20" t="n">
        <v>10</v>
      </c>
      <c r="E20" t="inlineStr">
        <is>
          <t>AI MASTER P2</t>
        </is>
      </c>
      <c r="F20" t="inlineStr">
        <is>
          <t>09_ai/Hang_so_ai</t>
        </is>
      </c>
      <c r="G20" t="inlineStr">
        <is>
          <t>weights;minHoldSeconds;utilizationSeconds;bandSlack;slotSpacing;lateralStep;lateralSamples;hqSeparation;predictSeconds;interceptConfidence</t>
        </is>
      </c>
      <c r="H20" t="inlineStr">
        <is>
          <t>Assets/MachineBrigade/Resources/Data/tunables.json: ai.fireSupport</t>
        </is>
      </c>
      <c r="I20" t="inlineStr"/>
    </row>
    <row r="21">
      <c r="A21" t="inlineStr">
        <is>
          <t>ai.firingLane</t>
        </is>
      </c>
      <c r="B21" t="inlineStr">
        <is>
          <t>ai</t>
        </is>
      </c>
      <c r="C21" t="inlineStr">
        <is>
          <t>firingLane</t>
        </is>
      </c>
      <c r="D21" t="n">
        <v>5</v>
      </c>
      <c r="E21" t="inlineStr">
        <is>
          <t>AI MASTER P2</t>
        </is>
      </c>
      <c r="F21" t="inlineStr">
        <is>
          <t>09_ai/Hang_so_ai</t>
        </is>
      </c>
      <c r="G21" t="inlineStr">
        <is>
          <t>waitSeconds;sidestepMetres;slotShiftMetres;cooldownSeconds;blockerNudgeMetres</t>
        </is>
      </c>
      <c r="H21" t="inlineStr">
        <is>
          <t>Assets/MachineBrigade/Resources/Data/tunables.json: ai.firingLane</t>
        </is>
      </c>
      <c r="I21" t="inlineStr"/>
    </row>
    <row r="22">
      <c r="A22" t="inlineStr">
        <is>
          <t>ai.forecast</t>
        </is>
      </c>
      <c r="B22" t="inlineStr">
        <is>
          <t>ai</t>
        </is>
      </c>
      <c r="C22" t="inlineStr">
        <is>
          <t>forecast</t>
        </is>
      </c>
      <c r="D22" t="n">
        <v>12</v>
      </c>
      <c r="E22" t="inlineStr">
        <is>
          <t>AI MASTER P4</t>
        </is>
      </c>
      <c r="F22" t="inlineStr">
        <is>
          <t>09_ai/Hang_so_ai</t>
        </is>
      </c>
      <c r="G22" t="inlineStr">
        <is>
          <t>seconds;cacheS;aoeClusterBonus;aoeMax;uptimeFloor;unknownMargin;reinforceRadius;depthTwoShare;enoughRatio;enoughEnemyAfter;enoughMaxHoldS;enoughMinKnown</t>
        </is>
      </c>
      <c r="H22" t="inlineStr">
        <is>
          <t>Assets/MachineBrigade/Resources/Data/tunables.json: ai.forecast</t>
        </is>
      </c>
      <c r="I22" t="inlineStr"/>
    </row>
    <row r="23">
      <c r="A23" t="inlineStr">
        <is>
          <t>ai.formation</t>
        </is>
      </c>
      <c r="B23" t="inlineStr">
        <is>
          <t>ai</t>
        </is>
      </c>
      <c r="C23" t="inlineStr">
        <is>
          <t>formation</t>
        </is>
      </c>
      <c r="D23" t="n">
        <v>8</v>
      </c>
      <c r="E23" t="inlineStr">
        <is>
          <t>AI MASTER P2</t>
        </is>
      </c>
      <c r="F23" t="inlineStr">
        <is>
          <t>09_ai/Hang_so_ai</t>
        </is>
      </c>
      <c r="G23" t="inlineStr">
        <is>
          <t>commitSeconds;chokeLookahead;chokeShare;packetDelay;splashPacket;morphSeconds;directAtMaxSpread;rearRow</t>
        </is>
      </c>
      <c r="H23" t="inlineStr">
        <is>
          <t>Assets/MachineBrigade/Resources/Data/tunables.json: ai.formation</t>
        </is>
      </c>
      <c r="I23" t="inlineStr"/>
    </row>
    <row r="24">
      <c r="A24" t="inlineStr">
        <is>
          <t>ai.gating</t>
        </is>
      </c>
      <c r="B24" t="inlineStr">
        <is>
          <t>ai</t>
        </is>
      </c>
      <c r="C24" t="inlineStr">
        <is>
          <t>gating</t>
        </is>
      </c>
      <c r="D24" t="n">
        <v>6</v>
      </c>
      <c r="E24" t="inlineStr">
        <is>
          <t>AI MASTER P4</t>
        </is>
      </c>
      <c r="F24" t="inlineStr">
        <is>
          <t>09_ai/Hang_so_ai</t>
        </is>
      </c>
      <c r="G24" t="inlineStr">
        <is>
          <t>probeLevel;feintLevel;adaptationLevel;seadLevel;patternLevel;bomberLevel</t>
        </is>
      </c>
      <c r="H24" t="inlineStr">
        <is>
          <t>Assets/MachineBrigade/Resources/Data/tunables.json: ai.gating</t>
        </is>
      </c>
      <c r="I24" t="inlineStr"/>
    </row>
    <row r="25">
      <c r="A25" t="inlineStr">
        <is>
          <t>ai.health</t>
        </is>
      </c>
      <c r="B25" t="inlineStr">
        <is>
          <t>ai</t>
        </is>
      </c>
      <c r="C25" t="inlineStr">
        <is>
          <t>health</t>
        </is>
      </c>
      <c r="D25" t="n">
        <v>14</v>
      </c>
      <c r="E25" t="inlineStr">
        <is>
          <t>AI MASTER P5</t>
        </is>
      </c>
      <c r="F25" t="inlineStr">
        <is>
          <t>09_ai/Hang_so_ai</t>
        </is>
      </c>
      <c r="G25" t="inlineStr">
        <is>
          <t>enabled;periodS;squadNoDamageS;contactMargin;stallS;progressM;arriveRadius;recoveryCooldownS;idleTripShare;blockedTripShare;blockedMinUnits;churnCommitScale;churnDampS;strictAssertions</t>
        </is>
      </c>
      <c r="H25" t="inlineStr">
        <is>
          <t>Assets/MachineBrigade/Resources/Data/tunables.json: ai.health</t>
        </is>
      </c>
      <c r="I25" t="inlineStr"/>
    </row>
    <row r="26">
      <c r="A26" t="inlineStr">
        <is>
          <t>ai.memory</t>
        </is>
      </c>
      <c r="B26" t="inlineStr">
        <is>
          <t>ai</t>
        </is>
      </c>
      <c r="C26" t="inlineStr">
        <is>
          <t>memory</t>
        </is>
      </c>
      <c r="D26" t="n">
        <v>11</v>
      </c>
      <c r="E26" t="inlineStr">
        <is>
          <t>AI MASTER P3</t>
        </is>
      </c>
      <c r="F26" t="inlineStr">
        <is>
          <t>09_ai/Hang_so_ai</t>
        </is>
      </c>
      <c r="G26" t="inlineStr">
        <is>
          <t>mobileHalfLifeS;artilleryHalfLifeS;staticHalfLifeS;absentDecay;deathHalfLifeS;deathRadius;unknownSeconds;unknownRisk;repeatPlanPenalty;repeatPlanHalfLifeS;routeFailShare</t>
        </is>
      </c>
      <c r="H26" t="inlineStr">
        <is>
          <t>Assets/MachineBrigade/Resources/Data/tunables.json: ai.memory</t>
        </is>
      </c>
      <c r="I26" t="inlineStr"/>
    </row>
    <row r="27">
      <c r="A27" t="inlineStr">
        <is>
          <t>ai.modeDoctrine</t>
        </is>
      </c>
      <c r="B27" t="inlineStr">
        <is>
          <t>ai</t>
        </is>
      </c>
      <c r="C27" t="inlineStr">
        <is>
          <t>modeDoctrine</t>
        </is>
      </c>
      <c r="D27" t="n">
        <v>17</v>
      </c>
      <c r="E27" t="inlineStr">
        <is>
          <t>AI MASTER P2</t>
        </is>
      </c>
      <c r="F27" t="inlineStr">
        <is>
          <t>09_ai/Hang_so_ai</t>
        </is>
      </c>
      <c r="G27" t="inlineStr">
        <is>
          <t>mortarBand;artilleryBand;mlrsBand;longBand;mortarMaxRange;longRangeMin;reserveShare;finalReserveShare;reserveCommitSeconds;defendLeash;rotateSeconds;pockets;urgencyFloor;urgencyEndSeconds;missionTargetWeight;offMissionGround;quietStrikeWorth</t>
        </is>
      </c>
      <c r="H27" t="inlineStr">
        <is>
          <t>Assets/MachineBrigade/Resources/Data/tunables.json: ai.modeDoctrine</t>
        </is>
      </c>
      <c r="I27" t="inlineStr"/>
    </row>
    <row r="28">
      <c r="A28" t="inlineStr">
        <is>
          <t>ai.navigation</t>
        </is>
      </c>
      <c r="B28" t="inlineStr">
        <is>
          <t>ai</t>
        </is>
      </c>
      <c r="C28" t="inlineStr">
        <is>
          <t>navigation</t>
        </is>
      </c>
      <c r="D28" t="n">
        <v>33</v>
      </c>
      <c r="E28" t="inlineStr"/>
      <c r="F28" t="inlineStr">
        <is>
          <t>09_ai/Hang_so_ai</t>
        </is>
      </c>
      <c r="G28" t="inlineStr">
        <is>
          <t>jamStages;jamSoftS;jamReplanS;jamYieldS;jamCorridorS;jamEmergencyS;jamLowSpeedShare;jamProgressPerSecond;jamDecay;jamEvalTicks;localReplanMin;localReplanMax;corridorAltMax;congestionCost;congestionRadius;congestionSeconds;emergencyReverseM;giveUpAfterEmergencyS;failSafeS;anomalyAccelS;orcaLite;avoidanceHorizonGroundS;avoidanceHorizonNavalS;orcaNeighbours;orcaHighShare;orcaLowShare;passingRelease;separationPad;separationSplash;separationColumn;splashThreat;wreckSettleS;wreckLookAhead</t>
        </is>
      </c>
      <c r="H28" t="inlineStr">
        <is>
          <t>Assets/MachineBrigade/Resources/Data/tunables.json: ai.navigation</t>
        </is>
      </c>
      <c r="I28" t="inlineStr"/>
    </row>
    <row r="29">
      <c r="A29" t="inlineStr">
        <is>
          <t>ai.objectives</t>
        </is>
      </c>
      <c r="B29" t="inlineStr">
        <is>
          <t>ai</t>
        </is>
      </c>
      <c r="C29" t="inlineStr">
        <is>
          <t>objectives</t>
        </is>
      </c>
      <c r="D29" t="n">
        <v>14</v>
      </c>
      <c r="E29" t="inlineStr">
        <is>
          <t>AI MASTER P3</t>
        </is>
      </c>
      <c r="F29" t="inlineStr">
        <is>
          <t>09_ai/Hang_so_ai</t>
        </is>
      </c>
      <c r="G29" t="inlineStr">
        <is>
          <t>deadlineSlack;sunkHalfLifeS;sunkValue;sunkResetS;depthLines;depthStep;depthLostS;counterLossShare;counterWindowS;counterLookS;counterRadius;economyDelayShare;economyMaxShare;splitMinMembers</t>
        </is>
      </c>
      <c r="H29" t="inlineStr">
        <is>
          <t>Assets/MachineBrigade/Resources/Data/tunables.json: ai.objectives</t>
        </is>
      </c>
      <c r="I29" t="inlineStr"/>
    </row>
    <row r="30">
      <c r="A30" t="inlineStr">
        <is>
          <t>ai.opportunity</t>
        </is>
      </c>
      <c r="B30" t="inlineStr">
        <is>
          <t>ai</t>
        </is>
      </c>
      <c r="C30" t="inlineStr">
        <is>
          <t>opportunity</t>
        </is>
      </c>
      <c r="D30" t="n">
        <v>11</v>
      </c>
      <c r="E30" t="inlineStr">
        <is>
          <t>AI MASTER P4</t>
        </is>
      </c>
      <c r="F30" t="inlineStr">
        <is>
          <t>09_ai/Hang_so_ai</t>
        </is>
      </c>
      <c r="G30" t="inlineStr">
        <is>
          <t>aaDownS;partDownS;artilleryExposedS;exposedRadius;redeployS;redeployDrop;mainFarS;mainFarDistance;gateS;attackPoints;planGain</t>
        </is>
      </c>
      <c r="H30" t="inlineStr">
        <is>
          <t>Assets/MachineBrigade/Resources/Data/tunables.json: ai.opportunity</t>
        </is>
      </c>
      <c r="I30" t="inlineStr"/>
    </row>
    <row r="31">
      <c r="A31" t="inlineStr">
        <is>
          <t>ai.ownership</t>
        </is>
      </c>
      <c r="B31" t="inlineStr">
        <is>
          <t>ai</t>
        </is>
      </c>
      <c r="C31" t="inlineStr">
        <is>
          <t>ownership</t>
        </is>
      </c>
      <c r="D31" t="n">
        <v>3</v>
      </c>
      <c r="E31" t="inlineStr">
        <is>
          <t>AI MASTER P4</t>
        </is>
      </c>
      <c r="F31" t="inlineStr">
        <is>
          <t>09_ai/Hang_so_ai</t>
        </is>
      </c>
      <c r="G31" t="inlineStr">
        <is>
          <t>missionClaimS;scootClaimS;airClaimS</t>
        </is>
      </c>
      <c r="H31" t="inlineStr">
        <is>
          <t>Assets/MachineBrigade/Resources/Data/tunables.json: ai.ownership</t>
        </is>
      </c>
      <c r="I31" t="inlineStr"/>
    </row>
    <row r="32">
      <c r="A32" t="inlineStr">
        <is>
          <t>ai.packageAbort</t>
        </is>
      </c>
      <c r="B32" t="inlineStr">
        <is>
          <t>ai</t>
        </is>
      </c>
      <c r="C32" t="inlineStr">
        <is>
          <t>packageAbort</t>
        </is>
      </c>
      <c r="D32" t="n">
        <v>3</v>
      </c>
      <c r="E32" t="inlineStr">
        <is>
          <t>AI MASTER P4</t>
        </is>
      </c>
      <c r="F32" t="inlineStr">
        <is>
          <t>09_ai/Hang_so_ai</t>
        </is>
      </c>
      <c r="G32" t="inlineStr">
        <is>
          <t>enemyRise;clusterShift;lethalWarningPad</t>
        </is>
      </c>
      <c r="H32" t="inlineStr">
        <is>
          <t>Assets/MachineBrigade/Resources/Data/tunables.json: ai.packageAbort</t>
        </is>
      </c>
      <c r="I32" t="inlineStr"/>
    </row>
    <row r="33">
      <c r="A33" t="inlineStr">
        <is>
          <t>ai.planning</t>
        </is>
      </c>
      <c r="B33" t="inlineStr">
        <is>
          <t>ai</t>
        </is>
      </c>
      <c r="C33" t="inlineStr">
        <is>
          <t>planning</t>
        </is>
      </c>
      <c r="D33" t="n">
        <v>16</v>
      </c>
      <c r="E33" t="inlineStr">
        <is>
          <t>AI MASTER P4</t>
        </is>
      </c>
      <c r="F33" t="inlineStr">
        <is>
          <t>09_ai/Hang_so_ai</t>
        </is>
      </c>
      <c r="G33" t="inlineStr">
        <is>
          <t>enabled;plansByLevel;depthByLevel;objectiveGain;enemyLossWeight;friendlyLossWeight;delayCostPerS;congestionWeight;uncertaintyWeight;waitArtilleryS;flankDpsBonus;flankEnemyUptime;holdPowerFloor;switchMargin;repeatPenalty;repeatHalfLifeS</t>
        </is>
      </c>
      <c r="H33" t="inlineStr">
        <is>
          <t>Assets/MachineBrigade/Resources/Data/tunables.json: ai.planning</t>
        </is>
      </c>
      <c r="I33" t="inlineStr"/>
    </row>
    <row r="34">
      <c r="A34" t="inlineStr">
        <is>
          <t>ai.position</t>
        </is>
      </c>
      <c r="B34" t="inlineStr">
        <is>
          <t>ai</t>
        </is>
      </c>
      <c r="C34" t="inlineStr">
        <is>
          <t>position</t>
        </is>
      </c>
      <c r="D34" t="n">
        <v>7</v>
      </c>
      <c r="E34" t="inlineStr">
        <is>
          <t>AI MASTER P2</t>
        </is>
      </c>
      <c r="F34" t="inlineStr">
        <is>
          <t>09_ai/Hang_so_ai</t>
        </is>
      </c>
      <c r="G34" t="inlineStr">
        <is>
          <t>weights;searchRadius;hullDownMin;hullDownMax;hullDownConeDeg;reserveSeconds;reserveRadius</t>
        </is>
      </c>
      <c r="H34" t="inlineStr">
        <is>
          <t>Assets/MachineBrigade/Resources/Data/tunables.json: ai.position</t>
        </is>
      </c>
      <c r="I34" t="inlineStr"/>
    </row>
    <row r="35">
      <c r="A35" t="inlineStr">
        <is>
          <t>ai.probe</t>
        </is>
      </c>
      <c r="B35" t="inlineStr">
        <is>
          <t>ai</t>
        </is>
      </c>
      <c r="C35" t="inlineStr">
        <is>
          <t>probe</t>
        </is>
      </c>
      <c r="D35" t="n">
        <v>10</v>
      </c>
      <c r="E35" t="inlineStr">
        <is>
          <t>AI MASTER P4</t>
        </is>
      </c>
      <c r="F35" t="inlineStr">
        <is>
          <t>09_ai/Hang_so_ai</t>
        </is>
      </c>
      <c r="G35" t="inlineStr">
        <is>
          <t>powerShare;maxSeconds;envelope;lowResistance;atThreat;exploitS;cooldownS;blockedS;laneMemoryS;minUnknown</t>
        </is>
      </c>
      <c r="H35" t="inlineStr">
        <is>
          <t>Assets/MachineBrigade/Resources/Data/tunables.json: ai.probe</t>
        </is>
      </c>
      <c r="I35" t="inlineStr"/>
    </row>
    <row r="36">
      <c r="A36" t="inlineStr">
        <is>
          <t>ai.procurement</t>
        </is>
      </c>
      <c r="B36" t="inlineStr">
        <is>
          <t>ai</t>
        </is>
      </c>
      <c r="C36" t="inlineStr">
        <is>
          <t>procurement</t>
        </is>
      </c>
      <c r="D36" t="n">
        <v>25</v>
      </c>
      <c r="E36" t="inlineStr"/>
      <c r="F36" t="inlineStr">
        <is>
          <t>09_ai/Hang_so_ai</t>
        </is>
      </c>
      <c r="G36" t="inlineStr">
        <is>
          <t>blendWeight;weights;intelEma;mismatchConfirmSeconds;mismatchShare;mismatchConfidence;confidenceCp;minPlanCards;maxPlanCards;planExpireSeconds;reserveHorizonSeconds;reserveMaxSeconds;feedbackCombatSeconds;feedbackUtilization;feedbackMinModifier;feedbackPoints;timingRefSeconds;lateGameSeconds;longTravelSeconds;longTravelMax;congestionMax;redundancyPerCopy;saturation;capabilitySeconds;floors</t>
        </is>
      </c>
      <c r="H36" t="inlineStr">
        <is>
          <t>Assets/MachineBrigade/Resources/Data/tunables.json: ai.procurement</t>
        </is>
      </c>
      <c r="I36" t="inlineStr"/>
    </row>
    <row r="37">
      <c r="A37" t="inlineStr">
        <is>
          <t>ai.pursuit</t>
        </is>
      </c>
      <c r="B37" t="inlineStr">
        <is>
          <t>ai</t>
        </is>
      </c>
      <c r="C37" t="inlineStr">
        <is>
          <t>pursuit</t>
        </is>
      </c>
      <c r="D37" t="n">
        <v>12</v>
      </c>
      <c r="E37" t="inlineStr">
        <is>
          <t>AI MASTER P3</t>
        </is>
      </c>
      <c r="F37" t="inlineStr">
        <is>
          <t>09_ai/Hang_so_ai</t>
        </is>
      </c>
      <c r="G37" t="inlineStr">
        <is>
          <t>maxSeconds;maxDistance;aaMaxSeconds;aaMaxDistance;urgencyDrop;horizonS;ageFadeS;cutoffConfidence;cutoffLookS;retrySeconds;baitLeashMin;baitDangerScale</t>
        </is>
      </c>
      <c r="H37" t="inlineStr">
        <is>
          <t>Assets/MachineBrigade/Resources/Data/tunables.json: ai.pursuit</t>
        </is>
      </c>
      <c r="I37" t="inlineStr"/>
    </row>
    <row r="38">
      <c r="A38" t="inlineStr">
        <is>
          <t>ai.rangeMargin</t>
        </is>
      </c>
      <c r="B38" t="inlineStr">
        <is>
          <t>ai</t>
        </is>
      </c>
      <c r="C38" t="inlineStr">
        <is>
          <t>rangeMargin</t>
        </is>
      </c>
      <c r="D38" t="n">
        <v>4</v>
      </c>
      <c r="E38" t="inlineStr">
        <is>
          <t>AI MASTER P3</t>
        </is>
      </c>
      <c r="F38" t="inlineStr">
        <is>
          <t>09_ai/Hang_so_ai</t>
        </is>
      </c>
      <c r="G38" t="inlineStr">
        <is>
          <t>direct;artillery;atgm;aaMissile</t>
        </is>
      </c>
      <c r="H38" t="inlineStr">
        <is>
          <t>Assets/MachineBrigade/Resources/Data/tunables.json: ai.rangeMargin</t>
        </is>
      </c>
      <c r="I38" t="inlineStr"/>
    </row>
    <row r="39">
      <c r="A39" t="inlineStr">
        <is>
          <t>ai.reserveRelease</t>
        </is>
      </c>
      <c r="B39" t="inlineStr">
        <is>
          <t>ai</t>
        </is>
      </c>
      <c r="C39" t="inlineStr">
        <is>
          <t>reserveRelease</t>
        </is>
      </c>
      <c r="D39" t="n">
        <v>4</v>
      </c>
      <c r="E39" t="inlineStr">
        <is>
          <t>AI MASTER P3</t>
        </is>
      </c>
      <c r="F39" t="inlineStr">
        <is>
          <t>09_ai/Hang_so_ai</t>
        </is>
      </c>
      <c r="G39" t="inlineStr">
        <is>
          <t>wonRatio;collapseRatio;breakthroughRatio;exploitConfidence</t>
        </is>
      </c>
      <c r="H39" t="inlineStr">
        <is>
          <t>Assets/MachineBrigade/Resources/Data/tunables.json: ai.reserveRelease</t>
        </is>
      </c>
      <c r="I39" t="inlineStr"/>
    </row>
    <row r="40">
      <c r="A40" t="inlineStr">
        <is>
          <t>ai.roleDoctrine</t>
        </is>
      </c>
      <c r="B40" t="inlineStr">
        <is>
          <t>ai</t>
        </is>
      </c>
      <c r="C40" t="inlineStr">
        <is>
          <t>roleDoctrine</t>
        </is>
      </c>
      <c r="D40" t="n">
        <v>5</v>
      </c>
      <c r="E40" t="inlineStr">
        <is>
          <t>AI MASTER P2</t>
        </is>
      </c>
      <c r="F40" t="inlineStr">
        <is>
          <t>09_ai/Hang_so_ai</t>
        </is>
      </c>
      <c r="G40" t="inlineStr">
        <is>
          <t>rankTop;rankStep;lastResort;heavySalvoMinWorth;clusterRadius</t>
        </is>
      </c>
      <c r="H40" t="inlineStr">
        <is>
          <t>Assets/MachineBrigade/Resources/Data/tunables.json: ai.roleDoctrine</t>
        </is>
      </c>
      <c r="I40" t="inlineStr"/>
    </row>
    <row r="41">
      <c r="A41" t="inlineStr">
        <is>
          <t>ai.routes</t>
        </is>
      </c>
      <c r="B41" t="inlineStr">
        <is>
          <t>ai</t>
        </is>
      </c>
      <c r="C41" t="inlineStr">
        <is>
          <t>routes</t>
        </is>
      </c>
      <c r="D41" t="n">
        <v>7</v>
      </c>
      <c r="E41" t="inlineStr">
        <is>
          <t>AI MASTER P3</t>
        </is>
      </c>
      <c r="F41" t="inlineStr">
        <is>
          <t>09_ai/Hang_so_ai</t>
        </is>
      </c>
      <c r="G41" t="inlineStr">
        <is>
          <t>distanceScale;congestionWeight;occupancyWeight;lossWeight;points;occupancyRadius;bookSeconds</t>
        </is>
      </c>
      <c r="H41" t="inlineStr">
        <is>
          <t>Assets/MachineBrigade/Resources/Data/tunables.json: ai.routes</t>
        </is>
      </c>
      <c r="I41" t="inlineStr"/>
    </row>
    <row r="42">
      <c r="A42" t="inlineStr">
        <is>
          <t>ai.squadLayer</t>
        </is>
      </c>
      <c r="B42" t="inlineStr">
        <is>
          <t>ai</t>
        </is>
      </c>
      <c r="C42" t="inlineStr">
        <is>
          <t>squadLayer</t>
        </is>
      </c>
      <c r="D42" t="n">
        <v>10</v>
      </c>
      <c r="E42" t="inlineStr"/>
      <c r="F42" t="inlineStr">
        <is>
          <t>09_ai/Hang_so_ai</t>
        </is>
      </c>
      <c r="G42" t="inlineStr">
        <is>
          <t>shortMoveEvery;threatMetres;breachMargin;interval;minSquad;maxSquad;gatherRadius;gatheredRadius;joinReach;supportReach</t>
        </is>
      </c>
      <c r="H42" t="inlineStr">
        <is>
          <t>Assets/MachineBrigade/Resources/Data/tunables.json: ai.squadLayer</t>
        </is>
      </c>
      <c r="I42" t="inlineStr"/>
    </row>
    <row r="43">
      <c r="A43" t="inlineStr">
        <is>
          <t>ai.squads</t>
        </is>
      </c>
      <c r="B43" t="inlineStr">
        <is>
          <t>ai</t>
        </is>
      </c>
      <c r="C43" t="inlineStr">
        <is>
          <t>squads</t>
        </is>
      </c>
      <c r="D43" t="n">
        <v>15</v>
      </c>
      <c r="E43" t="inlineStr">
        <is>
          <t>AI MASTER P2</t>
        </is>
      </c>
      <c r="F43" t="inlineStr">
        <is>
          <t>09_ai/Hang_so_ai</t>
        </is>
      </c>
      <c r="G43" t="inlineStr">
        <is>
          <t>desiredMin;desiredMax;mergeShare;mergeDistance;receiveRadius;rendezvousBack;reinforceReach;pendingTimeout;cohesionWeights;cohesionRegroup;cohesionSeconds;cohesionRecover;supportReach;joinPredictSeconds;reassignmentCost</t>
        </is>
      </c>
      <c r="H43" t="inlineStr">
        <is>
          <t>Assets/MachineBrigade/Resources/Data/tunables.json: ai.squads</t>
        </is>
      </c>
      <c r="I43" t="inlineStr"/>
    </row>
    <row r="44">
      <c r="A44" t="inlineStr">
        <is>
          <t>ai.stagger</t>
        </is>
      </c>
      <c r="B44" t="inlineStr">
        <is>
          <t>ai</t>
        </is>
      </c>
      <c r="C44" t="inlineStr">
        <is>
          <t>stagger</t>
        </is>
      </c>
      <c r="D44" t="n">
        <v>1</v>
      </c>
      <c r="E44" t="inlineStr">
        <is>
          <t>AI MASTER P4</t>
        </is>
      </c>
      <c r="F44" t="inlineStr">
        <is>
          <t>09_ai/Hang_so_ai</t>
        </is>
      </c>
      <c r="G44" t="inlineStr">
        <is>
          <t>window</t>
        </is>
      </c>
      <c r="H44" t="inlineStr">
        <is>
          <t>Assets/MachineBrigade/Resources/Data/tunables.json: ai.stagger</t>
        </is>
      </c>
      <c r="I44" t="inlineStr"/>
    </row>
    <row r="45">
      <c r="A45" t="inlineStr">
        <is>
          <t>ai.stance</t>
        </is>
      </c>
      <c r="B45" t="inlineStr">
        <is>
          <t>ai</t>
        </is>
      </c>
      <c r="C45" t="inlineStr">
        <is>
          <t>stance</t>
        </is>
      </c>
      <c r="D45" t="n">
        <v>5</v>
      </c>
      <c r="E45" t="inlineStr">
        <is>
          <t>AI MASTER P3</t>
        </is>
      </c>
      <c r="F45" t="inlineStr">
        <is>
          <t>09_ai/Hang_so_ai</t>
        </is>
      </c>
      <c r="G45" t="inlineStr">
        <is>
          <t>returnFireSeconds;ambushRange;ambushSyncRadius;highValueReach;dispersalHoldS</t>
        </is>
      </c>
      <c r="H45" t="inlineStr">
        <is>
          <t>Assets/MachineBrigade/Resources/Data/tunables.json: ai.stance</t>
        </is>
      </c>
      <c r="I45" t="inlineStr"/>
    </row>
    <row r="46">
      <c r="A46" t="inlineStr">
        <is>
          <t>ai.tacticalAi</t>
        </is>
      </c>
      <c r="B46" t="inlineStr">
        <is>
          <t>ai</t>
        </is>
      </c>
      <c r="C46" t="inlineStr">
        <is>
          <t>tacticalAi</t>
        </is>
      </c>
      <c r="D46" t="n">
        <v>20</v>
      </c>
      <c r="E46" t="inlineStr"/>
      <c r="F46" t="inlineStr">
        <is>
          <t>09_ai/Hang_so_ai</t>
        </is>
      </c>
      <c r="G46" t="inlineStr">
        <is>
          <t>decisionInterval;boundLength;flankOffset;fastSpeed;clusterRadius;fallBackSeconds;outmatchedRatio;recoveredRatio;commitSeconds;assaultOdds;shellingTime;crateDetour;depotReach;breachReach;breacherReach;bossReach;reinforcementGap;homeReach;waveSize;waveWait</t>
        </is>
      </c>
      <c r="H46" t="inlineStr">
        <is>
          <t>Assets/MachineBrigade/Resources/Data/tunables.json: ai.tacticalAi</t>
        </is>
      </c>
      <c r="I46" t="inlineStr"/>
    </row>
    <row r="47">
      <c r="A47" t="inlineStr">
        <is>
          <t>ai.targeting</t>
        </is>
      </c>
      <c r="B47" t="inlineStr">
        <is>
          <t>ai</t>
        </is>
      </c>
      <c r="C47" t="inlineStr">
        <is>
          <t>targeting</t>
        </is>
      </c>
      <c r="D47" t="n">
        <v>17</v>
      </c>
      <c r="E47" t="inlineStr"/>
      <c r="F47" t="inlineStr">
        <is>
          <t>09_ai/Hang_so_ai</t>
        </is>
      </c>
      <c r="G47" t="inlineStr">
        <is>
          <t>targetStickSeconds;targetStickBonus;overkillShare;overkillFloor;overkillDangerWorth;aimTimeConstant;maxAimSeconds;threatToSelfWeight;threatToObjectiveWeight;breachStructureBonus;breacherDistraction;siegeTowerBonus;siegeEngagedTowerBonus;siegeStructureBonus;siegeLightPenalty;breachCorridorWidth;defendBreachReach</t>
        </is>
      </c>
      <c r="H47" t="inlineStr">
        <is>
          <t>Assets/MachineBrigade/Resources/Data/tunables.json: ai.targeting</t>
        </is>
      </c>
      <c r="I47" t="inlineStr"/>
    </row>
    <row r="48">
      <c r="A48" t="inlineStr">
        <is>
          <t>ai.topology</t>
        </is>
      </c>
      <c r="B48" t="inlineStr">
        <is>
          <t>ai</t>
        </is>
      </c>
      <c r="C48" t="inlineStr">
        <is>
          <t>topology</t>
        </is>
      </c>
      <c r="D48" t="n">
        <v>3</v>
      </c>
      <c r="E48" t="inlineStr"/>
      <c r="F48" t="inlineStr">
        <is>
          <t>09_ai/Hang_so_ai</t>
        </is>
      </c>
      <c r="G48" t="inlineStr">
        <is>
          <t>rebuildSeconds;chokeWidth;nearestRings</t>
        </is>
      </c>
      <c r="H48" t="inlineStr">
        <is>
          <t>Assets/MachineBrigade/Resources/Data/tunables.json: ai.topology</t>
        </is>
      </c>
      <c r="I48" t="inlineStr"/>
    </row>
    <row r="49">
      <c r="A49" t="inlineStr">
        <is>
          <t>ai.towers</t>
        </is>
      </c>
      <c r="B49" t="inlineStr">
        <is>
          <t>ai</t>
        </is>
      </c>
      <c r="C49" t="inlineStr">
        <is>
          <t>towers</t>
        </is>
      </c>
      <c r="D49" t="n">
        <v>9</v>
      </c>
      <c r="E49" t="inlineStr">
        <is>
          <t>AI MASTER P5</t>
        </is>
      </c>
      <c r="F49" t="inlineStr">
        <is>
          <t>09_ai/Hang_so_ai</t>
        </is>
      </c>
      <c r="G49" t="inlineStr">
        <is>
          <t>enabled;protectRadius;airThreatWorth;heavyWorth;artilleryWorth;criticalRadius;criticalWorth;overkillShare;overkillFloor</t>
        </is>
      </c>
      <c r="H49" t="inlineStr">
        <is>
          <t>Assets/MachineBrigade/Resources/Data/tunables.json: ai.towers</t>
        </is>
      </c>
      <c r="I49" t="inlineStr"/>
    </row>
    <row r="50">
      <c r="A50" t="inlineStr">
        <is>
          <t>ai.traffic</t>
        </is>
      </c>
      <c r="B50" t="inlineStr">
        <is>
          <t>ai</t>
        </is>
      </c>
      <c r="C50" t="inlineStr">
        <is>
          <t>traffic</t>
        </is>
      </c>
      <c r="D50" t="n">
        <v>25</v>
      </c>
      <c r="E50" t="inlineStr"/>
      <c r="F50" t="inlineStr">
        <is>
          <t>09_ai/Hang_so_ai</t>
        </is>
      </c>
      <c r="G50" t="inlineStr">
        <is>
          <t>enabled;priorityHoldS;reservationSeconds;alternateSeconds;preemptMargin;chokeBatchGapS;queueSpacing;queueStart;approachM;predictWindowS;overload;corridorMinMembers;corridorMinDistance;corridorRefreshS;corridorNodes;spawnExitRadius;spawnClearRadius;spawnRallyRadius;spawnBlockedS;spawnPriorityS;bossCorridorCost;reservedSpotCost;parkingLeaveM;parkingSplashSpacing;deadlockTicks</t>
        </is>
      </c>
      <c r="H50" t="inlineStr">
        <is>
          <t>Assets/MachineBrigade/Resources/Data/tunables.json: ai.traffic</t>
        </is>
      </c>
      <c r="I50" t="inlineStr"/>
    </row>
    <row r="51">
      <c r="A51" t="inlineStr">
        <is>
          <t>bosses.bossBrain</t>
        </is>
      </c>
      <c r="B51" t="inlineStr">
        <is>
          <t>bosses</t>
        </is>
      </c>
      <c r="C51" t="inlineStr">
        <is>
          <t>bossBrain</t>
        </is>
      </c>
      <c r="D51" t="n">
        <v>39</v>
      </c>
      <c r="E51" t="inlineStr"/>
      <c r="F51" t="inlineStr">
        <is>
          <t>02_boss/Hang_so_boss</t>
        </is>
      </c>
      <c r="G51" t="inlineStr">
        <is>
          <t>brainTicks;lookAheadSeconds;lookAheadMinLengths;lookAheadMaxLengths;planningFactor;headingDeadbandDeg;broadsideEnterDeg;broadsideLeaveDeg;broadsideSmoothing;broadsideMaxDeg;broadsideStepDeg;broadsideTurnCost;broadsideRoutePenalty;activeDpsTarget;holdBonus;cruiseThrottleMin;turnaboutThrottle;cpaHorizonMin;cpaHorizonMax;cpaLateralClear;shipSeparationExtra;bossSeparationExtra;cpaMaxTurnDeg;cpaMinThrottle;corridorMargin;corridorClearMin;corridorClearMax;corridorTicks;escortInnerGap;escortScreenMin;escortScreenMax;escortSupportMin;escortSupportMax;cadenceGap;cadenceHeavyCooldown;chaseLeash;groundReverseCooldown;phaseMoveSeconds;alignFlipSeconds</t>
        </is>
      </c>
      <c r="H51" t="inlineStr">
        <is>
          <t>Assets/MachineBrigade/Resources/Data/tunables.json: bosses.bossBrain</t>
        </is>
      </c>
      <c r="I51" t="inlineStr"/>
    </row>
  </sheetData>
  <autoFilter ref="A1:I51"/>
  <pageMargins left="0.75" right="0.75" top="1" bottom="1" header="0.5" footer="0.5"/>
</worksheet>
</file>

<file path=xl/worksheets/sheet2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0" customWidth="1" min="3" max="3"/>
    <col width="52" customWidth="1" min="4" max="4"/>
    <col width="47" customWidth="1" min="5" max="5"/>
    <col width="30" customWidth="1" min="6" max="6"/>
    <col width="51" customWidth="1" min="7" max="7"/>
    <col width="10" customWidth="1" min="8" max="8"/>
  </cols>
  <sheetData>
    <row r="1">
      <c r="A1" s="1" t="inlineStr">
        <is>
          <t>id</t>
        </is>
      </c>
      <c r="B1" s="1" t="inlineStr">
        <is>
          <t>lop</t>
        </is>
      </c>
      <c r="C1" s="1" t="inlineStr">
        <is>
          <t>nhip</t>
        </is>
      </c>
      <c r="D1" s="1" t="inlineStr">
        <is>
          <t>khoa</t>
        </is>
      </c>
      <c r="E1" s="1" t="inlineStr">
        <is>
          <t>nguon_ma</t>
        </is>
      </c>
      <c r="F1" s="1" t="inlineStr">
        <is>
          <t>bo_dem</t>
        </is>
      </c>
      <c r="G1" s="1" t="inlineStr">
        <is>
          <t>nguon</t>
        </is>
      </c>
      <c r="H1" s="1" t="inlineStr">
        <is>
          <t>raw_json</t>
        </is>
      </c>
    </row>
    <row r="2">
      <c r="A2" t="inlineStr">
        <is>
          <t>Commander</t>
        </is>
      </c>
      <c r="B2" t="inlineStr">
        <is>
          <t>Commander</t>
        </is>
      </c>
      <c r="C2" t="inlineStr">
        <is>
          <t>1 Hz, hai phe lệch 0.5 s (P2 gán việc, P3 phối hợp, P4 kế hoạch)</t>
        </is>
      </c>
      <c r="D2" t="inlineStr">
        <is>
          <t>(cố định 1 s)</t>
        </is>
      </c>
      <c r="E2" t="inlineStr">
        <is>
          <t>AI/Commander.cs Tick/Pass</t>
        </is>
      </c>
      <c r="F2" t="inlineStr">
        <is>
          <t>Commander</t>
        </is>
      </c>
      <c r="G2" t="inlineStr">
        <is>
          <t>Sim/AI/Commander.cs Tick/Pass</t>
        </is>
      </c>
      <c r="H2" t="inlineStr"/>
    </row>
    <row r="3">
      <c r="A3" t="inlineStr">
        <is>
          <t>Counters</t>
        </is>
      </c>
      <c r="B3" t="inlineStr">
        <is>
          <t>Counters</t>
        </is>
      </c>
      <c r="C3" t="inlineStr">
        <is>
          <t>bộ đếm thời gian theo hệ (tắt mặc định; harness 48v48 bật)</t>
        </is>
      </c>
      <c r="D3" t="inlineStr">
        <is>
          <t>ai.budget.perfCounters</t>
        </is>
      </c>
      <c r="E3" t="inlineStr">
        <is>
          <t>AI/P5/AiBudget.cs AiPerfCounters</t>
        </is>
      </c>
      <c r="F3" t="inlineStr">
        <is>
          <t>(tất cả)</t>
        </is>
      </c>
      <c r="G3" t="inlineStr">
        <is>
          <t>Sim/AI/P5/AiBudget.cs AiPerfCounters</t>
        </is>
      </c>
      <c r="H3" t="inlineStr"/>
    </row>
    <row r="4">
      <c r="A4" t="inlineStr">
        <is>
          <t>Forecast</t>
        </is>
      </c>
      <c r="B4" t="inlineStr">
        <is>
          <t>Forecast</t>
        </is>
      </c>
      <c r="C4" t="inlineStr">
        <is>
          <t>theo sự kiện + cache 0.75 s (P4)</t>
        </is>
      </c>
      <c r="D4" t="inlineStr">
        <is>
          <t>ai.forecast.cacheS</t>
        </is>
      </c>
      <c r="E4" t="inlineStr">
        <is>
          <t>AI/P4/Planning.cs</t>
        </is>
      </c>
      <c r="F4" t="inlineStr">
        <is>
          <t>Commander</t>
        </is>
      </c>
      <c r="G4" t="inlineStr">
        <is>
          <t>Sim/AI/P4/Planning.cs</t>
        </is>
      </c>
      <c r="H4" t="inlineStr"/>
    </row>
    <row r="5">
      <c r="A5" t="inlineStr">
        <is>
          <t>HealthMonitor</t>
        </is>
      </c>
      <c r="B5" t="inlineStr">
        <is>
          <t>HealthMonitor</t>
        </is>
      </c>
      <c r="C5" t="inlineStr">
        <is>
          <t>1 Hz, lệch 0.5 s sau tướng</t>
        </is>
      </c>
      <c r="D5" t="inlineStr">
        <is>
          <t>ai.health.periodS</t>
        </is>
      </c>
      <c r="E5" t="inlineStr">
        <is>
          <t>AI/P5/AiHealthMonitor.cs</t>
        </is>
      </c>
      <c r="F5" t="inlineStr">
        <is>
          <t>HealthMonitor</t>
        </is>
      </c>
      <c r="G5" t="inlineStr">
        <is>
          <t>Sim/AI/P5/AiHealthMonitor.cs</t>
        </is>
      </c>
      <c r="H5" t="inlineStr"/>
    </row>
    <row r="6">
      <c r="A6" t="inlineStr">
        <is>
          <t>Procurement</t>
        </is>
      </c>
      <c r="B6" t="inlineStr">
        <is>
          <t>Procurement</t>
        </is>
      </c>
      <c r="C6" t="inlineStr">
        <is>
          <t>theo độ khó 2.2 / 1.1 / 0.6 / 0.45 s (giữ: là đòn bẩy phản ứng của độ khó); kế hoạch mua 16 tránh chấm lại cả bộ bài mỗi lần</t>
        </is>
      </c>
      <c r="D6" t="inlineStr">
        <is>
          <t>(ConquestAi.Interval)</t>
        </is>
      </c>
      <c r="E6" t="inlineStr">
        <is>
          <t>AI/ConquestAi.cs Buy</t>
        </is>
      </c>
      <c r="F6" t="inlineStr">
        <is>
          <t>Procurement</t>
        </is>
      </c>
      <c r="G6" t="inlineStr">
        <is>
          <t>Sim/AI/ConquestAi.cs Buy</t>
        </is>
      </c>
      <c r="H6" t="inlineStr"/>
    </row>
    <row r="7">
      <c r="A7" t="inlineStr">
        <is>
          <t>Spatial</t>
        </is>
      </c>
      <c r="B7" t="inlineStr">
        <is>
          <t>Spatial</t>
        </is>
      </c>
      <c r="C7" t="inlineStr">
        <is>
          <t>lưới đều 10 m (mục 98: 8-12 m), dựng lại tối đa 1 lần / bước sau di chuyển; đếm cụm / đám đông thay cho quét toàn bộ xe</t>
        </is>
      </c>
      <c r="D7" t="inlineStr">
        <is>
          <t>ai.budget.spatialCell</t>
        </is>
      </c>
      <c r="E7" t="inlineStr">
        <is>
          <t>AI/P5/AiBudget.cs AiSpatialIndex</t>
        </is>
      </c>
      <c r="F7" t="inlineStr">
        <is>
          <t>Targeting</t>
        </is>
      </c>
      <c r="G7" t="inlineStr">
        <is>
          <t>Sim/AI/P5/AiBudget.cs AiSpatialIndex</t>
        </is>
      </c>
      <c r="H7" t="inlineStr"/>
    </row>
    <row r="8">
      <c r="A8" t="inlineStr">
        <is>
          <t>Squad</t>
        </is>
      </c>
      <c r="B8" t="inlineStr">
        <is>
          <t>Squad</t>
        </is>
      </c>
      <c r="C8" t="inlineStr">
        <is>
          <t>lớp đội 4 Hz (ai.squadLayer.interval 0.25 s, hai phe lệch nửa nhịp); mỗi đội nghĩ 2 Hz theo nhóm so le (ai.budget.squadBuckets 2), né vòng cảnh báo mỗi nhịp</t>
        </is>
      </c>
      <c r="D8" t="inlineStr">
        <is>
          <t>ai.squadLayer.interval; ai.budget.squadBuckets</t>
        </is>
      </c>
      <c r="E8" t="inlineStr">
        <is>
          <t>AI/Squads.cs Tick; AI/P5/AiBudget.cs AiCadence</t>
        </is>
      </c>
      <c r="F8" t="inlineStr">
        <is>
          <t>Squad</t>
        </is>
      </c>
      <c r="G8" t="inlineStr">
        <is>
          <t>Sim/AI/Squads.cs Tick; AI/P5/AiBudget.cs AiCadence</t>
        </is>
      </c>
      <c r="H8" t="inlineStr"/>
    </row>
    <row r="9">
      <c r="A9" t="inlineStr">
        <is>
          <t>Steering</t>
        </is>
      </c>
      <c r="B9" t="inlineStr">
        <is>
          <t>Steering</t>
        </is>
      </c>
      <c r="C9" t="inlineStr">
        <is>
          <t>10 Hz (ORCA-lite so le theo id), mỗi bước cho phần lái</t>
        </is>
      </c>
      <c r="D9" t="inlineStr">
        <is>
          <t>ai.navigation.orcaLite; ai.traffic.*</t>
        </is>
      </c>
      <c r="E9" t="inlineStr">
        <is>
          <t>Movement/MovementSystem*.cs; P1</t>
        </is>
      </c>
      <c r="F9" t="inlineStr">
        <is>
          <t>Steering</t>
        </is>
      </c>
      <c r="G9" t="inlineStr">
        <is>
          <t>Sim/Movement/MovementSystem*.cs; P1</t>
        </is>
      </c>
      <c r="H9" t="inlineStr"/>
    </row>
    <row r="10">
      <c r="A10" t="inlineStr">
        <is>
          <t>Tactical</t>
        </is>
      </c>
      <c r="B10" t="inlineStr">
        <is>
          <t>Tactical</t>
        </is>
      </c>
      <c r="C10" t="inlineStr">
        <is>
          <t>4 Hz watchdog; TacticalAi theo ai.tacticalAi.decisionInterval</t>
        </is>
      </c>
      <c r="D10" t="inlineStr">
        <is>
          <t>ai.combatWatchdog.*; ai.tacticalAi.decisionInterval</t>
        </is>
      </c>
      <c r="E10" t="inlineStr">
        <is>
          <t>AI/CombatActivityWatchdog.cs; AI/TacticalAi.cs</t>
        </is>
      </c>
      <c r="F10" t="inlineStr">
        <is>
          <t>Tactical; Watchdog; Targeting</t>
        </is>
      </c>
      <c r="G10" t="inlineStr">
        <is>
          <t>Sim/AI/CombatActivityWatchdog.cs; AI/TacticalAi.cs</t>
        </is>
      </c>
      <c r="H10" t="inlineStr"/>
    </row>
  </sheetData>
  <autoFilter ref="A1:H10"/>
  <pageMargins left="0.75" right="0.75" top="1" bottom="1" header="0.5" footer="0.5"/>
</worksheet>
</file>

<file path=xl/worksheets/sheet2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29" customWidth="1" min="2" max="2"/>
    <col width="60" customWidth="1" min="3" max="3"/>
    <col width="46" customWidth="1" min="4" max="4"/>
    <col width="60" customWidth="1" min="5" max="5"/>
    <col width="47" customWidth="1" min="6" max="6"/>
    <col width="29" customWidth="1" min="7" max="7"/>
    <col width="10" customWidth="1" min="8" max="8"/>
  </cols>
  <sheetData>
    <row r="1">
      <c r="A1" s="1" t="inlineStr">
        <is>
          <t>id</t>
        </is>
      </c>
      <c r="B1" s="1" t="inlineStr">
        <is>
          <t>chi_so</t>
        </is>
      </c>
      <c r="C1" s="1" t="inlineStr">
        <is>
          <t>nguon_so</t>
        </is>
      </c>
      <c r="D1" s="1" t="inlineStr">
        <is>
          <t>nguong</t>
        </is>
      </c>
      <c r="E1" s="1" t="inlineStr">
        <is>
          <t>phuc_hoi</t>
        </is>
      </c>
      <c r="F1" s="1" t="inlineStr">
        <is>
          <t>ma</t>
        </is>
      </c>
      <c r="G1" s="1" t="inlineStr">
        <is>
          <t>nguon</t>
        </is>
      </c>
      <c r="H1" s="1" t="inlineStr">
        <is>
          <t>raw_json</t>
        </is>
      </c>
    </row>
    <row r="2">
      <c r="A2" t="inlineStr">
        <is>
          <t>armedIdleWithoutReason</t>
        </is>
      </c>
      <c r="B2" t="inlineStr">
        <is>
          <t>armedIdleWithoutReason</t>
        </is>
      </c>
      <c r="C2" t="inlineStr">
        <is>
          <t>CombatWatch.Unexplained</t>
        </is>
      </c>
      <c r="D2" t="inlineStr">
        <is>
          <t>ai.health.idleTripShare</t>
        </is>
      </c>
      <c r="E2" t="inlineStr">
        <is>
          <t>ép kiểm mục tiêu / lời giải bắn, làm mới trạng thái chiến đấu, ghi 3 lý do hàng đầu</t>
        </is>
      </c>
      <c r="F2" t="inlineStr">
        <is>
          <t>WATCHDOG_IDLE_AUDIT; WATCHDOG_IDLE_TOP_REASONS</t>
        </is>
      </c>
      <c r="G2" t="inlineStr">
        <is>
          <t>Sim/AI/P5/AiHealthMonitor.cs</t>
        </is>
      </c>
      <c r="H2" t="inlineStr"/>
    </row>
    <row r="3">
      <c r="A3" t="inlineStr">
        <is>
          <t>blockedUnits</t>
        </is>
      </c>
      <c r="B3" t="inlineStr">
        <is>
          <t>blockedUnits</t>
        </is>
      </c>
      <c r="C3" t="inlineStr">
        <is>
          <t>xe mặt đất đang đi ở bậc kẹt &gt;= 3</t>
        </is>
      </c>
      <c r="D3" t="inlineStr">
        <is>
          <t>ai.health.blockedTripShare; blockedMinUnits</t>
        </is>
      </c>
      <c r="E3" t="inlineStr">
        <is>
          <t>đội có nửa thành viên kẹt: phát lại đích (điều phối giao thông chọn hành lang khác)</t>
        </is>
      </c>
      <c r="F3" t="inlineStr">
        <is>
          <t>WATCHDOG_TRAFFIC_ESCALATION</t>
        </is>
      </c>
      <c r="G3" t="inlineStr">
        <is>
          <t>Sim/AI/P5/AiHealthMonitor.cs</t>
        </is>
      </c>
      <c r="H3" t="inlineStr"/>
    </row>
    <row r="4">
      <c r="A4" t="inlineStr">
        <is>
          <t>combatAnomalies</t>
        </is>
      </c>
      <c r="B4" t="inlineStr">
        <is>
          <t>combatAnomalies</t>
        </is>
      </c>
      <c r="C4" t="inlineStr">
        <is>
          <t>CombatWatch.Anomalies</t>
        </is>
      </c>
      <c r="D4" t="inlineStr">
        <is>
          <t>-</t>
        </is>
      </c>
      <c r="E4" t="inlineStr">
        <is>
          <t>watchdog P0-A tự phục hồi</t>
        </is>
      </c>
      <c r="F4" t="inlineStr">
        <is>
          <t>WATCHDOG_COMBAT_ANOMALY</t>
        </is>
      </c>
      <c r="G4" t="inlineStr">
        <is>
          <t>Sim/AI/P5/AiHealthMonitor.cs</t>
        </is>
      </c>
      <c r="H4" t="inlineStr"/>
    </row>
    <row r="5">
      <c r="A5" t="inlineStr">
        <is>
          <t>deadlockCycles</t>
        </is>
      </c>
      <c r="B5" t="inlineStr">
        <is>
          <t>deadlockCycles</t>
        </is>
      </c>
      <c r="C5" t="inlineStr">
        <is>
          <t>Traffic.Stats.Deadlocks</t>
        </is>
      </c>
      <c r="D5" t="inlineStr">
        <is>
          <t>-</t>
        </is>
      </c>
      <c r="E5" t="inlineStr">
        <is>
          <t>P1 phá chu trình</t>
        </is>
      </c>
      <c r="F5" t="inlineStr">
        <is>
          <t>TRAFFIC_DEADLOCK_CYCLE</t>
        </is>
      </c>
      <c r="G5" t="inlineStr">
        <is>
          <t>Sim/AI/P5/AiHealthMonitor.cs</t>
        </is>
      </c>
      <c r="H5" t="inlineStr"/>
    </row>
    <row r="6">
      <c r="A6" t="inlineStr">
        <is>
          <t>lowUtilizationUnitClasses</t>
        </is>
      </c>
      <c r="B6" t="inlineStr">
        <is>
          <t>lowUtilizationUnitClasses</t>
        </is>
      </c>
      <c r="C6" t="inlineStr">
        <is>
          <t>AdaptationTracker.LowClasses (P4)</t>
        </is>
      </c>
      <c r="D6" t="inlineStr">
        <is>
          <t>ai.adaptation.lowUtilization; lowUtilizationS</t>
        </is>
      </c>
      <c r="E6" t="inlineStr">
        <is>
          <t>hệ số mua của P4 tác động</t>
        </is>
      </c>
      <c r="F6" t="inlineStr">
        <is>
          <t>WATCHDOG_LOW_UTILIZATION_CLASSES</t>
        </is>
      </c>
      <c r="G6" t="inlineStr">
        <is>
          <t>Sim/AI/P5/AiHealthMonitor.cs</t>
        </is>
      </c>
      <c r="H6" t="inlineStr"/>
    </row>
    <row r="7">
      <c r="A7" t="inlineStr">
        <is>
          <t>navalReverseAttempts</t>
        </is>
      </c>
      <c r="B7" t="inlineStr">
        <is>
          <t>navalReverseAttempts</t>
        </is>
      </c>
      <c r="C7" t="inlineStr">
        <is>
          <t>BossBrains.NavalReverseEvents + NavalReverseRefused</t>
        </is>
      </c>
      <c r="D7" t="inlineStr">
        <is>
          <t>ai.health.strictAssertions</t>
        </is>
      </c>
      <c r="E7" t="inlineStr">
        <is>
          <t>lỗi cứng khi debug; bộ điều khiển rẽ / giảm tốc / đổi làn</t>
        </is>
      </c>
      <c r="F7" t="inlineStr">
        <is>
          <t>NAVAL_REVERSE_FORBIDDEN</t>
        </is>
      </c>
      <c r="G7" t="inlineStr">
        <is>
          <t>Sim/AI/P5/AiHealthMonitor.cs</t>
        </is>
      </c>
      <c r="H7" t="inlineStr"/>
    </row>
    <row r="8">
      <c r="A8" t="inlineStr">
        <is>
          <t>noMapInfluencePurchases</t>
        </is>
      </c>
      <c r="B8" t="inlineStr">
        <is>
          <t>noMapInfluencePurchases</t>
        </is>
      </c>
      <c r="C8" t="inlineStr">
        <is>
          <t>luôn 0: thẻ không ảnh hưởng bản đồ bị loại trước khi chấm (P0-B)</t>
        </is>
      </c>
      <c r="D8" t="inlineStr">
        <is>
          <t>-</t>
        </is>
      </c>
      <c r="E8" t="inlineStr">
        <is>
          <t>-</t>
        </is>
      </c>
      <c r="F8" t="inlineStr">
        <is>
          <t>PURCHASE_NO_MAP_INFLUENCE</t>
        </is>
      </c>
      <c r="G8" t="inlineStr">
        <is>
          <t>Sim/AI/P5/AiHealthMonitor.cs</t>
        </is>
      </c>
      <c r="H8" t="inlineStr"/>
    </row>
    <row r="9">
      <c r="A9" t="inlineStr">
        <is>
          <t>ordersPerUnitPerMinute</t>
        </is>
      </c>
      <c r="B9" t="inlineStr">
        <is>
          <t>ordersPerUnitPerMinute</t>
        </is>
      </c>
      <c r="C9" t="inlineStr">
        <is>
          <t>lệnh đơn vị gửi vào thế giới / phút / xe (phe AI)</t>
        </is>
      </c>
      <c r="D9" t="inlineStr">
        <is>
          <t>-</t>
        </is>
      </c>
      <c r="E9" t="inlineStr">
        <is>
          <t>đếm</t>
        </is>
      </c>
      <c r="F9" t="inlineStr">
        <is>
          <t>-</t>
        </is>
      </c>
      <c r="G9" t="inlineStr">
        <is>
          <t>Sim/AI/P5/AiHealthMonitor.cs</t>
        </is>
      </c>
      <c r="H9" t="inlineStr"/>
    </row>
    <row r="10">
      <c r="A10" t="inlineStr">
        <is>
          <t>severeUnstuckEvents</t>
        </is>
      </c>
      <c r="B10" t="inlineStr">
        <is>
          <t>severeUnstuckEvents</t>
        </is>
      </c>
      <c r="C10" t="inlineStr">
        <is>
          <t>Traffic.Stats.SevereUnstuck</t>
        </is>
      </c>
      <c r="D10" t="inlineStr">
        <is>
          <t>(mục tiêu Part S &lt;= 1 / 10 xe-phút)</t>
        </is>
      </c>
      <c r="E10" t="inlineStr">
        <is>
          <t>đếm (P1 đã có thang gỡ kẹt)</t>
        </is>
      </c>
      <c r="F10" t="inlineStr">
        <is>
          <t>SEVERE_UNSTUCK</t>
        </is>
      </c>
      <c r="G10" t="inlineStr">
        <is>
          <t>Sim/AI/P5/AiHealthMonitor.cs</t>
        </is>
      </c>
      <c r="H10" t="inlineStr"/>
    </row>
    <row r="11">
      <c r="A11" t="inlineStr">
        <is>
          <t>squadActionSwitchesPerMinute</t>
        </is>
      </c>
      <c r="B11" t="inlineStr">
        <is>
          <t>squadActionSwitchesPerMinute</t>
        </is>
      </c>
      <c r="C11" t="inlineStr">
        <is>
          <t>DecisionLog.Totals (hành động) / phút / đội; đội đang 'churning'</t>
        </is>
      </c>
      <c r="D11" t="inlineStr">
        <is>
          <t>ai.health.churnCommitScale; churnDampS</t>
        </is>
      </c>
      <c r="E11" t="inlineStr">
        <is>
          <t>cam kết x1.5 trong 30 s</t>
        </is>
      </c>
      <c r="F11" t="inlineStr">
        <is>
          <t>WATCHDOG_CHURN_DAMPED</t>
        </is>
      </c>
      <c r="G11" t="inlineStr">
        <is>
          <t>Sim/AI/P5/AiHealthMonitor.cs</t>
        </is>
      </c>
      <c r="H11" t="inlineStr"/>
    </row>
    <row r="12">
      <c r="A12" t="inlineStr">
        <is>
          <t>squadsNoDamageSeconds</t>
        </is>
      </c>
      <c r="B12" t="inlineStr">
        <is>
          <t>squadsNoDamageSeconds</t>
        </is>
      </c>
      <c r="C12" t="inlineStr">
        <is>
          <t>đội có tiếp xúc mà không thành viên nào bắn</t>
        </is>
      </c>
      <c r="D12" t="inlineStr">
        <is>
          <t>ai.health.squadNoDamageS; contactMargin</t>
        </is>
      </c>
      <c r="E12" t="inlineStr">
        <is>
          <t>đánh giá lại hành động (idle reassess), phát lại đích (tuyến mới), chọn lại neo hỏa lực</t>
        </is>
      </c>
      <c r="F12" t="inlineStr">
        <is>
          <t>WATCHDOG_SQUAD_ZERO_UTILIZATION</t>
        </is>
      </c>
      <c r="G12" t="inlineStr">
        <is>
          <t>Sim/AI/P5/AiHealthMonitor.cs</t>
        </is>
      </c>
      <c r="H12" t="inlineStr"/>
    </row>
    <row r="13">
      <c r="A13" t="inlineStr">
        <is>
          <t>stalledObjectiveAssignments</t>
        </is>
      </c>
      <c r="B13" t="inlineStr">
        <is>
          <t>stalledObjectiveAssignments</t>
        </is>
      </c>
      <c r="C13" t="inlineStr">
        <is>
          <t>đội có mục tiêu không lại gần quá stallS</t>
        </is>
      </c>
      <c r="D13" t="inlineStr">
        <is>
          <t>ai.health.stallS; progressM; arriveRadius</t>
        </is>
      </c>
      <c r="E13" t="inlineStr">
        <is>
          <t>đánh giá lại hành động và tuyến</t>
        </is>
      </c>
      <c r="F13" t="inlineStr">
        <is>
          <t>WATCHDOG_SQUAD_STALLED_OBJECTIVE</t>
        </is>
      </c>
      <c r="G13" t="inlineStr">
        <is>
          <t>Sim/AI/P5/AiHealthMonitor.cs</t>
        </is>
      </c>
      <c r="H13" t="inlineStr"/>
    </row>
    <row r="14">
      <c r="A14" t="inlineStr">
        <is>
          <t>targetSwitchesPerMinute</t>
        </is>
      </c>
      <c r="B14" t="inlineStr">
        <is>
          <t>targetSwitchesPerMinute</t>
        </is>
      </c>
      <c r="C14" t="inlineStr">
        <is>
          <t>DecisionLog.Totals (mục tiêu) / phút / đội</t>
        </is>
      </c>
      <c r="D14" t="inlineStr">
        <is>
          <t>-</t>
        </is>
      </c>
      <c r="E14" t="inlineStr">
        <is>
          <t>đếm</t>
        </is>
      </c>
      <c r="F14" t="inlineStr">
        <is>
          <t>-</t>
        </is>
      </c>
      <c r="G14" t="inlineStr">
        <is>
          <t>Sim/AI/P5/AiHealthMonitor.cs</t>
        </is>
      </c>
      <c r="H14" t="inlineStr"/>
    </row>
  </sheetData>
  <autoFilter ref="A1:H14"/>
  <pageMargins left="0.75" right="0.75" top="1" bottom="1" header="0.5" footer="0.5"/>
</worksheet>
</file>

<file path=xl/worksheets/sheet2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49" customWidth="1" min="2" max="2"/>
    <col width="34" customWidth="1" min="3" max="3"/>
    <col width="60" customWidth="1" min="4" max="4"/>
    <col width="60" customWidth="1" min="5" max="5"/>
    <col width="10" customWidth="1" min="6" max="6"/>
  </cols>
  <sheetData>
    <row r="1">
      <c r="A1" s="1" t="inlineStr">
        <is>
          <t>id</t>
        </is>
      </c>
      <c r="B1" s="1" t="inlineStr">
        <is>
          <t>ma_nguon</t>
        </is>
      </c>
      <c r="C1" s="1" t="inlineStr">
        <is>
          <t>truong</t>
        </is>
      </c>
      <c r="D1" s="1" t="inlineStr">
        <is>
          <t>y_nghia</t>
        </is>
      </c>
      <c r="E1" s="1" t="inlineStr">
        <is>
          <t>nguon</t>
        </is>
      </c>
      <c r="F1" s="1" t="inlineStr">
        <is>
          <t>raw_json</t>
        </is>
      </c>
    </row>
    <row r="2">
      <c r="A2" t="inlineStr">
        <is>
          <t>feasibility_lane</t>
        </is>
      </c>
      <c r="B2" t="inlineStr">
        <is>
          <t>Sim/AI/EngagementFeasibility.cs Observed</t>
        </is>
      </c>
      <c r="C2" t="inlineStr">
        <is>
          <t>GameplayTopology.LaneStretch</t>
        </is>
      </c>
      <c r="D2" t="inlineStr">
        <is>
          <t>đoạn làn tàu tuần tra để chấm vùng phủ, quy tắc cũ chuyển sang lớp địa hình</t>
        </is>
      </c>
      <c r="E2" t="inlineStr">
        <is>
          <t>Assets/MachineBrigade/Scripts/Sim/AI/EngagementFeasibility.cs</t>
        </is>
      </c>
      <c r="F2" t="inlineStr"/>
    </row>
    <row r="3">
      <c r="A3" t="inlineStr">
        <is>
          <t>feasibility_size</t>
        </is>
      </c>
      <c r="B3" t="inlineStr">
        <is>
          <t>Sim/AI/EngagementFeasibility.cs Evaluate</t>
        </is>
      </c>
      <c r="C3" t="inlineStr">
        <is>
          <t>GameplayTopology.SizeClassReaches</t>
        </is>
      </c>
      <c r="D3" t="inlineStr">
        <is>
          <t>hạng xe phải lọt tuyến (maps.topology.sizeClassFeasibility, mặc định tắt: hành vi P0-B giữ nguyên)</t>
        </is>
      </c>
      <c r="E3" t="inlineStr">
        <is>
          <t>Assets/MachineBrigade/Scripts/Sim/AI/EngagementFeasibility.cs</t>
        </is>
      </c>
      <c r="F3" t="inlineStr"/>
    </row>
    <row r="4">
      <c r="A4" t="inlineStr">
        <is>
          <t>fire_support_escape</t>
        </is>
      </c>
      <c r="B4" t="inlineStr">
        <is>
          <t>Sim/AI/P2/FireSupportAnchor.cs Score</t>
        </is>
      </c>
      <c r="C4" t="inlineStr">
        <is>
          <t>GameplayTopology.EscapeRoutes</t>
        </is>
      </c>
      <c r="D4" t="inlineStr">
        <is>
          <t>lối thoát 8 hướng, 12 m</t>
        </is>
      </c>
      <c r="E4" t="inlineStr">
        <is>
          <t>Assets/MachineBrigade/Scripts/Sim/AI/P2/FireSupportAnchor.cs</t>
        </is>
      </c>
      <c r="F4" t="inlineStr"/>
    </row>
    <row r="5">
      <c r="A5" t="inlineStr">
        <is>
          <t>fire_support_parking</t>
        </is>
      </c>
      <c r="B5" t="inlineStr">
        <is>
          <t>Sim/AI/P2/FireSupportAnchor.cs Valid</t>
        </is>
      </c>
      <c r="C5" t="inlineStr">
        <is>
          <t>GameplayTopology.ParkingAllowed</t>
        </is>
      </c>
      <c r="D5" t="inlineStr">
        <is>
          <t>điểm neo pháo không đỗ ở cửa / miệng cửa</t>
        </is>
      </c>
      <c r="E5" t="inlineStr">
        <is>
          <t>Assets/MachineBrigade/Scripts/Sim/AI/P2/FireSupportAnchor.cs</t>
        </is>
      </c>
      <c r="F5" t="inlineStr"/>
    </row>
    <row r="6">
      <c r="A6" t="inlineStr">
        <is>
          <t>fire_support_traffic</t>
        </is>
      </c>
      <c r="B6" t="inlineStr">
        <is>
          <t>Sim/AI/P2/FireSupportAnchor.cs Score</t>
        </is>
      </c>
      <c r="C6" t="inlineStr">
        <is>
          <t>GameplayTopology.TransitConflict</t>
        </is>
      </c>
      <c r="D6" t="inlineStr">
        <is>
          <t>phạt đỗ trên tuyến chính / đường</t>
        </is>
      </c>
      <c r="E6" t="inlineStr">
        <is>
          <t>Assets/MachineBrigade/Scripts/Sim/AI/P2/FireSupportAnchor.cs</t>
        </is>
      </c>
      <c r="F6" t="inlineStr"/>
    </row>
    <row r="7">
      <c r="A7" t="inlineStr">
        <is>
          <t>fire_support_transit_count</t>
        </is>
      </c>
      <c r="B7" t="inlineStr">
        <is>
          <t>Sim/AI/P2/FireSupportAnchor.cs Set</t>
        </is>
      </c>
      <c r="C7" t="inlineStr">
        <is>
          <t>MapTelemetry.AnchorSet</t>
        </is>
      </c>
      <c r="D7" t="inlineStr">
        <is>
          <t>đếm neo pháo, neo trong vùng cấm (spec BW 7)</t>
        </is>
      </c>
      <c r="E7" t="inlineStr">
        <is>
          <t>Assets/MachineBrigade/Scripts/Sim/AI/P2/FireSupportAnchor.cs</t>
        </is>
      </c>
      <c r="F7" t="inlineStr"/>
    </row>
    <row r="8">
      <c r="A8" t="inlineStr">
        <is>
          <t>traffic_passages</t>
        </is>
      </c>
      <c r="B8" t="inlineStr">
        <is>
          <t>Sim/Movement/TrafficCoordinator.cs BuildPassages</t>
        </is>
      </c>
      <c r="C8" t="inlineStr">
        <is>
          <t>GameplayTopology.Chokes</t>
        </is>
      </c>
      <c r="D8" t="inlineStr">
        <is>
          <t>lối giao thông (cổng, nghẽn, cầu, đường hẹp) lấy từ điểm nghẽn chiến thuật; số đo chuyển nguyên từ BuildDoorways / BuildChokes</t>
        </is>
      </c>
      <c r="E8" t="inlineStr">
        <is>
          <t>Assets/MachineBrigade/Scripts/Sim/Movement/TrafficCoordinator.cs</t>
        </is>
      </c>
      <c r="F8" t="inlineStr"/>
    </row>
  </sheetData>
  <autoFilter ref="A1:F8"/>
  <pageMargins left="0.75" right="0.75" top="1" bottom="1" header="0.5" footer="0.5"/>
</worksheet>
</file>

<file path=xl/worksheets/sheet2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42" customWidth="1" min="3" max="3"/>
    <col width="19" customWidth="1" min="4" max="4"/>
    <col width="14" customWidth="1" min="5" max="5"/>
    <col width="10" customWidth="1" min="6" max="6"/>
    <col width="21" customWidth="1" min="7" max="7"/>
    <col width="45" customWidth="1" min="8" max="8"/>
    <col width="46" customWidth="1" min="9" max="9"/>
    <col width="17" customWidth="1" min="10" max="10"/>
    <col width="60" customWidth="1" min="11" max="11"/>
    <col width="60" customWidth="1" min="12" max="12"/>
    <col width="12" customWidth="1" min="13" max="13"/>
    <col width="24" customWidth="1" min="14" max="14"/>
    <col width="14" customWidth="1" min="15" max="15"/>
    <col width="60" customWidth="1" min="16" max="16"/>
    <col width="37" customWidth="1" min="17" max="17"/>
    <col width="60" customWidth="1" min="18" max="18"/>
    <col width="60" customWidth="1" min="19" max="19"/>
    <col width="14" customWidth="1" min="20" max="20"/>
    <col width="60" customWidth="1" min="21" max="21"/>
    <col width="10" customWidth="1" min="22" max="22"/>
  </cols>
  <sheetData>
    <row r="1">
      <c r="A1" s="1" t="inlineStr">
        <is>
          <t>id</t>
        </is>
      </c>
      <c r="B1" s="1" t="inlineStr">
        <is>
          <t>entity_id</t>
        </is>
      </c>
      <c r="C1" s="1" t="inlineStr">
        <is>
          <t>ten_hien_thi</t>
        </is>
      </c>
      <c r="D1" s="1" t="inlineStr">
        <is>
          <t>loai_tham_chieu</t>
        </is>
      </c>
      <c r="E1" s="1" t="inlineStr">
        <is>
          <t>ten_mau_that</t>
        </is>
      </c>
      <c r="F1" s="1" t="inlineStr">
        <is>
          <t>quoc_gia</t>
        </is>
      </c>
      <c r="G1" s="1" t="inlineStr">
        <is>
          <t>nam_dua_vao_su_dung</t>
        </is>
      </c>
      <c r="H1" s="1" t="inlineStr">
        <is>
          <t>ten_game</t>
        </is>
      </c>
      <c r="I1" s="1" t="inlineStr">
        <is>
          <t>co_che_game</t>
        </is>
      </c>
      <c r="J1" s="1" t="inlineStr">
        <is>
          <t>ten_phim_truyen</t>
        </is>
      </c>
      <c r="K1" s="1" t="inlineStr">
        <is>
          <t>diem_giong</t>
        </is>
      </c>
      <c r="L1" s="1" t="inlineStr">
        <is>
          <t>diem_khac_co_chu_dich</t>
        </is>
      </c>
      <c r="M1" s="1" t="inlineStr">
        <is>
          <t>ly_do_khac</t>
        </is>
      </c>
      <c r="N1" s="1" t="inlineStr">
        <is>
          <t>cam_giac_khac_khi_choi</t>
        </is>
      </c>
      <c r="O1" s="1" t="inlineStr">
        <is>
          <t>do_tin_cay</t>
        </is>
      </c>
      <c r="P1" s="1" t="inlineStr">
        <is>
          <t>nguon_id</t>
        </is>
      </c>
      <c r="Q1" s="1" t="inlineStr">
        <is>
          <t>ly_do</t>
        </is>
      </c>
      <c r="R1" s="1" t="inlineStr">
        <is>
          <t>ghi_chu_ban_quyen</t>
        </is>
      </c>
      <c r="S1" s="1" t="inlineStr">
        <is>
          <t>hoc_thuyet_quan_su</t>
        </is>
      </c>
      <c r="T1" s="1" t="inlineStr">
        <is>
          <t>kieu_chi_huy</t>
        </is>
      </c>
      <c r="U1" s="1" t="inlineStr">
        <is>
          <t>nguon</t>
        </is>
      </c>
      <c r="V1" s="1" t="inlineStr">
        <is>
          <t>raw_json</t>
        </is>
      </c>
    </row>
    <row r="2">
      <c r="A2" t="inlineStr">
        <is>
          <t>chien_thuat/air_superiority</t>
        </is>
      </c>
      <c r="B2" t="inlineStr">
        <is>
          <t>air_superiority</t>
        </is>
      </c>
      <c r="C2" t="inlineStr">
        <is>
          <t>Ưu thế trên không</t>
        </is>
      </c>
      <c r="D2" t="inlineStr">
        <is>
          <t>hoc_thuyet_quan_su</t>
        </is>
      </c>
      <c r="E2" t="inlineStr"/>
      <c r="F2" t="inlineStr"/>
      <c r="G2" t="inlineStr"/>
      <c r="H2" t="inlineStr">
        <is>
          <t>Hearts of Iron IV;Ace Combat</t>
        </is>
      </c>
      <c r="I2" t="inlineStr">
        <is>
          <t>air superiority;chọn chiến thuật</t>
        </is>
      </c>
      <c r="J2" t="inlineStr"/>
      <c r="K2" t="inlineStr">
        <is>
          <t>Tạo cửa sổ trên không rồi mới đưa đội mặt đất</t>
        </is>
      </c>
      <c r="L2" t="inlineStr">
        <is>
          <t>Tướng AI mua tiêm kích và phòng không trước; đội mặt đất chờ tới khi máy bay địch bị hạ hoặc rút; máy bay cường kích chỉ vào khi phòng không địch đã yếu</t>
        </is>
      </c>
      <c r="M2" t="inlineStr"/>
      <c r="N2" t="inlineStr"/>
      <c r="O2" t="inlineStr">
        <is>
          <t>da_kiem_chung</t>
        </is>
      </c>
      <c r="P2" t="inlineStr">
        <is>
          <t>R_machine_brigade_ai_research;D_hearts_of_iron_iv_land_doctrine</t>
        </is>
      </c>
      <c r="Q2" t="inlineStr"/>
      <c r="R2" t="inlineStr">
        <is>
          <t>chỉ ở mức ý tưởng và thông số (sự kiện); không dùng tên, logo, văn bản, ảnh hay mô hình có bản quyền; tên và phù hiệu quốc gia thật không hiện cho người chơi</t>
        </is>
      </c>
      <c r="S2" t="inlineStr">
        <is>
          <t>Ưu thế trên không</t>
        </is>
      </c>
      <c r="U2" t="inlineStr">
        <is>
          <t>Docs/ai/Machine_Brigade_AI_Research.xlsx: Chiến thuật 'Ưu thế trên không'</t>
        </is>
      </c>
      <c r="V2" t="inlineStr"/>
    </row>
    <row r="3">
      <c r="A3" t="inlineStr">
        <is>
          <t>chien_thuat/all_out</t>
        </is>
      </c>
      <c r="B3" t="inlineStr">
        <is>
          <t>all_out</t>
        </is>
      </c>
      <c r="C3" t="inlineStr">
        <is>
          <t>Tổng tấn công</t>
        </is>
      </c>
      <c r="D3" t="inlineStr">
        <is>
          <t>hoc_thuyet_quan_su</t>
        </is>
      </c>
      <c r="E3" t="inlineStr"/>
      <c r="F3" t="inlineStr"/>
      <c r="G3" t="inlineStr"/>
      <c r="H3" t="inlineStr">
        <is>
          <t>StarCraft</t>
        </is>
      </c>
      <c r="I3" t="inlineStr">
        <is>
          <t>timing attack</t>
        </is>
      </c>
      <c r="J3" t="inlineStr"/>
      <c r="K3" t="inlineStr">
        <is>
          <t>Để dành rồi tung một đợt lớn cùng lúc</t>
        </is>
      </c>
      <c r="L3" t="inlineStr">
        <is>
          <t>Tướng AI để dành CP tới ngưỡng rồi mua cả đợt; mọi đội cùng tấn công; thẻ hỗ trợ dồn cùng lúc</t>
        </is>
      </c>
      <c r="M3" t="inlineStr"/>
      <c r="N3" t="inlineStr"/>
      <c r="O3" t="inlineStr">
        <is>
          <t>ban_dau_doan</t>
        </is>
      </c>
      <c r="P3" t="inlineStr">
        <is>
          <t>R_machine_brigade_ai_research</t>
        </is>
      </c>
      <c r="Q3" t="inlineStr"/>
      <c r="R3" t="inlineStr">
        <is>
          <t>chỉ ở mức ý tưởng và thông số (sự kiện); không dùng tên, logo, văn bản, ảnh hay mô hình có bản quyền; tên và phù hiệu quốc gia thật không hiện cho người chơi</t>
        </is>
      </c>
      <c r="S3" t="inlineStr">
        <is>
          <t>Tập trung lực lượng, đòn quyết định</t>
        </is>
      </c>
      <c r="U3" t="inlineStr">
        <is>
          <t>Docs/ai/Machine_Brigade_AI_Research.xlsx: Chiến thuật 'Tổng tấn công'</t>
        </is>
      </c>
      <c r="V3" t="inlineStr"/>
    </row>
    <row r="4">
      <c r="A4" t="inlineStr">
        <is>
          <t>chien_thuat/ambush</t>
        </is>
      </c>
      <c r="B4" t="inlineStr">
        <is>
          <t>ambush</t>
        </is>
      </c>
      <c r="C4" t="inlineStr">
        <is>
          <t>Phục kích</t>
        </is>
      </c>
      <c r="D4" t="inlineStr">
        <is>
          <t>hoc_thuyet_quan_su</t>
        </is>
      </c>
      <c r="E4" t="inlineStr"/>
      <c r="F4" t="inlineStr"/>
      <c r="G4" t="inlineStr"/>
      <c r="H4" t="inlineStr">
        <is>
          <t>Command: Modern Operations;Company of Heroes</t>
        </is>
      </c>
      <c r="I4" t="inlineStr">
        <is>
          <t>Weapons HOLD/TIGHT;chọn chiến thuật</t>
        </is>
      </c>
      <c r="J4" t="inlineStr"/>
      <c r="K4" t="inlineStr">
        <is>
          <t>Ẩn và kỷ luật hỏa lực, phát đầu đồng loạt</t>
        </is>
      </c>
      <c r="L4" t="inlineStr">
        <is>
          <t>Đội dừng ở chỗ có vật che; giữ lửa tới khi địch vào ~60% tầm hoặc bị phát hiện; phát đầu đồng loạt; xe tàng hình được lợi</t>
        </is>
      </c>
      <c r="M4" t="inlineStr"/>
      <c r="N4" t="inlineStr"/>
      <c r="O4" t="inlineStr">
        <is>
          <t>da_kiem_chung</t>
        </is>
      </c>
      <c r="P4" t="inlineStr">
        <is>
          <t>R_machine_brigade_ai_research;D_command_modern_operations_weapon_release_aut</t>
        </is>
      </c>
      <c r="Q4" t="inlineStr"/>
      <c r="R4" t="inlineStr">
        <is>
          <t>chỉ ở mức ý tưởng và thông số (sự kiện); không dùng tên, logo, văn bản, ảnh hay mô hình có bản quyền; tên và phù hiệu quốc gia thật không hiện cho người chơi</t>
        </is>
      </c>
      <c r="S4" t="inlineStr">
        <is>
          <t>Phục kích, giữ lửa</t>
        </is>
      </c>
      <c r="U4" t="inlineStr">
        <is>
          <t>Docs/ai/Machine_Brigade_AI_Research.xlsx: Chiến thuật 'Phục kích'</t>
        </is>
      </c>
      <c r="V4" t="inlineStr"/>
    </row>
    <row r="5">
      <c r="A5" t="inlineStr">
        <is>
          <t>chien_thuat/attrition</t>
        </is>
      </c>
      <c r="B5" t="inlineStr">
        <is>
          <t>attrition</t>
        </is>
      </c>
      <c r="C5" t="inlineStr">
        <is>
          <t>Tiêu hao</t>
        </is>
      </c>
      <c r="D5" t="inlineStr">
        <is>
          <t>hoc_thuyet_quan_su</t>
        </is>
      </c>
      <c r="E5" t="inlineStr"/>
      <c r="F5" t="inlineStr"/>
      <c r="G5" t="inlineStr"/>
      <c r="H5" t="inlineStr">
        <is>
          <t>Hearts of Iron IV</t>
        </is>
      </c>
      <c r="I5" t="inlineStr">
        <is>
          <t>Attrition</t>
        </is>
      </c>
      <c r="J5" t="inlineStr"/>
      <c r="K5" t="inlineStr">
        <is>
          <t>Đổi lãnh thổ lấy thời gian, quấy rối từ xa</t>
        </is>
      </c>
      <c r="L5" t="inlineStr">
        <is>
          <t>Ngưỡng tấn công 1,5 lần; ưu tiên vũ khí tầm xa và giữ khoảng cách</t>
        </is>
      </c>
      <c r="M5" t="inlineStr"/>
      <c r="N5" t="inlineStr"/>
      <c r="O5" t="inlineStr">
        <is>
          <t>da_kiem_chung</t>
        </is>
      </c>
      <c r="P5" t="inlineStr">
        <is>
          <t>R_machine_brigade_ai_research;D_hearts_of_iron_iv_land_doctrine</t>
        </is>
      </c>
      <c r="Q5" t="inlineStr"/>
      <c r="R5" t="inlineStr">
        <is>
          <t>chỉ ở mức ý tưởng và thông số (sự kiện); không dùng tên, logo, văn bản, ảnh hay mô hình có bản quyền; tên và phù hiệu quốc gia thật không hiện cho người chơi</t>
        </is>
      </c>
      <c r="S5" t="inlineStr">
        <is>
          <t>Chiến tranh tiêu hao</t>
        </is>
      </c>
      <c r="U5" t="inlineStr">
        <is>
          <t>Docs/ai/Machine_Brigade_AI_Research.xlsx: Chiến thuật 'Tiêu hao'</t>
        </is>
      </c>
      <c r="V5" t="inlineStr"/>
    </row>
    <row r="6">
      <c r="A6" t="inlineStr">
        <is>
          <t>chien_thuat/balanced</t>
        </is>
      </c>
      <c r="B6" t="inlineStr">
        <is>
          <t>balanced</t>
        </is>
      </c>
      <c r="C6" t="inlineStr">
        <is>
          <t>Cân bằng</t>
        </is>
      </c>
      <c r="D6" t="inlineStr">
        <is>
          <t>hoc_thuyet_quan_su</t>
        </is>
      </c>
      <c r="E6" t="inlineStr"/>
      <c r="F6" t="inlineStr"/>
      <c r="G6" t="inlineStr"/>
      <c r="H6" t="inlineStr"/>
      <c r="I6" t="inlineStr"/>
      <c r="J6" t="inlineStr"/>
      <c r="K6" t="inlineStr">
        <is>
          <t>Phối hợp nhiều vai trò, không thiên lệch</t>
        </is>
      </c>
      <c r="L6" t="inlineStr">
        <is>
          <t>Không đổi tham số</t>
        </is>
      </c>
      <c r="M6" t="inlineStr"/>
      <c r="N6" t="inlineStr"/>
      <c r="O6" t="inlineStr">
        <is>
          <t>ban_dau_doan</t>
        </is>
      </c>
      <c r="P6" t="inlineStr">
        <is>
          <t>R_machine_brigade_ai_research</t>
        </is>
      </c>
      <c r="Q6" t="inlineStr"/>
      <c r="R6" t="inlineStr">
        <is>
          <t>chỉ ở mức ý tưởng và thông số (sự kiện); không dùng tên, logo, văn bản, ảnh hay mô hình có bản quyền; tên và phù hiệu quốc gia thật không hiện cho người chơi</t>
        </is>
      </c>
      <c r="S6" t="inlineStr">
        <is>
          <t>Vũ khí phối hợp (combined arms)</t>
        </is>
      </c>
      <c r="U6" t="inlineStr">
        <is>
          <t>Docs/ai/Machine_Brigade_AI_Research.xlsx: Chiến thuật 'Cân bằng'</t>
        </is>
      </c>
      <c r="V6" t="inlineStr"/>
    </row>
    <row r="7">
      <c r="A7" t="inlineStr">
        <is>
          <t>chien_thuat/base_defence</t>
        </is>
      </c>
      <c r="B7" t="inlineStr">
        <is>
          <t>base_defence</t>
        </is>
      </c>
      <c r="C7" t="inlineStr">
        <is>
          <t>Bảo vệ căn cứ</t>
        </is>
      </c>
      <c r="D7" t="inlineStr">
        <is>
          <t>hoc_thuyet_quan_su</t>
        </is>
      </c>
      <c r="E7" t="inlineStr"/>
      <c r="F7" t="inlineStr"/>
      <c r="G7" t="inlineStr"/>
      <c r="H7" t="inlineStr">
        <is>
          <t>Tower defense;C&amp;C</t>
        </is>
      </c>
      <c r="I7" t="inlineStr">
        <is>
          <t>chọn chiến thuật</t>
        </is>
      </c>
      <c r="J7" t="inlineStr"/>
      <c r="K7" t="inlineStr">
        <is>
          <t>Giữ quanh căn cứ và tháp</t>
        </is>
      </c>
      <c r="L7" t="inlineStr">
        <is>
          <t>Đội giữ trong vùng căn cứ; tháp ưu tiên chế độ Đầu đoàn; mua quân phòng thủ</t>
        </is>
      </c>
      <c r="M7" t="inlineStr"/>
      <c r="N7" t="inlineStr"/>
      <c r="O7" t="inlineStr">
        <is>
          <t>ban_dau_doan</t>
        </is>
      </c>
      <c r="P7" t="inlineStr">
        <is>
          <t>R_machine_brigade_ai_research</t>
        </is>
      </c>
      <c r="Q7" t="inlineStr"/>
      <c r="R7" t="inlineStr">
        <is>
          <t>chỉ ở mức ý tưởng và thông số (sự kiện); không dùng tên, logo, văn bản, ảnh hay mô hình có bản quyền; tên và phù hiệu quốc gia thật không hiện cho người chơi</t>
        </is>
      </c>
      <c r="S7" t="inlineStr">
        <is>
          <t>Phòng thủ cố định</t>
        </is>
      </c>
      <c r="U7" t="inlineStr">
        <is>
          <t>Docs/ai/Machine_Brigade_AI_Research.xlsx: Chiến thuật 'Bảo vệ căn cứ'</t>
        </is>
      </c>
      <c r="V7" t="inlineStr"/>
    </row>
    <row r="8">
      <c r="A8" t="inlineStr">
        <is>
          <t>chien_thuat/blitz</t>
        </is>
      </c>
      <c r="B8" t="inlineStr">
        <is>
          <t>blitz</t>
        </is>
      </c>
      <c r="C8" t="inlineStr">
        <is>
          <t>Tấn công chớp nhoáng</t>
        </is>
      </c>
      <c r="D8" t="inlineStr">
        <is>
          <t>hoc_thuyet_quan_su</t>
        </is>
      </c>
      <c r="E8" t="inlineStr"/>
      <c r="F8" t="inlineStr"/>
      <c r="G8" t="inlineStr"/>
      <c r="H8" t="inlineStr">
        <is>
          <t>Hearts of Iron IV</t>
        </is>
      </c>
      <c r="I8" t="inlineStr">
        <is>
          <t>Mobile Warfare, chiến thuật Unexpected Thrust</t>
        </is>
      </c>
      <c r="J8" t="inlineStr"/>
      <c r="K8" t="inlineStr">
        <is>
          <t>Giữ đà tiến, đánh trước khi địch kịp dựng phòng tuyến</t>
        </is>
      </c>
      <c r="L8" t="inlineStr">
        <is>
          <t>Ngưỡng tấn công 1,2 → 0,9 lần sức mạnh địch; đội không chờ xe chậm; xe nhanh được ưu tiên mua</t>
        </is>
      </c>
      <c r="M8" t="inlineStr"/>
      <c r="N8" t="inlineStr"/>
      <c r="O8" t="inlineStr">
        <is>
          <t>da_kiem_chung</t>
        </is>
      </c>
      <c r="P8" t="inlineStr">
        <is>
          <t>R_machine_brigade_ai_research;D_hearts_of_iron_iv_land_doctrine</t>
        </is>
      </c>
      <c r="Q8" t="inlineStr"/>
      <c r="R8" t="inlineStr">
        <is>
          <t>chỉ ở mức ý tưởng và thông số (sự kiện); không dùng tên, logo, văn bản, ảnh hay mô hình có bản quyền; tên và phù hiệu quốc gia thật không hiện cho người chơi</t>
        </is>
      </c>
      <c r="S8" t="inlineStr">
        <is>
          <t>Chiến tranh cơ động</t>
        </is>
      </c>
      <c r="U8" t="inlineStr">
        <is>
          <t>Docs/ai/Machine_Brigade_AI_Research.xlsx: Chiến thuật 'Tấn công chớp nhoáng'</t>
        </is>
      </c>
      <c r="V8" t="inlineStr"/>
    </row>
    <row r="9">
      <c r="A9" t="inlineStr">
        <is>
          <t>chien_thuat/bounding</t>
        </is>
      </c>
      <c r="B9" t="inlineStr">
        <is>
          <t>bounding</t>
        </is>
      </c>
      <c r="C9" t="inlineStr">
        <is>
          <t>Yểm hộ luân phiên</t>
        </is>
      </c>
      <c r="D9" t="inlineStr">
        <is>
          <t>hoc_thuyet_quan_su</t>
        </is>
      </c>
      <c r="E9" t="inlineStr"/>
      <c r="F9" t="inlineStr"/>
      <c r="G9" t="inlineStr"/>
      <c r="H9" t="inlineStr">
        <is>
          <t>Steel Beasts;ArmA</t>
        </is>
      </c>
      <c r="I9" t="inlineStr">
        <is>
          <t>chọn chiến thuật</t>
        </is>
      </c>
      <c r="J9" t="inlineStr"/>
      <c r="K9" t="inlineStr">
        <is>
          <t>Tiến chậm, an toàn, một nhóm luôn yểm hộ</t>
        </is>
      </c>
      <c r="L9" t="inlineStr">
        <is>
          <t>Đội chia 2 nhóm; nhóm tiến không vượt quá tầm yểm hộ của nhóm dừng; tốc độ tiến giảm ~30%</t>
        </is>
      </c>
      <c r="M9" t="inlineStr"/>
      <c r="N9" t="inlineStr"/>
      <c r="O9" t="inlineStr">
        <is>
          <t>da_kiem_chung</t>
        </is>
      </c>
      <c r="P9" t="inlineStr">
        <is>
          <t>R_machine_brigade_ai_research;W_bounding_overwatch</t>
        </is>
      </c>
      <c r="Q9" t="inlineStr"/>
      <c r="R9" t="inlineStr">
        <is>
          <t>chỉ ở mức ý tưởng và thông số (sự kiện); không dùng tên, logo, văn bản, ảnh hay mô hình có bản quyền; tên và phù hiệu quốc gia thật không hiện cho người chơi</t>
        </is>
      </c>
      <c r="S9" t="inlineStr">
        <is>
          <t>Bounding overwatch</t>
        </is>
      </c>
      <c r="U9" t="inlineStr">
        <is>
          <t>Docs/ai/Machine_Brigade_AI_Research.xlsx: Chiến thuật 'Yểm hộ luân phiên'</t>
        </is>
      </c>
      <c r="V9" t="inlineStr"/>
    </row>
    <row r="10">
      <c r="A10" t="inlineStr">
        <is>
          <t>chien_thuat/breakthrough</t>
        </is>
      </c>
      <c r="B10" t="inlineStr">
        <is>
          <t>breakthrough</t>
        </is>
      </c>
      <c r="C10" t="inlineStr">
        <is>
          <t>Tập trung đột phá</t>
        </is>
      </c>
      <c r="D10" t="inlineStr">
        <is>
          <t>hoc_thuyet_quan_su</t>
        </is>
      </c>
      <c r="E10" t="inlineStr"/>
      <c r="F10" t="inlineStr"/>
      <c r="G10" t="inlineStr"/>
      <c r="H10" t="inlineStr">
        <is>
          <t>Hearts of Iron IV;Total War</t>
        </is>
      </c>
      <c r="I10" t="inlineStr">
        <is>
          <t>chiến thuật Breakthrough;chọn chiến thuật</t>
        </is>
      </c>
      <c r="J10" t="inlineStr"/>
      <c r="K10" t="inlineStr">
        <is>
          <t>Dồn gần hết quân vào một điểm để chọc thủng</t>
        </is>
      </c>
      <c r="L10" t="inlineStr">
        <is>
          <t>Tướng AI dồn ≥ 70% quân vào một hướng; xe hạng nặng đi đầu; bỏ giữ các điểm phụ</t>
        </is>
      </c>
      <c r="M10" t="inlineStr"/>
      <c r="N10" t="inlineStr"/>
      <c r="O10" t="inlineStr">
        <is>
          <t>da_kiem_chung</t>
        </is>
      </c>
      <c r="P10" t="inlineStr">
        <is>
          <t>R_machine_brigade_ai_research;D_hearts_of_iron_iv_land_doctrine</t>
        </is>
      </c>
      <c r="Q10" t="inlineStr"/>
      <c r="R10" t="inlineStr">
        <is>
          <t>chỉ ở mức ý tưởng và thông số (sự kiện); không dùng tên, logo, văn bản, ảnh hay mô hình có bản quyền; tên và phù hiệu quốc gia thật không hiện cho người chơi</t>
        </is>
      </c>
      <c r="S10" t="inlineStr">
        <is>
          <t>Schwerpunkt (điểm trọng tâm)</t>
        </is>
      </c>
      <c r="U10" t="inlineStr">
        <is>
          <t>Docs/ai/Machine_Brigade_AI_Research.xlsx: Chiến thuật 'Tập trung đột phá'</t>
        </is>
      </c>
      <c r="V10" t="inlineStr"/>
    </row>
    <row r="11">
      <c r="A11" t="inlineStr">
        <is>
          <t>chien_thuat/decapitation</t>
        </is>
      </c>
      <c r="B11" t="inlineStr">
        <is>
          <t>decapitation</t>
        </is>
      </c>
      <c r="C11" t="inlineStr">
        <is>
          <t>Săn đầu</t>
        </is>
      </c>
      <c r="D11" t="inlineStr">
        <is>
          <t>hoc_thuyet_quan_su</t>
        </is>
      </c>
      <c r="E11" t="inlineStr"/>
      <c r="F11" t="inlineStr"/>
      <c r="G11" t="inlineStr"/>
      <c r="H11" t="inlineStr">
        <is>
          <t>Company of Heroes;WARNO</t>
        </is>
      </c>
      <c r="I11" t="inlineStr">
        <is>
          <t>chọn chiến thuật</t>
        </is>
      </c>
      <c r="J11" t="inlineStr"/>
      <c r="K11" t="inlineStr">
        <is>
          <t>Đánh sâu vào hỗ trợ, pháo, chỉ huy</t>
        </is>
      </c>
      <c r="L11" t="inlineStr">
        <is>
          <t>Ưu tiên mục tiêu: xe hỗ trợ, pháo, xe chỉ huy, radar; đội đánh sườn sâu</t>
        </is>
      </c>
      <c r="M11" t="inlineStr"/>
      <c r="N11" t="inlineStr"/>
      <c r="O11" t="inlineStr">
        <is>
          <t>ban_dau_doan</t>
        </is>
      </c>
      <c r="P11" t="inlineStr">
        <is>
          <t>R_machine_brigade_ai_research</t>
        </is>
      </c>
      <c r="Q11" t="inlineStr"/>
      <c r="R11" t="inlineStr">
        <is>
          <t>chỉ ở mức ý tưởng và thông số (sự kiện); không dùng tên, logo, văn bản, ảnh hay mô hình có bản quyền; tên và phù hiệu quốc gia thật không hiện cho người chơi</t>
        </is>
      </c>
      <c r="S11" t="inlineStr">
        <is>
          <t>Đánh vào chỉ huy và hậu cần (decapitation)</t>
        </is>
      </c>
      <c r="U11" t="inlineStr">
        <is>
          <t>Docs/ai/Machine_Brigade_AI_Research.xlsx: Chiến thuật 'Săn đầu'</t>
        </is>
      </c>
      <c r="V11" t="inlineStr"/>
    </row>
    <row r="12">
      <c r="A12" t="inlineStr">
        <is>
          <t>chien_thuat/depth</t>
        </is>
      </c>
      <c r="B12" t="inlineStr">
        <is>
          <t>depth</t>
        </is>
      </c>
      <c r="C12" t="inlineStr">
        <is>
          <t>Phòng thủ chiều sâu</t>
        </is>
      </c>
      <c r="D12" t="inlineStr">
        <is>
          <t>hoc_thuyet_quan_su</t>
        </is>
      </c>
      <c r="E12" t="inlineStr"/>
      <c r="F12" t="inlineStr"/>
      <c r="G12" t="inlineStr"/>
      <c r="H12" t="inlineStr">
        <is>
          <t>Hearts of Iron IV</t>
        </is>
      </c>
      <c r="I12" t="inlineStr">
        <is>
          <t>Elastic Defense</t>
        </is>
      </c>
      <c r="J12" t="inlineStr"/>
      <c r="K12" t="inlineStr">
        <is>
          <t>Hấp thụ đợt tấn công qua nhiều tuyến, rồi phản công</t>
        </is>
      </c>
      <c r="L12" t="inlineStr">
        <is>
          <t>Đội giữ điểm gần tháp; khi tuyến trước thất thủ (sức mạnh ta dưới 0,6 lần địch trong vùng) cả đội chuyển về tuyến sau, không xe nào rút riêng theo máu; phản công khi sức mạnh ta ≥ 1,3 lần trong vùng</t>
        </is>
      </c>
      <c r="M12" t="inlineStr"/>
      <c r="N12" t="inlineStr"/>
      <c r="O12" t="inlineStr">
        <is>
          <t>da_kiem_chung</t>
        </is>
      </c>
      <c r="P12" t="inlineStr">
        <is>
          <t>R_machine_brigade_ai_research;D_hearts_of_iron_iv_land_doctrine</t>
        </is>
      </c>
      <c r="Q12" t="inlineStr"/>
      <c r="R12" t="inlineStr">
        <is>
          <t>chỉ ở mức ý tưởng và thông số (sự kiện); không dùng tên, logo, văn bản, ảnh hay mô hình có bản quyền; tên và phù hiệu quốc gia thật không hiện cho người chơi</t>
        </is>
      </c>
      <c r="S12" t="inlineStr">
        <is>
          <t>Phòng thủ đàn hồi (elastic defense)</t>
        </is>
      </c>
      <c r="U12" t="inlineStr">
        <is>
          <t>Docs/ai/Machine_Brigade_AI_Research.xlsx: Chiến thuật 'Phòng thủ chiều sâu'</t>
        </is>
      </c>
      <c r="V12" t="inlineStr"/>
    </row>
    <row r="13">
      <c r="A13" t="inlineStr">
        <is>
          <t>chien_thuat/dispersal</t>
        </is>
      </c>
      <c r="B13" t="inlineStr">
        <is>
          <t>dispersal</t>
        </is>
      </c>
      <c r="C13" t="inlineStr">
        <is>
          <t>Phân tán</t>
        </is>
      </c>
      <c r="D13" t="inlineStr">
        <is>
          <t>hoc_thuyet_quan_su</t>
        </is>
      </c>
      <c r="E13" t="inlineStr"/>
      <c r="F13" t="inlineStr"/>
      <c r="G13" t="inlineStr"/>
      <c r="H13" t="inlineStr">
        <is>
          <t>Supreme Commander</t>
        </is>
      </c>
      <c r="I13" t="inlineStr">
        <is>
          <t>chọn chiến thuật</t>
        </is>
      </c>
      <c r="J13" t="inlineStr"/>
      <c r="K13" t="inlineStr">
        <is>
          <t>Dàn rộng để vô hiệu bắn lan và siêu vũ khí (tham khảo khác: chiến sự drone hiện đại)</t>
        </is>
      </c>
      <c r="L13" t="inlineStr">
        <is>
          <t>Khoảng cách tối thiểu giữa xe ×2; giảm dồn hỏa lực; né cảnh báo sớm hơn</t>
        </is>
      </c>
      <c r="M13" t="inlineStr"/>
      <c r="N13" t="inlineStr"/>
      <c r="O13" t="inlineStr">
        <is>
          <t>ban_dau_doan</t>
        </is>
      </c>
      <c r="P13" t="inlineStr">
        <is>
          <t>R_machine_brigade_ai_research</t>
        </is>
      </c>
      <c r="Q13" t="inlineStr"/>
      <c r="R13" t="inlineStr">
        <is>
          <t>chỉ ở mức ý tưởng và thông số (sự kiện); không dùng tên, logo, văn bản, ảnh hay mô hình có bản quyền; tên và phù hiệu quốc gia thật không hiện cho người chơi</t>
        </is>
      </c>
      <c r="S13" t="inlineStr">
        <is>
          <t>Phân tán chống hỏa lực</t>
        </is>
      </c>
      <c r="U13" t="inlineStr">
        <is>
          <t>Docs/ai/Machine_Brigade_AI_Research.xlsx: Chiến thuật 'Phân tán'</t>
        </is>
      </c>
      <c r="V13" t="inlineStr"/>
    </row>
    <row r="14">
      <c r="A14" t="inlineStr">
        <is>
          <t>chien_thuat/encircle</t>
        </is>
      </c>
      <c r="B14" t="inlineStr">
        <is>
          <t>encircle</t>
        </is>
      </c>
      <c r="C14" t="inlineStr">
        <is>
          <t>Bao vây</t>
        </is>
      </c>
      <c r="D14" t="inlineStr">
        <is>
          <t>hoc_thuyet_quan_su</t>
        </is>
      </c>
      <c r="E14" t="inlineStr"/>
      <c r="F14" t="inlineStr"/>
      <c r="G14" t="inlineStr"/>
      <c r="H14" t="inlineStr">
        <is>
          <t>Total War;Hearts of Iron IV</t>
        </is>
      </c>
      <c r="I14" t="inlineStr">
        <is>
          <t>đánh sườn;Encirclement</t>
        </is>
      </c>
      <c r="J14" t="inlineStr"/>
      <c r="K14" t="inlineStr">
        <is>
          <t>Đánh hai hướng cùng lúc vào hông và sau</t>
        </is>
      </c>
      <c r="L14" t="inlineStr">
        <is>
          <t>Tướng AI chia 2–3 đội theo hai hướng; trọng số đánh sườn tăng; hẹn giờ cho các đội cùng chạm địch</t>
        </is>
      </c>
      <c r="M14" t="inlineStr"/>
      <c r="N14" t="inlineStr"/>
      <c r="O14" t="inlineStr">
        <is>
          <t>da_kiem_chung</t>
        </is>
      </c>
      <c r="P14" t="inlineStr">
        <is>
          <t>R_machine_brigade_ai_research;D_hearts_of_iron_iv_land_doctrine</t>
        </is>
      </c>
      <c r="Q14" t="inlineStr"/>
      <c r="R14" t="inlineStr">
        <is>
          <t>chỉ ở mức ý tưởng và thông số (sự kiện); không dùng tên, logo, văn bản, ảnh hay mô hình có bản quyền; tên và phù hiệu quốc gia thật không hiện cho người chơi</t>
        </is>
      </c>
      <c r="S14" t="inlineStr">
        <is>
          <t>Gọng kìm, bao vây</t>
        </is>
      </c>
      <c r="U14" t="inlineStr">
        <is>
          <t>Docs/ai/Machine_Brigade_AI_Research.xlsx: Chiến thuật 'Bao vây'</t>
        </is>
      </c>
      <c r="V14" t="inlineStr"/>
    </row>
    <row r="15">
      <c r="A15" t="inlineStr">
        <is>
          <t>chien_thuat/firepower</t>
        </is>
      </c>
      <c r="B15" t="inlineStr">
        <is>
          <t>firepower</t>
        </is>
      </c>
      <c r="C15" t="inlineStr">
        <is>
          <t>Hỏa lực áp đảo</t>
        </is>
      </c>
      <c r="D15" t="inlineStr">
        <is>
          <t>hoc_thuyet_quan_su</t>
        </is>
      </c>
      <c r="E15" t="inlineStr"/>
      <c r="F15" t="inlineStr"/>
      <c r="G15" t="inlineStr"/>
      <c r="H15" t="inlineStr">
        <is>
          <t>Hearts of Iron IV</t>
        </is>
      </c>
      <c r="I15" t="inlineStr">
        <is>
          <t>Superior Firepower</t>
        </is>
      </c>
      <c r="J15" t="inlineStr"/>
      <c r="K15" t="inlineStr">
        <is>
          <t>Pháo dọn đường rồi mới tiến</t>
        </is>
      </c>
      <c r="L15" t="inlineStr">
        <is>
          <t>Tướng AI ưu tiên mua pháo binh; đội chờ 1 đợt pháo trước khi tiến; pháo được giao mục tiêu theo hướng tấn công</t>
        </is>
      </c>
      <c r="M15" t="inlineStr"/>
      <c r="N15" t="inlineStr"/>
      <c r="O15" t="inlineStr">
        <is>
          <t>da_kiem_chung</t>
        </is>
      </c>
      <c r="P15" t="inlineStr">
        <is>
          <t>R_machine_brigade_ai_research;D_hearts_of_iron_iv_land_doctrine</t>
        </is>
      </c>
      <c r="Q15" t="inlineStr"/>
      <c r="R15" t="inlineStr">
        <is>
          <t>chỉ ở mức ý tưởng và thông số (sự kiện); không dùng tên, logo, văn bản, ảnh hay mô hình có bản quyền; tên và phù hiệu quốc gia thật không hiện cho người chơi</t>
        </is>
      </c>
      <c r="S15" t="inlineStr">
        <is>
          <t>Hỏa lực vượt trội</t>
        </is>
      </c>
      <c r="U15" t="inlineStr">
        <is>
          <t>Docs/ai/Machine_Brigade_AI_Research.xlsx: Chiến thuật 'Hỏa lực áp đảo'</t>
        </is>
      </c>
      <c r="V15" t="inlineStr"/>
    </row>
    <row r="16">
      <c r="A16" t="inlineStr">
        <is>
          <t>chien_thuat/hit_and_run</t>
        </is>
      </c>
      <c r="B16" t="inlineStr">
        <is>
          <t>hit_and_run</t>
        </is>
      </c>
      <c r="C16" t="inlineStr">
        <is>
          <t>Bắn và chạy</t>
        </is>
      </c>
      <c r="D16" t="inlineStr">
        <is>
          <t>hoc_thuyet_quan_su</t>
        </is>
      </c>
      <c r="E16" t="inlineStr"/>
      <c r="F16" t="inlineStr"/>
      <c r="G16" t="inlineStr"/>
      <c r="H16" t="inlineStr">
        <is>
          <t>StarCraft II</t>
        </is>
      </c>
      <c r="I16" t="inlineStr">
        <is>
          <t>kiting</t>
        </is>
      </c>
      <c r="J16" t="inlineStr"/>
      <c r="K16" t="inlineStr">
        <is>
          <t>Giữ cự ly tối đa, không để địch áp sát</t>
        </is>
      </c>
      <c r="L16" t="inlineStr">
        <is>
          <t>Khoảng cách giao chiến 90–100% tầm; lùi khi địch vào 70% tầm; ưu tiên mua xe nhanh bắn xa</t>
        </is>
      </c>
      <c r="M16" t="inlineStr"/>
      <c r="N16" t="inlineStr"/>
      <c r="O16" t="inlineStr">
        <is>
          <t>ban_dau_doan</t>
        </is>
      </c>
      <c r="P16" t="inlineStr">
        <is>
          <t>R_machine_brigade_ai_research</t>
        </is>
      </c>
      <c r="Q16" t="inlineStr"/>
      <c r="R16" t="inlineStr">
        <is>
          <t>chỉ ở mức ý tưởng và thông số (sự kiện); không dùng tên, logo, văn bản, ảnh hay mô hình có bản quyền; tên và phù hiệu quốc gia thật không hiện cho người chơi</t>
        </is>
      </c>
      <c r="S16" t="inlineStr">
        <is>
          <t>Kiting, giữ cự ly</t>
        </is>
      </c>
      <c r="U16" t="inlineStr">
        <is>
          <t>Docs/ai/Machine_Brigade_AI_Research.xlsx: Chiến thuật 'Bắn và chạy'</t>
        </is>
      </c>
      <c r="V16" t="inlineStr"/>
    </row>
    <row r="17">
      <c r="A17" t="inlineStr">
        <is>
          <t>chien_thuat/sead</t>
        </is>
      </c>
      <c r="B17" t="inlineStr">
        <is>
          <t>sead</t>
        </is>
      </c>
      <c r="C17" t="inlineStr">
        <is>
          <t>Chế áp phòng không trước</t>
        </is>
      </c>
      <c r="D17" t="inlineStr">
        <is>
          <t>hoc_thuyet_quan_su</t>
        </is>
      </c>
      <c r="E17" t="inlineStr"/>
      <c r="F17" t="inlineStr"/>
      <c r="G17" t="inlineStr"/>
      <c r="H17" t="inlineStr">
        <is>
          <t>Command: Modern Operations</t>
        </is>
      </c>
      <c r="I17" t="inlineStr">
        <is>
          <t>SEAD</t>
        </is>
      </c>
      <c r="J17" t="inlineStr"/>
      <c r="K17" t="inlineStr">
        <is>
          <t>Săn phòng không trước mọi thứ</t>
        </is>
      </c>
      <c r="L17" t="inlineStr">
        <is>
          <t>Ưu tiên mục tiêu: phòng không và radar trước; dùng thẻ chế áp phòng không và tên lửa chống radar sớm</t>
        </is>
      </c>
      <c r="M17" t="inlineStr"/>
      <c r="N17" t="inlineStr"/>
      <c r="O17" t="inlineStr">
        <is>
          <t>da_kiem_chung</t>
        </is>
      </c>
      <c r="P17" t="inlineStr">
        <is>
          <t>R_machine_brigade_ai_research;D_command_modern_operations_weapon_release_aut</t>
        </is>
      </c>
      <c r="Q17" t="inlineStr"/>
      <c r="R17" t="inlineStr">
        <is>
          <t>chỉ ở mức ý tưởng và thông số (sự kiện); không dùng tên, logo, văn bản, ảnh hay mô hình có bản quyền; tên và phù hiệu quốc gia thật không hiện cho người chơi</t>
        </is>
      </c>
      <c r="S17" t="inlineStr">
        <is>
          <t>SEAD</t>
        </is>
      </c>
      <c r="U17" t="inlineStr">
        <is>
          <t>Docs/ai/Machine_Brigade_AI_Research.xlsx: Chiến thuật 'Chế áp phòng không trước'</t>
        </is>
      </c>
      <c r="V17" t="inlineStr"/>
    </row>
    <row r="18">
      <c r="A18" t="inlineStr">
        <is>
          <t>tuong/aurel</t>
        </is>
      </c>
      <c r="B18" t="inlineStr">
        <is>
          <t>aurel</t>
        </is>
      </c>
      <c r="C18" t="inlineStr">
        <is>
          <t>aurel</t>
        </is>
      </c>
      <c r="D18" t="inlineStr">
        <is>
          <t>NEED_SOURCE</t>
        </is>
      </c>
      <c r="E18" t="inlineStr"/>
      <c r="F18" t="inlineStr"/>
      <c r="G18" t="inlineStr"/>
      <c r="H18" t="inlineStr"/>
      <c r="I18" t="inlineStr"/>
      <c r="J18" t="inlineStr"/>
      <c r="K18" t="inlineStr"/>
      <c r="L18" t="inlineStr"/>
      <c r="M18" t="inlineStr"/>
      <c r="N18" t="inlineStr"/>
      <c r="O18" t="inlineStr">
        <is>
          <t>NEED_SOURCE</t>
        </is>
      </c>
      <c r="P18" t="inlineStr"/>
      <c r="Q18" t="inlineStr">
        <is>
          <t>repo không có tham chiếu cho mục này</t>
        </is>
      </c>
      <c r="R18" t="inlineStr">
        <is>
          <t>chỉ ở mức ý tưởng và thông số (sự kiện); không dùng tên, logo, văn bản, ảnh hay mô hình có bản quyền; tên và phù hiệu quốc gia thật không hiện cho người chơi</t>
        </is>
      </c>
      <c r="S18" t="inlineStr"/>
      <c r="T18" t="inlineStr">
        <is>
          <t>NEED_SOURCE</t>
        </is>
      </c>
      <c r="U18" t="inlineStr">
        <is>
          <t>spec 12.2 (06): tướng địch</t>
        </is>
      </c>
      <c r="V18" t="inlineStr"/>
    </row>
    <row r="19">
      <c r="A19" t="inlineStr">
        <is>
          <t>tuong/brandt</t>
        </is>
      </c>
      <c r="B19" t="inlineStr">
        <is>
          <t>brandt</t>
        </is>
      </c>
      <c r="C19" t="inlineStr">
        <is>
          <t>brandt</t>
        </is>
      </c>
      <c r="D19" t="inlineStr">
        <is>
          <t>NEED_SOURCE</t>
        </is>
      </c>
      <c r="E19" t="inlineStr"/>
      <c r="F19" t="inlineStr"/>
      <c r="G19" t="inlineStr"/>
      <c r="H19" t="inlineStr"/>
      <c r="I19" t="inlineStr"/>
      <c r="J19" t="inlineStr"/>
      <c r="K19" t="inlineStr"/>
      <c r="L19" t="inlineStr"/>
      <c r="M19" t="inlineStr"/>
      <c r="N19" t="inlineStr"/>
      <c r="O19" t="inlineStr">
        <is>
          <t>NEED_SOURCE</t>
        </is>
      </c>
      <c r="P19" t="inlineStr"/>
      <c r="Q19" t="inlineStr">
        <is>
          <t>repo không có tham chiếu cho mục này</t>
        </is>
      </c>
      <c r="R19" t="inlineStr">
        <is>
          <t>chỉ ở mức ý tưởng và thông số (sự kiện); không dùng tên, logo, văn bản, ảnh hay mô hình có bản quyền; tên và phù hiệu quốc gia thật không hiện cho người chơi</t>
        </is>
      </c>
      <c r="S19" t="inlineStr"/>
      <c r="T19" t="inlineStr">
        <is>
          <t>NEED_SOURCE</t>
        </is>
      </c>
      <c r="U19" t="inlineStr">
        <is>
          <t>spec 12.2 (06): tướng địch</t>
        </is>
      </c>
      <c r="V19" t="inlineStr"/>
    </row>
    <row r="20">
      <c r="A20" t="inlineStr">
        <is>
          <t>tuong/default</t>
        </is>
      </c>
      <c r="B20" t="inlineStr">
        <is>
          <t>default</t>
        </is>
      </c>
      <c r="C20" t="inlineStr">
        <is>
          <t>default</t>
        </is>
      </c>
      <c r="D20" t="inlineStr">
        <is>
          <t>NEED_SOURCE</t>
        </is>
      </c>
      <c r="E20" t="inlineStr"/>
      <c r="F20" t="inlineStr"/>
      <c r="G20" t="inlineStr"/>
      <c r="H20" t="inlineStr"/>
      <c r="I20" t="inlineStr"/>
      <c r="J20" t="inlineStr"/>
      <c r="K20" t="inlineStr"/>
      <c r="L20" t="inlineStr"/>
      <c r="M20" t="inlineStr"/>
      <c r="N20" t="inlineStr"/>
      <c r="O20" t="inlineStr">
        <is>
          <t>NEED_SOURCE</t>
        </is>
      </c>
      <c r="P20" t="inlineStr"/>
      <c r="Q20" t="inlineStr">
        <is>
          <t>repo không có tham chiếu cho mục này</t>
        </is>
      </c>
      <c r="R20" t="inlineStr">
        <is>
          <t>chỉ ở mức ý tưởng và thông số (sự kiện); không dùng tên, logo, văn bản, ảnh hay mô hình có bản quyền; tên và phù hiệu quốc gia thật không hiện cho người chơi</t>
        </is>
      </c>
      <c r="S20" t="inlineStr"/>
      <c r="T20" t="inlineStr">
        <is>
          <t>NEED_SOURCE</t>
        </is>
      </c>
      <c r="U20" t="inlineStr">
        <is>
          <t>spec 12.2 (06): tướng địch</t>
        </is>
      </c>
      <c r="V20" t="inlineStr"/>
    </row>
    <row r="21">
      <c r="A21" t="inlineStr">
        <is>
          <t>tuong/hung</t>
        </is>
      </c>
      <c r="B21" t="inlineStr">
        <is>
          <t>hung</t>
        </is>
      </c>
      <c r="C21" t="inlineStr">
        <is>
          <t>hung</t>
        </is>
      </c>
      <c r="D21" t="inlineStr">
        <is>
          <t>NEED_SOURCE</t>
        </is>
      </c>
      <c r="E21" t="inlineStr"/>
      <c r="F21" t="inlineStr"/>
      <c r="G21" t="inlineStr"/>
      <c r="H21" t="inlineStr"/>
      <c r="I21" t="inlineStr"/>
      <c r="J21" t="inlineStr"/>
      <c r="K21" t="inlineStr"/>
      <c r="L21" t="inlineStr"/>
      <c r="M21" t="inlineStr"/>
      <c r="N21" t="inlineStr"/>
      <c r="O21" t="inlineStr">
        <is>
          <t>NEED_SOURCE</t>
        </is>
      </c>
      <c r="P21" t="inlineStr"/>
      <c r="Q21" t="inlineStr">
        <is>
          <t>repo không có tham chiếu cho mục này</t>
        </is>
      </c>
      <c r="R21" t="inlineStr">
        <is>
          <t>chỉ ở mức ý tưởng và thông số (sự kiện); không dùng tên, logo, văn bản, ảnh hay mô hình có bản quyền; tên và phù hiệu quốc gia thật không hiện cho người chơi</t>
        </is>
      </c>
      <c r="S21" t="inlineStr"/>
      <c r="T21" t="inlineStr">
        <is>
          <t>NEED_SOURCE</t>
        </is>
      </c>
      <c r="U21" t="inlineStr">
        <is>
          <t>spec 12.2 (06): tướng địch</t>
        </is>
      </c>
      <c r="V21" t="inlineStr"/>
    </row>
    <row r="22">
      <c r="A22" t="inlineStr">
        <is>
          <t>tuong/kessler</t>
        </is>
      </c>
      <c r="B22" t="inlineStr">
        <is>
          <t>kessler</t>
        </is>
      </c>
      <c r="C22" t="inlineStr">
        <is>
          <t>kessler</t>
        </is>
      </c>
      <c r="D22" t="inlineStr">
        <is>
          <t>NEED_SOURCE</t>
        </is>
      </c>
      <c r="E22" t="inlineStr"/>
      <c r="F22" t="inlineStr"/>
      <c r="G22" t="inlineStr"/>
      <c r="H22" t="inlineStr"/>
      <c r="I22" t="inlineStr"/>
      <c r="J22" t="inlineStr"/>
      <c r="K22" t="inlineStr"/>
      <c r="L22" t="inlineStr"/>
      <c r="M22" t="inlineStr"/>
      <c r="N22" t="inlineStr"/>
      <c r="O22" t="inlineStr">
        <is>
          <t>NEED_SOURCE</t>
        </is>
      </c>
      <c r="P22" t="inlineStr"/>
      <c r="Q22" t="inlineStr">
        <is>
          <t>repo không có tham chiếu cho mục này</t>
        </is>
      </c>
      <c r="R22" t="inlineStr">
        <is>
          <t>chỉ ở mức ý tưởng và thông số (sự kiện); không dùng tên, logo, văn bản, ảnh hay mô hình có bản quyền; tên và phù hiệu quốc gia thật không hiện cho người chơi</t>
        </is>
      </c>
      <c r="S22" t="inlineStr"/>
      <c r="T22" t="inlineStr">
        <is>
          <t>NEED_SOURCE</t>
        </is>
      </c>
      <c r="U22" t="inlineStr">
        <is>
          <t>spec 12.2 (06): tướng địch</t>
        </is>
      </c>
      <c r="V22" t="inlineStr"/>
    </row>
    <row r="23">
      <c r="A23" t="inlineStr">
        <is>
          <t>tuong/orlov</t>
        </is>
      </c>
      <c r="B23" t="inlineStr">
        <is>
          <t>orlov</t>
        </is>
      </c>
      <c r="C23" t="inlineStr">
        <is>
          <t>orlov</t>
        </is>
      </c>
      <c r="D23" t="inlineStr">
        <is>
          <t>NEED_SOURCE</t>
        </is>
      </c>
      <c r="E23" t="inlineStr"/>
      <c r="F23" t="inlineStr"/>
      <c r="G23" t="inlineStr"/>
      <c r="H23" t="inlineStr"/>
      <c r="I23" t="inlineStr"/>
      <c r="J23" t="inlineStr"/>
      <c r="K23" t="inlineStr"/>
      <c r="L23" t="inlineStr"/>
      <c r="M23" t="inlineStr"/>
      <c r="N23" t="inlineStr"/>
      <c r="O23" t="inlineStr">
        <is>
          <t>NEED_SOURCE</t>
        </is>
      </c>
      <c r="P23" t="inlineStr"/>
      <c r="Q23" t="inlineStr">
        <is>
          <t>repo không có tham chiếu cho mục này</t>
        </is>
      </c>
      <c r="R23" t="inlineStr">
        <is>
          <t>chỉ ở mức ý tưởng và thông số (sự kiện); không dùng tên, logo, văn bản, ảnh hay mô hình có bản quyền; tên và phù hiệu quốc gia thật không hiện cho người chơi</t>
        </is>
      </c>
      <c r="S23" t="inlineStr"/>
      <c r="T23" t="inlineStr">
        <is>
          <t>NEED_SOURCE</t>
        </is>
      </c>
      <c r="U23" t="inlineStr">
        <is>
          <t>spec 12.2 (06): tướng địch</t>
        </is>
      </c>
      <c r="V23" t="inlineStr"/>
    </row>
    <row r="24">
      <c r="A24" t="inlineStr">
        <is>
          <t>tuong/quaden</t>
        </is>
      </c>
      <c r="B24" t="inlineStr">
        <is>
          <t>quaden</t>
        </is>
      </c>
      <c r="C24" t="inlineStr">
        <is>
          <t>quaden</t>
        </is>
      </c>
      <c r="D24" t="inlineStr">
        <is>
          <t>NEED_SOURCE</t>
        </is>
      </c>
      <c r="E24" t="inlineStr"/>
      <c r="F24" t="inlineStr"/>
      <c r="G24" t="inlineStr"/>
      <c r="H24" t="inlineStr"/>
      <c r="I24" t="inlineStr"/>
      <c r="J24" t="inlineStr"/>
      <c r="K24" t="inlineStr"/>
      <c r="L24" t="inlineStr"/>
      <c r="M24" t="inlineStr"/>
      <c r="N24" t="inlineStr"/>
      <c r="O24" t="inlineStr">
        <is>
          <t>NEED_SOURCE</t>
        </is>
      </c>
      <c r="P24" t="inlineStr"/>
      <c r="Q24" t="inlineStr">
        <is>
          <t>repo không có tham chiếu cho mục này</t>
        </is>
      </c>
      <c r="R24" t="inlineStr">
        <is>
          <t>chỉ ở mức ý tưởng và thông số (sự kiện); không dùng tên, logo, văn bản, ảnh hay mô hình có bản quyền; tên và phù hiệu quốc gia thật không hiện cho người chơi</t>
        </is>
      </c>
      <c r="S24" t="inlineStr"/>
      <c r="T24" t="inlineStr">
        <is>
          <t>NEED_SOURCE</t>
        </is>
      </c>
      <c r="U24" t="inlineStr">
        <is>
          <t>spec 12.2 (06): tướng địch</t>
        </is>
      </c>
      <c r="V24" t="inlineStr"/>
    </row>
    <row r="25">
      <c r="A25" t="inlineStr">
        <is>
          <t>tuong/sen</t>
        </is>
      </c>
      <c r="B25" t="inlineStr">
        <is>
          <t>sen</t>
        </is>
      </c>
      <c r="C25" t="inlineStr">
        <is>
          <t>sen</t>
        </is>
      </c>
      <c r="D25" t="inlineStr">
        <is>
          <t>NEED_SOURCE</t>
        </is>
      </c>
      <c r="E25" t="inlineStr"/>
      <c r="F25" t="inlineStr"/>
      <c r="G25" t="inlineStr"/>
      <c r="H25" t="inlineStr"/>
      <c r="I25" t="inlineStr"/>
      <c r="J25" t="inlineStr"/>
      <c r="K25" t="inlineStr"/>
      <c r="L25" t="inlineStr"/>
      <c r="M25" t="inlineStr"/>
      <c r="N25" t="inlineStr"/>
      <c r="O25" t="inlineStr">
        <is>
          <t>NEED_SOURCE</t>
        </is>
      </c>
      <c r="P25" t="inlineStr"/>
      <c r="Q25" t="inlineStr">
        <is>
          <t>repo không có tham chiếu cho mục này</t>
        </is>
      </c>
      <c r="R25" t="inlineStr">
        <is>
          <t>chỉ ở mức ý tưởng và thông số (sự kiện); không dùng tên, logo, văn bản, ảnh hay mô hình có bản quyền; tên và phù hiệu quốc gia thật không hiện cho người chơi</t>
        </is>
      </c>
      <c r="S25" t="inlineStr"/>
      <c r="T25" t="inlineStr">
        <is>
          <t>NEED_SOURCE</t>
        </is>
      </c>
      <c r="U25" t="inlineStr">
        <is>
          <t>spec 12.2 (06): tướng địch</t>
        </is>
      </c>
      <c r="V25" t="inlineStr"/>
    </row>
    <row r="26">
      <c r="A26" t="inlineStr">
        <is>
          <t>tuong/thorne</t>
        </is>
      </c>
      <c r="B26" t="inlineStr">
        <is>
          <t>thorne</t>
        </is>
      </c>
      <c r="C26" t="inlineStr">
        <is>
          <t>thorne</t>
        </is>
      </c>
      <c r="D26" t="inlineStr">
        <is>
          <t>NEED_SOURCE</t>
        </is>
      </c>
      <c r="E26" t="inlineStr"/>
      <c r="F26" t="inlineStr"/>
      <c r="G26" t="inlineStr"/>
      <c r="H26" t="inlineStr"/>
      <c r="I26" t="inlineStr"/>
      <c r="J26" t="inlineStr"/>
      <c r="K26" t="inlineStr"/>
      <c r="L26" t="inlineStr"/>
      <c r="M26" t="inlineStr"/>
      <c r="N26" t="inlineStr"/>
      <c r="O26" t="inlineStr">
        <is>
          <t>NEED_SOURCE</t>
        </is>
      </c>
      <c r="P26" t="inlineStr"/>
      <c r="Q26" t="inlineStr">
        <is>
          <t>repo không có tham chiếu cho mục này</t>
        </is>
      </c>
      <c r="R26" t="inlineStr">
        <is>
          <t>chỉ ở mức ý tưởng và thông số (sự kiện); không dùng tên, logo, văn bản, ảnh hay mô hình có bản quyền; tên và phù hiệu quốc gia thật không hiện cho người chơi</t>
        </is>
      </c>
      <c r="S26" t="inlineStr"/>
      <c r="T26" t="inlineStr">
        <is>
          <t>NEED_SOURCE</t>
        </is>
      </c>
      <c r="U26" t="inlineStr">
        <is>
          <t>spec 12.2 (06): tướng địch</t>
        </is>
      </c>
      <c r="V26" t="inlineStr"/>
    </row>
    <row r="27">
      <c r="A27" t="inlineStr">
        <is>
          <t>tuong/varga</t>
        </is>
      </c>
      <c r="B27" t="inlineStr">
        <is>
          <t>varga</t>
        </is>
      </c>
      <c r="C27" t="inlineStr">
        <is>
          <t>varga</t>
        </is>
      </c>
      <c r="D27" t="inlineStr">
        <is>
          <t>NEED_SOURCE</t>
        </is>
      </c>
      <c r="E27" t="inlineStr"/>
      <c r="F27" t="inlineStr"/>
      <c r="G27" t="inlineStr"/>
      <c r="H27" t="inlineStr"/>
      <c r="I27" t="inlineStr"/>
      <c r="J27" t="inlineStr"/>
      <c r="K27" t="inlineStr"/>
      <c r="L27" t="inlineStr"/>
      <c r="M27" t="inlineStr"/>
      <c r="N27" t="inlineStr"/>
      <c r="O27" t="inlineStr">
        <is>
          <t>NEED_SOURCE</t>
        </is>
      </c>
      <c r="P27" t="inlineStr"/>
      <c r="Q27" t="inlineStr">
        <is>
          <t>repo không có tham chiếu cho mục này</t>
        </is>
      </c>
      <c r="R27" t="inlineStr">
        <is>
          <t>chỉ ở mức ý tưởng và thông số (sự kiện); không dùng tên, logo, văn bản, ảnh hay mô hình có bản quyền; tên và phù hiệu quốc gia thật không hiện cho người chơi</t>
        </is>
      </c>
      <c r="S27" t="inlineStr"/>
      <c r="T27" t="inlineStr">
        <is>
          <t>NEED_SOURCE</t>
        </is>
      </c>
      <c r="U27" t="inlineStr">
        <is>
          <t>spec 12.2 (06): tướng địch</t>
        </is>
      </c>
      <c r="V27" t="inlineStr"/>
    </row>
    <row r="28">
      <c r="A28" t="inlineStr">
        <is>
          <t>tuong/venn</t>
        </is>
      </c>
      <c r="B28" t="inlineStr">
        <is>
          <t>venn</t>
        </is>
      </c>
      <c r="C28" t="inlineStr">
        <is>
          <t>venn</t>
        </is>
      </c>
      <c r="D28" t="inlineStr">
        <is>
          <t>NEED_SOURCE</t>
        </is>
      </c>
      <c r="E28" t="inlineStr"/>
      <c r="F28" t="inlineStr"/>
      <c r="G28" t="inlineStr"/>
      <c r="H28" t="inlineStr"/>
      <c r="I28" t="inlineStr"/>
      <c r="J28" t="inlineStr"/>
      <c r="K28" t="inlineStr"/>
      <c r="L28" t="inlineStr"/>
      <c r="M28" t="inlineStr"/>
      <c r="N28" t="inlineStr"/>
      <c r="O28" t="inlineStr">
        <is>
          <t>NEED_SOURCE</t>
        </is>
      </c>
      <c r="P28" t="inlineStr"/>
      <c r="Q28" t="inlineStr">
        <is>
          <t>repo không có tham chiếu cho mục này</t>
        </is>
      </c>
      <c r="R28" t="inlineStr">
        <is>
          <t>chỉ ở mức ý tưởng và thông số (sự kiện); không dùng tên, logo, văn bản, ảnh hay mô hình có bản quyền; tên và phù hiệu quốc gia thật không hiện cho người chơi</t>
        </is>
      </c>
      <c r="S28" t="inlineStr"/>
      <c r="T28" t="inlineStr">
        <is>
          <t>NEED_SOURCE</t>
        </is>
      </c>
      <c r="U28" t="inlineStr">
        <is>
          <t>spec 12.2 (06): tướng địch</t>
        </is>
      </c>
      <c r="V28" t="inlineStr"/>
    </row>
    <row r="29">
      <c r="A29" t="inlineStr">
        <is>
          <t>tuong/wolff</t>
        </is>
      </c>
      <c r="B29" t="inlineStr">
        <is>
          <t>wolff</t>
        </is>
      </c>
      <c r="C29" t="inlineStr">
        <is>
          <t>wolff</t>
        </is>
      </c>
      <c r="D29" t="inlineStr">
        <is>
          <t>NEED_SOURCE</t>
        </is>
      </c>
      <c r="E29" t="inlineStr"/>
      <c r="F29" t="inlineStr"/>
      <c r="G29" t="inlineStr"/>
      <c r="H29" t="inlineStr"/>
      <c r="I29" t="inlineStr"/>
      <c r="J29" t="inlineStr"/>
      <c r="K29" t="inlineStr"/>
      <c r="L29" t="inlineStr"/>
      <c r="M29" t="inlineStr"/>
      <c r="N29" t="inlineStr"/>
      <c r="O29" t="inlineStr">
        <is>
          <t>NEED_SOURCE</t>
        </is>
      </c>
      <c r="P29" t="inlineStr"/>
      <c r="Q29" t="inlineStr">
        <is>
          <t>repo không có tham chiếu cho mục này</t>
        </is>
      </c>
      <c r="R29" t="inlineStr">
        <is>
          <t>chỉ ở mức ý tưởng và thông số (sự kiện); không dùng tên, logo, văn bản, ảnh hay mô hình có bản quyền; tên và phù hiệu quốc gia thật không hiện cho người chơi</t>
        </is>
      </c>
      <c r="S29" t="inlineStr"/>
      <c r="T29" t="inlineStr">
        <is>
          <t>NEED_SOURCE</t>
        </is>
      </c>
      <c r="U29" t="inlineStr">
        <is>
          <t>spec 12.2 (06): tướng địch</t>
        </is>
      </c>
      <c r="V29" t="inlineStr"/>
    </row>
    <row r="30">
      <c r="A30" t="inlineStr">
        <is>
          <t>vai_tro/Arty</t>
        </is>
      </c>
      <c r="B30" t="inlineStr">
        <is>
          <t>Arty</t>
        </is>
      </c>
      <c r="C30" t="inlineStr">
        <is>
          <t>Lựu pháo / cối / pháo công thành</t>
        </is>
      </c>
      <c r="D30" t="inlineStr">
        <is>
          <t>hoc_thuyet_quan_su</t>
        </is>
      </c>
      <c r="E30" t="inlineStr"/>
      <c r="F30" t="inlineStr"/>
      <c r="G30" t="inlineStr"/>
      <c r="H30" t="inlineStr">
        <is>
          <t>WARNO;Company of Heroes</t>
        </is>
      </c>
      <c r="I30" t="inlineStr">
        <is>
          <t>shoot-and-scoot;hành vi vai trò</t>
        </is>
      </c>
      <c r="J30" t="inlineStr"/>
      <c r="K30" t="inlineStr">
        <is>
          <t>Bắn 3 loạt rồi dời; tránh vị trí đã bị đánh dấu</t>
        </is>
      </c>
      <c r="L30" t="inlineStr"/>
      <c r="M30" t="inlineStr"/>
      <c r="N30" t="inlineStr"/>
      <c r="O30" t="inlineStr">
        <is>
          <t>ban_dau_doan</t>
        </is>
      </c>
      <c r="P30" t="inlineStr">
        <is>
          <t>R_machine_brigade_ai_research</t>
        </is>
      </c>
      <c r="Q30" t="inlineStr"/>
      <c r="R30" t="inlineStr">
        <is>
          <t>chỉ ở mức ý tưởng và thông số (sự kiện); không dùng tên, logo, văn bản, ảnh hay mô hình có bản quyền; tên và phù hiệu quốc gia thật không hiện cho người chơi</t>
        </is>
      </c>
      <c r="S30" t="inlineStr">
        <is>
          <t>Bắn gián tiếp từ xa theo soi của trinh sát; bắn rồi dời vị trí để tránh phản pháo.</t>
        </is>
      </c>
      <c r="U30" t="inlineStr">
        <is>
          <t>Docs/ai/Machine_Brigade_AI_Research.xlsx: Vai trò Arty</t>
        </is>
      </c>
      <c r="V30" t="inlineStr"/>
    </row>
    <row r="31">
      <c r="A31" t="inlineStr">
        <is>
          <t>vai_tro/AttackHeli</t>
        </is>
      </c>
      <c r="B31" t="inlineStr">
        <is>
          <t>AttackHeli</t>
        </is>
      </c>
      <c r="C31" t="inlineStr">
        <is>
          <t>Trực thăng tấn công</t>
        </is>
      </c>
      <c r="D31" t="inlineStr">
        <is>
          <t>hoc_thuyet_quan_su</t>
        </is>
      </c>
      <c r="E31" t="inlineStr"/>
      <c r="F31" t="inlineStr"/>
      <c r="G31" t="inlineStr"/>
      <c r="H31" t="inlineStr">
        <is>
          <t>WARNO;Company of Heroes;Battlefield</t>
        </is>
      </c>
      <c r="I31" t="inlineStr">
        <is>
          <t>hành vi vai trò</t>
        </is>
      </c>
      <c r="J31" t="inlineStr"/>
      <c r="K31" t="inlineStr">
        <is>
          <t>Dùng pháo sáng khi bị khóa; bay vòng ra khỏi vùng phòng không</t>
        </is>
      </c>
      <c r="L31" t="inlineStr"/>
      <c r="M31" t="inlineStr"/>
      <c r="N31" t="inlineStr"/>
      <c r="O31" t="inlineStr">
        <is>
          <t>ban_dau_doan</t>
        </is>
      </c>
      <c r="P31" t="inlineStr">
        <is>
          <t>R_machine_brigade_ai_research</t>
        </is>
      </c>
      <c r="Q31" t="inlineStr"/>
      <c r="R31" t="inlineStr">
        <is>
          <t>chỉ ở mức ý tưởng và thông số (sự kiện); không dùng tên, logo, văn bản, ảnh hay mô hình có bản quyền; tên và phù hiệu quốc gia thật không hiện cho người chơi</t>
        </is>
      </c>
      <c r="S31" t="inlineStr">
        <is>
          <t>Đánh từ ngoài tầm phòng không gần, núp sau địa hình, bắn tên lửa rồi đổi vị trí.</t>
        </is>
      </c>
      <c r="U31" t="inlineStr">
        <is>
          <t>Docs/ai/Machine_Brigade_AI_Research.xlsx: Vai trò AttackHeli</t>
        </is>
      </c>
      <c r="V31" t="inlineStr"/>
    </row>
    <row r="32">
      <c r="A32" t="inlineStr">
        <is>
          <t>vai_tro/Bomber</t>
        </is>
      </c>
      <c r="B32" t="inlineStr">
        <is>
          <t>Bomber</t>
        </is>
      </c>
      <c r="C32" t="inlineStr">
        <is>
          <t>Oanh tạc cơ</t>
        </is>
      </c>
      <c r="D32" t="inlineStr">
        <is>
          <t>hoc_thuyet_quan_su</t>
        </is>
      </c>
      <c r="E32" t="inlineStr"/>
      <c r="F32" t="inlineStr"/>
      <c r="G32" t="inlineStr"/>
      <c r="H32" t="inlineStr">
        <is>
          <t>Ace Combat;Hearts of Iron</t>
        </is>
      </c>
      <c r="I32" t="inlineStr">
        <is>
          <t>hành vi vai trò;ném bom chiến lược</t>
        </is>
      </c>
      <c r="J32" t="inlineStr"/>
      <c r="K32" t="inlineStr">
        <is>
          <t>Chọn đường bay tránh phòng không tầm xa</t>
        </is>
      </c>
      <c r="L32" t="inlineStr"/>
      <c r="M32" t="inlineStr"/>
      <c r="N32" t="inlineStr"/>
      <c r="O32" t="inlineStr">
        <is>
          <t>ban_dau_doan</t>
        </is>
      </c>
      <c r="P32" t="inlineStr">
        <is>
          <t>R_machine_brigade_ai_research</t>
        </is>
      </c>
      <c r="Q32" t="inlineStr"/>
      <c r="R32" t="inlineStr">
        <is>
          <t>chỉ ở mức ý tưởng và thông số (sự kiện); không dùng tên, logo, văn bản, ảnh hay mô hình có bản quyền; tên và phù hiệu quốc gia thật không hiện cho người chơi</t>
        </is>
      </c>
      <c r="S32" t="inlineStr">
        <is>
          <t>Một lượt lớn vào mục tiêu đã chọn từ trước rồi rời đi.</t>
        </is>
      </c>
      <c r="U32" t="inlineStr">
        <is>
          <t>Docs/ai/Machine_Brigade_AI_Research.xlsx: Vai trò Bomber</t>
        </is>
      </c>
      <c r="V32" t="inlineStr"/>
    </row>
    <row r="33">
      <c r="A33" t="inlineStr">
        <is>
          <t>vai_tro/Bunker</t>
        </is>
      </c>
      <c r="B33" t="inlineStr">
        <is>
          <t>Bunker</t>
        </is>
      </c>
      <c r="C33" t="inlineStr">
        <is>
          <t>Xe công sự / xe ủi</t>
        </is>
      </c>
      <c r="D33" t="inlineStr">
        <is>
          <t>hoc_thuyet_quan_su</t>
        </is>
      </c>
      <c r="E33" t="inlineStr"/>
      <c r="F33" t="inlineStr"/>
      <c r="G33" t="inlineStr"/>
      <c r="H33" t="inlineStr">
        <is>
          <t>Company of Heroes;C&amp;C</t>
        </is>
      </c>
      <c r="I33" t="inlineStr">
        <is>
          <t>công binh;hành vi vai trò</t>
        </is>
      </c>
      <c r="J33" t="inlineStr"/>
      <c r="K33" t="inlineStr">
        <is>
          <t>Triển khai ở chỗ có vật che, quay mặt về hướng địch</t>
        </is>
      </c>
      <c r="L33" t="inlineStr"/>
      <c r="M33" t="inlineStr"/>
      <c r="N33" t="inlineStr"/>
      <c r="O33" t="inlineStr">
        <is>
          <t>ban_dau_doan</t>
        </is>
      </c>
      <c r="P33" t="inlineStr">
        <is>
          <t>R_machine_brigade_ai_research</t>
        </is>
      </c>
      <c r="Q33" t="inlineStr"/>
      <c r="R33" t="inlineStr">
        <is>
          <t>chỉ ở mức ý tưởng và thông số (sự kiện); không dùng tên, logo, văn bản, ảnh hay mô hình có bản quyền; tên và phù hiệu quốc gia thật không hiện cho người chơi</t>
        </is>
      </c>
      <c r="S33" t="inlineStr">
        <is>
          <t>Triển khai ở điểm giữ, chịu đòn; xe ủi phá chướng ngại mở đường.</t>
        </is>
      </c>
      <c r="U33" t="inlineStr">
        <is>
          <t>Docs/ai/Machine_Brigade_AI_Research.xlsx: Vai trò Bunker</t>
        </is>
      </c>
      <c r="V33" t="inlineStr"/>
    </row>
    <row r="34">
      <c r="A34" t="inlineStr">
        <is>
          <t>vai_tro/CAS</t>
        </is>
      </c>
      <c r="B34" t="inlineStr">
        <is>
          <t>CAS</t>
        </is>
      </c>
      <c r="C34" t="inlineStr">
        <is>
          <t>Cường kích</t>
        </is>
      </c>
      <c r="D34" t="inlineStr">
        <is>
          <t>hoc_thuyet_quan_su</t>
        </is>
      </c>
      <c r="E34" t="inlineStr"/>
      <c r="F34" t="inlineStr"/>
      <c r="G34" t="inlineStr"/>
      <c r="H34" t="inlineStr">
        <is>
          <t>WARNO;Company of Heroes</t>
        </is>
      </c>
      <c r="I34" t="inlineStr">
        <is>
          <t>hành vi vai trò;đòn không kích</t>
        </is>
      </c>
      <c r="J34" t="inlineStr"/>
      <c r="K34" t="inlineStr">
        <is>
          <t>Đổi hướng tiếp cận mỗi lượt; dùng pháo sáng</t>
        </is>
      </c>
      <c r="L34" t="inlineStr"/>
      <c r="M34" t="inlineStr"/>
      <c r="N34" t="inlineStr"/>
      <c r="O34" t="inlineStr">
        <is>
          <t>ban_dau_doan</t>
        </is>
      </c>
      <c r="P34" t="inlineStr">
        <is>
          <t>R_machine_brigade_ai_research</t>
        </is>
      </c>
      <c r="Q34" t="inlineStr"/>
      <c r="R34" t="inlineStr">
        <is>
          <t>chỉ ở mức ý tưởng và thông số (sự kiện); không dùng tên, logo, văn bản, ảnh hay mô hình có bản quyền; tên và phù hiệu quốc gia thật không hiện cho người chơi</t>
        </is>
      </c>
      <c r="S34" t="inlineStr">
        <is>
          <t>Yểm trợ gần: đánh cụm xe và công trình ở tuyến đầu.</t>
        </is>
      </c>
      <c r="U34" t="inlineStr">
        <is>
          <t>Docs/ai/Machine_Brigade_AI_Research.xlsx: Vai trò CAS</t>
        </is>
      </c>
      <c r="V34" t="inlineStr"/>
    </row>
    <row r="35">
      <c r="A35" t="inlineStr">
        <is>
          <t>vai_tro/Drone</t>
        </is>
      </c>
      <c r="B35" t="inlineStr">
        <is>
          <t>Drone</t>
        </is>
      </c>
      <c r="C35" t="inlineStr">
        <is>
          <t>Xe phóng drone / đạn lảng vảng</t>
        </is>
      </c>
      <c r="D35" t="inlineStr">
        <is>
          <t>hoc_thuyet_quan_su</t>
        </is>
      </c>
      <c r="E35" t="inlineStr"/>
      <c r="F35" t="inlineStr"/>
      <c r="G35" t="inlineStr"/>
      <c r="H35" t="inlineStr">
        <is>
          <t>Mechabellum</t>
        </is>
      </c>
      <c r="I35" t="inlineStr">
        <is>
          <t>hành vi vai trò</t>
        </is>
      </c>
      <c r="J35" t="inlineStr"/>
      <c r="K35" t="inlineStr">
        <is>
          <t>Không phóng vào vùng EW và C-RAM dày khi có mục tiêu khác (tham khảo khác: Chiến sự Ukraine)</t>
        </is>
      </c>
      <c r="L35" t="inlineStr"/>
      <c r="M35" t="inlineStr"/>
      <c r="N35" t="inlineStr"/>
      <c r="O35" t="inlineStr">
        <is>
          <t>ban_dau_doan</t>
        </is>
      </c>
      <c r="P35" t="inlineStr">
        <is>
          <t>R_machine_brigade_ai_research</t>
        </is>
      </c>
      <c r="Q35" t="inlineStr"/>
      <c r="R35" t="inlineStr">
        <is>
          <t>chỉ ở mức ý tưởng và thông số (sự kiện); không dùng tên, logo, văn bản, ảnh hay mô hình có bản quyền; tên và phù hiệu quốc gia thật không hiện cho người chơi</t>
        </is>
      </c>
      <c r="S35" t="inlineStr">
        <is>
          <t>Đứng xa, phóng drone đánh nóc xe giáp và pháo binh.</t>
        </is>
      </c>
      <c r="U35" t="inlineStr">
        <is>
          <t>Docs/ai/Machine_Brigade_AI_Research.xlsx: Vai trò Drone</t>
        </is>
      </c>
      <c r="V35" t="inlineStr"/>
    </row>
    <row r="36">
      <c r="A36" t="inlineStr">
        <is>
          <t>vai_tro/Fighter</t>
        </is>
      </c>
      <c r="B36" t="inlineStr">
        <is>
          <t>Fighter</t>
        </is>
      </c>
      <c r="C36" t="inlineStr">
        <is>
          <t>Tiêm kích</t>
        </is>
      </c>
      <c r="D36" t="inlineStr">
        <is>
          <t>hoc_thuyet_quan_su</t>
        </is>
      </c>
      <c r="E36" t="inlineStr"/>
      <c r="F36" t="inlineStr"/>
      <c r="G36" t="inlineStr"/>
      <c r="H36" t="inlineStr">
        <is>
          <t>Ace Combat;WARNO;Command: Modern Operations</t>
        </is>
      </c>
      <c r="I36" t="inlineStr">
        <is>
          <t>hành vi vai trò</t>
        </is>
      </c>
      <c r="J36" t="inlineStr"/>
      <c r="K36" t="inlineStr">
        <is>
          <t>Tránh vùng phòng không mặt đất dày; không đuổi theo vào sâu</t>
        </is>
      </c>
      <c r="L36" t="inlineStr"/>
      <c r="M36" t="inlineStr"/>
      <c r="N36" t="inlineStr"/>
      <c r="O36" t="inlineStr">
        <is>
          <t>da_kiem_chung</t>
        </is>
      </c>
      <c r="P36" t="inlineStr">
        <is>
          <t>R_machine_brigade_ai_research;D_command_modern_operations_weapon_release_aut</t>
        </is>
      </c>
      <c r="Q36" t="inlineStr"/>
      <c r="R36" t="inlineStr">
        <is>
          <t>chỉ ở mức ý tưởng và thông số (sự kiện); không dùng tên, logo, văn bản, ảnh hay mô hình có bản quyền; tên và phù hiệu quốc gia thật không hiện cho người chơi</t>
        </is>
      </c>
      <c r="S36" t="inlineStr">
        <is>
          <t>Giành ưu thế trên không; hạ máy bay địch trước khi chúng đánh đội.</t>
        </is>
      </c>
      <c r="U36" t="inlineStr">
        <is>
          <t>Docs/ai/Machine_Brigade_AI_Research.xlsx: Vai trò Fighter</t>
        </is>
      </c>
      <c r="V36" t="inlineStr"/>
    </row>
    <row r="37">
      <c r="A37" t="inlineStr">
        <is>
          <t>vai_tro/Flame</t>
        </is>
      </c>
      <c r="B37" t="inlineStr">
        <is>
          <t>Flame</t>
        </is>
      </c>
      <c r="C37" t="inlineStr">
        <is>
          <t>Tăng phun lửa</t>
        </is>
      </c>
      <c r="D37" t="inlineStr">
        <is>
          <t>hoc_thuyet_quan_su</t>
        </is>
      </c>
      <c r="E37" t="inlineStr"/>
      <c r="F37" t="inlineStr"/>
      <c r="G37" t="inlineStr"/>
      <c r="H37" t="inlineStr">
        <is>
          <t>Company of Heroes</t>
        </is>
      </c>
      <c r="I37" t="inlineStr">
        <is>
          <t>xe phun lửa</t>
        </is>
      </c>
      <c r="J37" t="inlineStr"/>
      <c r="K37" t="inlineStr">
        <is>
          <t>Chờ khói hoặc lúc địch đang nạp đạn mới lao vào</t>
        </is>
      </c>
      <c r="L37" t="inlineStr"/>
      <c r="M37" t="inlineStr"/>
      <c r="N37" t="inlineStr"/>
      <c r="O37" t="inlineStr">
        <is>
          <t>ban_dau_doan</t>
        </is>
      </c>
      <c r="P37" t="inlineStr">
        <is>
          <t>R_machine_brigade_ai_research</t>
        </is>
      </c>
      <c r="Q37" t="inlineStr"/>
      <c r="R37" t="inlineStr">
        <is>
          <t>chỉ ở mức ý tưởng và thông số (sự kiện); không dùng tên, logo, văn bản, ảnh hay mô hình có bản quyền; tên và phù hiệu quốc gia thật không hiện cho người chơi</t>
        </is>
      </c>
      <c r="S37" t="inlineStr">
        <is>
          <t>Dọn công sự và xe nhẹ ở tầm rất gần, đi sau khói hoặc xe tăng.</t>
        </is>
      </c>
      <c r="U37" t="inlineStr">
        <is>
          <t>Docs/ai/Machine_Brigade_AI_Research.xlsx: Vai trò Flame</t>
        </is>
      </c>
      <c r="V37" t="inlineStr"/>
    </row>
    <row r="38">
      <c r="A38" t="inlineStr">
        <is>
          <t>vai_tro/Gunship</t>
        </is>
      </c>
      <c r="B38" t="inlineStr">
        <is>
          <t>Gunship</t>
        </is>
      </c>
      <c r="C38" t="inlineStr">
        <is>
          <t>Pháo hạm bay</t>
        </is>
      </c>
      <c r="D38" t="inlineStr">
        <is>
          <t>hoc_thuyet_quan_su</t>
        </is>
      </c>
      <c r="E38" t="inlineStr"/>
      <c r="F38" t="inlineStr"/>
      <c r="G38" t="inlineStr"/>
      <c r="H38" t="inlineStr">
        <is>
          <t>Call of Duty;Battlefield</t>
        </is>
      </c>
      <c r="I38" t="inlineStr">
        <is>
          <t>AC-130;hành vi vai trò</t>
        </is>
      </c>
      <c r="J38" t="inlineStr"/>
      <c r="K38" t="inlineStr">
        <is>
          <t>Dời tâm vòng bay ra khỏi vùng phòng không</t>
        </is>
      </c>
      <c r="L38" t="inlineStr"/>
      <c r="M38" t="inlineStr"/>
      <c r="N38" t="inlineStr"/>
      <c r="O38" t="inlineStr">
        <is>
          <t>ban_dau_doan</t>
        </is>
      </c>
      <c r="P38" t="inlineStr">
        <is>
          <t>R_machine_brigade_ai_research</t>
        </is>
      </c>
      <c r="Q38" t="inlineStr"/>
      <c r="R38" t="inlineStr">
        <is>
          <t>chỉ ở mức ý tưởng và thông số (sự kiện); không dùng tên, logo, văn bản, ảnh hay mô hình có bản quyền; tên và phù hiệu quốc gia thật không hiện cho người chơi</t>
        </is>
      </c>
      <c r="S38" t="inlineStr">
        <is>
          <t>Bay vòng chậm trên vùng ít phòng không, bắn liên tục.</t>
        </is>
      </c>
      <c r="U38" t="inlineStr">
        <is>
          <t>Docs/ai/Machine_Brigade_AI_Research.xlsx: Vai trò Gunship</t>
        </is>
      </c>
      <c r="V38" t="inlineStr"/>
    </row>
    <row r="39">
      <c r="A39" t="inlineStr">
        <is>
          <t>vai_tro/GunshipHeli</t>
        </is>
      </c>
      <c r="B39" t="inlineStr">
        <is>
          <t>GunshipHeli</t>
        </is>
      </c>
      <c r="C39" t="inlineStr">
        <is>
          <t>Trực thăng vũ trang bọc giáp</t>
        </is>
      </c>
      <c r="D39" t="inlineStr">
        <is>
          <t>hoc_thuyet_quan_su</t>
        </is>
      </c>
      <c r="E39" t="inlineStr"/>
      <c r="F39" t="inlineStr"/>
      <c r="G39" t="inlineStr"/>
      <c r="H39" t="inlineStr">
        <is>
          <t>Battlefield;Company of Heroes</t>
        </is>
      </c>
      <c r="I39" t="inlineStr">
        <is>
          <t>hành vi vai trò</t>
        </is>
      </c>
      <c r="J39" t="inlineStr"/>
      <c r="K39" t="inlineStr">
        <is>
          <t>Dùng rốc-két vào cụm, tên lửa vào xe giáp</t>
        </is>
      </c>
      <c r="L39" t="inlineStr"/>
      <c r="M39" t="inlineStr"/>
      <c r="N39" t="inlineStr"/>
      <c r="O39" t="inlineStr">
        <is>
          <t>ban_dau_doan</t>
        </is>
      </c>
      <c r="P39" t="inlineStr">
        <is>
          <t>R_machine_brigade_ai_research</t>
        </is>
      </c>
      <c r="Q39" t="inlineStr"/>
      <c r="R39" t="inlineStr">
        <is>
          <t>chỉ ở mức ý tưởng và thông số (sự kiện); không dùng tên, logo, văn bản, ảnh hay mô hình có bản quyền; tên và phù hiệu quốc gia thật không hiện cho người chơi</t>
        </is>
      </c>
      <c r="S39" t="inlineStr">
        <is>
          <t>Bay như "xe tăng bay": chịu được súng máy, yểm trợ gần cho đội mặt đất.</t>
        </is>
      </c>
      <c r="U39" t="inlineStr">
        <is>
          <t>Docs/ai/Machine_Brigade_AI_Research.xlsx: Vai trò GunshipHeli</t>
        </is>
      </c>
      <c r="V39" t="inlineStr"/>
    </row>
    <row r="40">
      <c r="A40" t="inlineStr">
        <is>
          <t>vai_tro/Heavy</t>
        </is>
      </c>
      <c r="B40" t="inlineStr">
        <is>
          <t>Heavy</t>
        </is>
      </c>
      <c r="C40" t="inlineStr">
        <is>
          <t>Tăng hạng nặng / siêu tăng</t>
        </is>
      </c>
      <c r="D40" t="inlineStr">
        <is>
          <t>hoc_thuyet_quan_su</t>
        </is>
      </c>
      <c r="E40" t="inlineStr"/>
      <c r="F40" t="inlineStr"/>
      <c r="G40" t="inlineStr"/>
      <c r="H40" t="inlineStr">
        <is>
          <t>Supreme Commander;C&amp;C</t>
        </is>
      </c>
      <c r="I40" t="inlineStr">
        <is>
          <t>đơn vị thực nghiệm;Mammoth/Overlord</t>
        </is>
      </c>
      <c r="J40" t="inlineStr"/>
      <c r="K40" t="inlineStr">
        <is>
          <t>Đứng chắn trước đồng đội khi địch dồn hỏa lực</t>
        </is>
      </c>
      <c r="L40" t="inlineStr"/>
      <c r="M40" t="inlineStr"/>
      <c r="N40" t="inlineStr"/>
      <c r="O40" t="inlineStr">
        <is>
          <t>ban_dau_doan</t>
        </is>
      </c>
      <c r="P40" t="inlineStr">
        <is>
          <t>R_machine_brigade_ai_research</t>
        </is>
      </c>
      <c r="Q40" t="inlineStr"/>
      <c r="R40" t="inlineStr">
        <is>
          <t>chỉ ở mức ý tưởng và thông số (sự kiện); không dùng tên, logo, văn bản, ảnh hay mô hình có bản quyền; tên và phù hiệu quốc gia thật không hiện cho người chơi</t>
        </is>
      </c>
      <c r="S40" t="inlineStr">
        <is>
          <t>Mũi đột phá: hút hỏa lực và mở đường cho đội; chậm, nên đi giữa đội để không bị bỏ lại.</t>
        </is>
      </c>
      <c r="U40" t="inlineStr">
        <is>
          <t>Docs/ai/Machine_Brigade_AI_Research.xlsx: Vai trò Heavy</t>
        </is>
      </c>
      <c r="V40" t="inlineStr"/>
    </row>
    <row r="41">
      <c r="A41" t="inlineStr">
        <is>
          <t>vai_tro/IFV</t>
        </is>
      </c>
      <c r="B41" t="inlineStr">
        <is>
          <t>IFV</t>
        </is>
      </c>
      <c r="C41" t="inlineStr">
        <is>
          <t>Xe chiến đấu bộ binh</t>
        </is>
      </c>
      <c r="D41" t="inlineStr">
        <is>
          <t>hoc_thuyet_quan_su</t>
        </is>
      </c>
      <c r="E41" t="inlineStr"/>
      <c r="F41" t="inlineStr"/>
      <c r="G41" t="inlineStr"/>
      <c r="H41" t="inlineStr">
        <is>
          <t>WARNO;Wargame</t>
        </is>
      </c>
      <c r="I41" t="inlineStr">
        <is>
          <t>hành vi vai trò</t>
        </is>
      </c>
      <c r="J41" t="inlineStr"/>
      <c r="K41" t="inlineStr">
        <is>
          <t>Phóng tên lửa chống tăng khi đứng yên, bắn pháo khi chạy</t>
        </is>
      </c>
      <c r="L41" t="inlineStr"/>
      <c r="M41" t="inlineStr"/>
      <c r="N41" t="inlineStr"/>
      <c r="O41" t="inlineStr">
        <is>
          <t>ban_dau_doan</t>
        </is>
      </c>
      <c r="P41" t="inlineStr">
        <is>
          <t>R_machine_brigade_ai_research</t>
        </is>
      </c>
      <c r="Q41" t="inlineStr"/>
      <c r="R41" t="inlineStr">
        <is>
          <t>chỉ ở mức ý tưởng và thông số (sự kiện); không dùng tên, logo, văn bản, ảnh hay mô hình có bản quyền; tên và phù hiệu quốc gia thật không hiện cho người chơi</t>
        </is>
      </c>
      <c r="S41" t="inlineStr">
        <is>
          <t>Đi cùng xe tăng, diệt xe nhẹ và hạ tăng bằng tên lửa ở tầm xa; dừng lại để phóng tên lửa.</t>
        </is>
      </c>
      <c r="U41" t="inlineStr">
        <is>
          <t>Docs/ai/Machine_Brigade_AI_Research.xlsx: Vai trò IFV</t>
        </is>
      </c>
      <c r="V41" t="inlineStr"/>
    </row>
    <row r="42">
      <c r="A42" t="inlineStr">
        <is>
          <t>vai_tro/Laser</t>
        </is>
      </c>
      <c r="B42" t="inlineStr">
        <is>
          <t>Laser</t>
        </is>
      </c>
      <c r="C42" t="inlineStr">
        <is>
          <t>La-de phòng không</t>
        </is>
      </c>
      <c r="D42" t="inlineStr">
        <is>
          <t>hoc_thuyet_quan_su</t>
        </is>
      </c>
      <c r="E42" t="inlineStr"/>
      <c r="F42" t="inlineStr"/>
      <c r="G42" t="inlineStr"/>
      <c r="H42" t="inlineStr"/>
      <c r="I42" t="inlineStr"/>
      <c r="J42" t="inlineStr"/>
      <c r="K42" t="inlineStr">
        <is>
          <t>Tắt khi trong khói (bị giảm 80%), đổi chỗ ra khỏi khói (tham khảo khác: (thật) Iron Beam)</t>
        </is>
      </c>
      <c r="L42" t="inlineStr"/>
      <c r="M42" t="inlineStr"/>
      <c r="N42" t="inlineStr"/>
      <c r="O42" t="inlineStr">
        <is>
          <t>ban_dau_doan</t>
        </is>
      </c>
      <c r="P42" t="inlineStr">
        <is>
          <t>R_machine_brigade_ai_research</t>
        </is>
      </c>
      <c r="Q42" t="inlineStr"/>
      <c r="R42" t="inlineStr">
        <is>
          <t>chỉ ở mức ý tưởng và thông số (sự kiện); không dùng tên, logo, văn bản, ảnh hay mô hình có bản quyền; tên và phù hiệu quốc gia thật không hiện cho người chơi</t>
        </is>
      </c>
      <c r="S42" t="inlineStr">
        <is>
          <t>Đánh chặn drone, rốc-két, cối; chi phí mỗi phát rất thấp.</t>
        </is>
      </c>
      <c r="U42" t="inlineStr">
        <is>
          <t>Docs/ai/Machine_Brigade_AI_Research.xlsx: Vai trò Laser</t>
        </is>
      </c>
      <c r="V42" t="inlineStr"/>
    </row>
    <row r="43">
      <c r="A43" t="inlineStr">
        <is>
          <t>vai_tro/Light</t>
        </is>
      </c>
      <c r="B43" t="inlineStr">
        <is>
          <t>Light</t>
        </is>
      </c>
      <c r="C43" t="inlineStr">
        <is>
          <t>Xe nhẹ / bọc thép bánh lốp</t>
        </is>
      </c>
      <c r="D43" t="inlineStr">
        <is>
          <t>hoc_thuyet_quan_su</t>
        </is>
      </c>
      <c r="E43" t="inlineStr"/>
      <c r="F43" t="inlineStr"/>
      <c r="G43" t="inlineStr"/>
      <c r="H43" t="inlineStr">
        <is>
          <t>Company of Heroes;WARNO</t>
        </is>
      </c>
      <c r="I43" t="inlineStr">
        <is>
          <t>xe trinh sát;hành vi vai trò</t>
        </is>
      </c>
      <c r="J43" t="inlineStr"/>
      <c r="K43" t="inlineStr">
        <is>
          <t>Vừa lùi vừa bắn khi bị xe chậm đuổi</t>
        </is>
      </c>
      <c r="L43" t="inlineStr"/>
      <c r="M43" t="inlineStr"/>
      <c r="N43" t="inlineStr"/>
      <c r="O43" t="inlineStr">
        <is>
          <t>ban_dau_doan</t>
        </is>
      </c>
      <c r="P43" t="inlineStr">
        <is>
          <t>R_machine_brigade_ai_research</t>
        </is>
      </c>
      <c r="Q43" t="inlineStr"/>
      <c r="R43" t="inlineStr">
        <is>
          <t>chỉ ở mức ý tưởng và thông số (sự kiện); không dùng tên, logo, văn bản, ảnh hay mô hình có bản quyền; tên và phù hiệu quốc gia thật không hiện cho người chơi</t>
        </is>
      </c>
      <c r="S43" t="inlineStr">
        <is>
          <t>Trinh sát vũ trang và đánh nhanh: phát hiện, quấy rối, rồi chuyển sang mục tiêu khác ở sườn.</t>
        </is>
      </c>
      <c r="U43" t="inlineStr">
        <is>
          <t>Docs/ai/Machine_Brigade_AI_Research.xlsx: Vai trò Light</t>
        </is>
      </c>
      <c r="V43" t="inlineStr"/>
    </row>
    <row r="44">
      <c r="A44" t="inlineStr">
        <is>
          <t>vai_tro/MBT</t>
        </is>
      </c>
      <c r="B44" t="inlineStr">
        <is>
          <t>MBT</t>
        </is>
      </c>
      <c r="C44" t="inlineStr">
        <is>
          <t>Tăng chủ lực</t>
        </is>
      </c>
      <c r="D44" t="inlineStr">
        <is>
          <t>hoc_thuyet_quan_su</t>
        </is>
      </c>
      <c r="E44" t="inlineStr"/>
      <c r="F44" t="inlineStr"/>
      <c r="G44" t="inlineStr"/>
      <c r="H44" t="inlineStr">
        <is>
          <t>Company of Heroes;Steel Beasts;WARNO</t>
        </is>
      </c>
      <c r="I44" t="inlineStr">
        <is>
          <t>quay mặt giáp, thân khuất;hành vi vai trò</t>
        </is>
      </c>
      <c r="J44" t="inlineStr"/>
      <c r="K44" t="inlineStr">
        <is>
          <t>Quay mặt trước về mối đe dọa lớn nhất; dừng ở chỗ có vật che khi đứng bắn</t>
        </is>
      </c>
      <c r="L44" t="inlineStr"/>
      <c r="M44" t="inlineStr"/>
      <c r="N44" t="inlineStr"/>
      <c r="O44" t="inlineStr">
        <is>
          <t>da_kiem_chung</t>
        </is>
      </c>
      <c r="P44" t="inlineStr">
        <is>
          <t>R_machine_brigade_ai_research;W_bounding_overwatch</t>
        </is>
      </c>
      <c r="Q44" t="inlineStr"/>
      <c r="R44" t="inlineStr">
        <is>
          <t>chỉ ở mức ý tưởng và thông số (sự kiện); không dùng tên, logo, văn bản, ảnh hay mô hình có bản quyền; tên và phù hiệu quốc gia thật không hiện cho người chơi</t>
        </is>
      </c>
      <c r="S44" t="inlineStr">
        <is>
          <t>Đi đầu đội hình, đánh xe giáp ở 2–2,5 km; dùng thế "thân khuất" (hull-down) để chỉ lộ tháp; di chuyển theo kiểu yểm hộ luân phiên khi sắp chạm địch.</t>
        </is>
      </c>
      <c r="U44" t="inlineStr">
        <is>
          <t>Docs/ai/Machine_Brigade_AI_Research.xlsx: Vai trò MBT</t>
        </is>
      </c>
      <c r="V44" t="inlineStr"/>
    </row>
    <row r="45">
      <c r="A45" t="inlineStr">
        <is>
          <t>vai_tro/MLRS</t>
        </is>
      </c>
      <c r="B45" t="inlineStr">
        <is>
          <t>MLRS</t>
        </is>
      </c>
      <c r="C45" t="inlineStr">
        <is>
          <t>Pháo phản lực</t>
        </is>
      </c>
      <c r="D45" t="inlineStr">
        <is>
          <t>hoc_thuyet_quan_su</t>
        </is>
      </c>
      <c r="E45" t="inlineStr"/>
      <c r="F45" t="inlineStr"/>
      <c r="G45" t="inlineStr"/>
      <c r="H45" t="inlineStr">
        <is>
          <t>WARNO;Wargame</t>
        </is>
      </c>
      <c r="I45" t="inlineStr">
        <is>
          <t>hành vi vai trò</t>
        </is>
      </c>
      <c r="J45" t="inlineStr"/>
      <c r="K45" t="inlineStr">
        <is>
          <t>Không bắn lẻ vào một xe; giữ loạt cho mục tiêu đông</t>
        </is>
      </c>
      <c r="L45" t="inlineStr"/>
      <c r="M45" t="inlineStr"/>
      <c r="N45" t="inlineStr"/>
      <c r="O45" t="inlineStr">
        <is>
          <t>ban_dau_doan</t>
        </is>
      </c>
      <c r="P45" t="inlineStr">
        <is>
          <t>R_machine_brigade_ai_research</t>
        </is>
      </c>
      <c r="Q45" t="inlineStr"/>
      <c r="R45" t="inlineStr">
        <is>
          <t>chỉ ở mức ý tưởng và thông số (sự kiện); không dùng tên, logo, văn bản, ảnh hay mô hình có bản quyền; tên và phù hiệu quốc gia thật không hiện cho người chơi</t>
        </is>
      </c>
      <c r="S45" t="inlineStr">
        <is>
          <t>Một loạt lớn phủ vùng rồi chạy đi nạp (HIMARS: bắn rồi chạy).</t>
        </is>
      </c>
      <c r="U45" t="inlineStr">
        <is>
          <t>Docs/ai/Machine_Brigade_AI_Research.xlsx: Vai trò MLRS</t>
        </is>
      </c>
      <c r="V45" t="inlineStr"/>
    </row>
    <row r="46">
      <c r="A46" t="inlineStr">
        <is>
          <t>vai_tro/Rail</t>
        </is>
      </c>
      <c r="B46" t="inlineStr">
        <is>
          <t>Rail</t>
        </is>
      </c>
      <c r="C46" t="inlineStr">
        <is>
          <t>Xe pháo điện từ / la-de diệt tăng</t>
        </is>
      </c>
      <c r="D46" t="inlineStr">
        <is>
          <t>hoc_thuyet_quan_su</t>
        </is>
      </c>
      <c r="E46" t="inlineStr"/>
      <c r="F46" t="inlineStr"/>
      <c r="G46" t="inlineStr"/>
      <c r="H46" t="inlineStr">
        <is>
          <t>Supreme Commander</t>
        </is>
      </c>
      <c r="I46" t="inlineStr">
        <is>
          <t>hành vi vai trò</t>
        </is>
      </c>
      <c r="J46" t="inlineStr"/>
      <c r="K46" t="inlineStr">
        <is>
          <t>Chọn góc bắn xuyên được nhiều xe nhất (pháo điện từ); giữ một mục tiêu (la-de tăng dần) (tham khảo khác:  (giả tưởng) C&amp;C Generals (laser))</t>
        </is>
      </c>
      <c r="L46" t="inlineStr"/>
      <c r="M46" t="inlineStr"/>
      <c r="N46" t="inlineStr"/>
      <c r="O46" t="inlineStr">
        <is>
          <t>ban_dau_doan</t>
        </is>
      </c>
      <c r="P46" t="inlineStr">
        <is>
          <t>R_machine_brigade_ai_research</t>
        </is>
      </c>
      <c r="Q46" t="inlineStr"/>
      <c r="R46" t="inlineStr">
        <is>
          <t>chỉ ở mức ý tưởng và thông số (sự kiện); không dùng tên, logo, văn bản, ảnh hay mô hình có bản quyền; tên và phù hiệu quốc gia thật không hiện cho người chơi</t>
        </is>
      </c>
      <c r="S46" t="inlineStr">
        <is>
          <t>Vũ khí năng lượng tầm xa, cần đồng đội soi mục tiêu.</t>
        </is>
      </c>
      <c r="U46" t="inlineStr">
        <is>
          <t>Docs/ai/Machine_Brigade_AI_Research.xlsx: Vai trò Rail</t>
        </is>
      </c>
      <c r="V46" t="inlineStr"/>
    </row>
    <row r="47">
      <c r="A47" t="inlineStr">
        <is>
          <t>vai_tro/Recon</t>
        </is>
      </c>
      <c r="B47" t="inlineStr">
        <is>
          <t>Recon</t>
        </is>
      </c>
      <c r="C47" t="inlineStr">
        <is>
          <t>Trinh sát</t>
        </is>
      </c>
      <c r="D47" t="inlineStr">
        <is>
          <t>hoc_thuyet_quan_su</t>
        </is>
      </c>
      <c r="E47" t="inlineStr"/>
      <c r="F47" t="inlineStr"/>
      <c r="G47" t="inlineStr"/>
      <c r="H47" t="inlineStr">
        <is>
          <t>Wargame/WARNO;Company of Heroes</t>
        </is>
      </c>
      <c r="I47" t="inlineStr">
        <is>
          <t>đơn vị trinh sát;hành vi vai trò</t>
        </is>
      </c>
      <c r="J47" t="inlineStr"/>
      <c r="K47" t="inlineStr">
        <is>
          <t>Đứng ở chỗ cao hoặc mép rừng; đổi chỗ sau khi bị bắn</t>
        </is>
      </c>
      <c r="L47" t="inlineStr"/>
      <c r="M47" t="inlineStr"/>
      <c r="N47" t="inlineStr"/>
      <c r="O47" t="inlineStr">
        <is>
          <t>ban_dau_doan</t>
        </is>
      </c>
      <c r="P47" t="inlineStr">
        <is>
          <t>R_machine_brigade_ai_research</t>
        </is>
      </c>
      <c r="Q47" t="inlineStr"/>
      <c r="R47" t="inlineStr">
        <is>
          <t>chỉ ở mức ý tưởng và thông số (sự kiện); không dùng tên, logo, văn bản, ảnh hay mô hình có bản quyền; tên và phù hiệu quốc gia thật không hiện cho người chơi</t>
        </is>
      </c>
      <c r="S47" t="inlineStr">
        <is>
          <t>Đi trước để thấy địch, không giao chiến; giữ khoảng cách ở mép tầm nhìn; ẩn khi đứng yên.</t>
        </is>
      </c>
      <c r="U47" t="inlineStr">
        <is>
          <t>Docs/ai/Machine_Brigade_AI_Research.xlsx: Vai trò Recon</t>
        </is>
      </c>
      <c r="V47" t="inlineStr"/>
    </row>
    <row r="48">
      <c r="A48" t="inlineStr">
        <is>
          <t>vai_tro/SAM</t>
        </is>
      </c>
      <c r="B48" t="inlineStr">
        <is>
          <t>SAM</t>
        </is>
      </c>
      <c r="C48" t="inlineStr">
        <is>
          <t>Tên lửa phòng không</t>
        </is>
      </c>
      <c r="D48" t="inlineStr">
        <is>
          <t>hoc_thuyet_quan_su</t>
        </is>
      </c>
      <c r="E48" t="inlineStr"/>
      <c r="F48" t="inlineStr"/>
      <c r="G48" t="inlineStr"/>
      <c r="H48" t="inlineStr">
        <is>
          <t>WARNO;Wargame;Command: Modern Operations</t>
        </is>
      </c>
      <c r="I48" t="inlineStr">
        <is>
          <t>hành vi vai trò</t>
        </is>
      </c>
      <c r="J48" t="inlineStr"/>
      <c r="K48" t="inlineStr">
        <is>
          <t>Không phí tên lửa lớn vào drone nhỏ khi có máy bay (giống WRA của Command: Modern Operations)</t>
        </is>
      </c>
      <c r="L48" t="inlineStr"/>
      <c r="M48" t="inlineStr"/>
      <c r="N48" t="inlineStr"/>
      <c r="O48" t="inlineStr">
        <is>
          <t>da_kiem_chung</t>
        </is>
      </c>
      <c r="P48" t="inlineStr">
        <is>
          <t>R_machine_brigade_ai_research;D_command_modern_operations_weapon_release_aut</t>
        </is>
      </c>
      <c r="Q48" t="inlineStr"/>
      <c r="R48" t="inlineStr">
        <is>
          <t>chỉ ở mức ý tưởng và thông số (sự kiện); không dùng tên, logo, văn bản, ảnh hay mô hình có bản quyền; tên và phù hiệu quốc gia thật không hiện cho người chơi</t>
        </is>
      </c>
      <c r="S48" t="inlineStr">
        <is>
          <t>Che ô phòng không tầm trung–xa; dừng mới bắn; bị áp sát thì yếu.</t>
        </is>
      </c>
      <c r="U48" t="inlineStr">
        <is>
          <t>Docs/ai/Machine_Brigade_AI_Research.xlsx: Vai trò SAM</t>
        </is>
      </c>
      <c r="V48" t="inlineStr"/>
    </row>
    <row r="49">
      <c r="A49" t="inlineStr">
        <is>
          <t>vai_tro/SPAAG</t>
        </is>
      </c>
      <c r="B49" t="inlineStr">
        <is>
          <t>SPAAG</t>
        </is>
      </c>
      <c r="C49" t="inlineStr">
        <is>
          <t>Pháo phòng không</t>
        </is>
      </c>
      <c r="D49" t="inlineStr">
        <is>
          <t>hoc_thuyet_quan_su</t>
        </is>
      </c>
      <c r="E49" t="inlineStr"/>
      <c r="F49" t="inlineStr"/>
      <c r="G49" t="inlineStr"/>
      <c r="H49" t="inlineStr">
        <is>
          <t>WARNO;Wargame</t>
        </is>
      </c>
      <c r="I49" t="inlineStr">
        <is>
          <t>hành vi vai trò</t>
        </is>
      </c>
      <c r="J49" t="inlineStr"/>
      <c r="K49" t="inlineStr">
        <is>
          <t>Ưu tiên máy bay đang tấn công đồng đội</t>
        </is>
      </c>
      <c r="L49" t="inlineStr"/>
      <c r="M49" t="inlineStr"/>
      <c r="N49" t="inlineStr"/>
      <c r="O49" t="inlineStr">
        <is>
          <t>ban_dau_doan</t>
        </is>
      </c>
      <c r="P49" t="inlineStr">
        <is>
          <t>R_machine_brigade_ai_research</t>
        </is>
      </c>
      <c r="Q49" t="inlineStr"/>
      <c r="R49" t="inlineStr">
        <is>
          <t>chỉ ở mức ý tưởng và thông số (sự kiện); không dùng tên, logo, văn bản, ảnh hay mô hình có bản quyền; tên và phù hiệu quốc gia thật không hiện cho người chơi</t>
        </is>
      </c>
      <c r="S49" t="inlineStr">
        <is>
          <t>Che ô phòng không tầm gần cho đội; bắn được cả xe nhẹ.</t>
        </is>
      </c>
      <c r="U49" t="inlineStr">
        <is>
          <t>Docs/ai/Machine_Brigade_AI_Research.xlsx: Vai trò SPAAG</t>
        </is>
      </c>
      <c r="V49" t="inlineStr"/>
    </row>
    <row r="50">
      <c r="A50" t="inlineStr">
        <is>
          <t>vai_tro/ScoutHeli</t>
        </is>
      </c>
      <c r="B50" t="inlineStr">
        <is>
          <t>ScoutHeli</t>
        </is>
      </c>
      <c r="C50" t="inlineStr">
        <is>
          <t>Trực thăng trinh sát vũ trang</t>
        </is>
      </c>
      <c r="D50" t="inlineStr">
        <is>
          <t>hoc_thuyet_quan_su</t>
        </is>
      </c>
      <c r="E50" t="inlineStr"/>
      <c r="F50" t="inlineStr"/>
      <c r="G50" t="inlineStr"/>
      <c r="H50" t="inlineStr">
        <is>
          <t>WARNO</t>
        </is>
      </c>
      <c r="I50" t="inlineStr">
        <is>
          <t>OH-58</t>
        </is>
      </c>
      <c r="J50" t="inlineStr"/>
      <c r="K50" t="inlineStr">
        <is>
          <t>Đổi hướng tiếp cận sau mỗi lượt</t>
        </is>
      </c>
      <c r="L50" t="inlineStr"/>
      <c r="M50" t="inlineStr"/>
      <c r="N50" t="inlineStr"/>
      <c r="O50" t="inlineStr">
        <is>
          <t>ban_dau_doan</t>
        </is>
      </c>
      <c r="P50" t="inlineStr">
        <is>
          <t>R_machine_brigade_ai_research</t>
        </is>
      </c>
      <c r="Q50" t="inlineStr"/>
      <c r="R50" t="inlineStr">
        <is>
          <t>chỉ ở mức ý tưởng và thông số (sự kiện); không dùng tên, logo, văn bản, ảnh hay mô hình có bản quyền; tên và phù hiệu quốc gia thật không hiện cho người chơi</t>
        </is>
      </c>
      <c r="S50" t="inlineStr">
        <is>
          <t>Soi mục tiêu và quấy rối xe nhẹ; rất mỏng.</t>
        </is>
      </c>
      <c r="U50" t="inlineStr">
        <is>
          <t>Docs/ai/Machine_Brigade_AI_Research.xlsx: Vai trò ScoutHeli</t>
        </is>
      </c>
      <c r="V50" t="inlineStr"/>
    </row>
    <row r="51">
      <c r="A51" t="inlineStr">
        <is>
          <t>vai_tro/Siege</t>
        </is>
      </c>
      <c r="B51" t="inlineStr">
        <is>
          <t>Siege</t>
        </is>
      </c>
      <c r="C51" t="inlineStr">
        <is>
          <t>Xe công thành</t>
        </is>
      </c>
      <c r="D51" t="inlineStr">
        <is>
          <t>hoc_thuyet_quan_su</t>
        </is>
      </c>
      <c r="E51" t="inlineStr"/>
      <c r="F51" t="inlineStr"/>
      <c r="G51" t="inlineStr"/>
      <c r="H51" t="inlineStr">
        <is>
          <t>Company of Heroes;C&amp;C</t>
        </is>
      </c>
      <c r="I51" t="inlineStr">
        <is>
          <t>pháo công thành;hành vi vai trò</t>
        </is>
      </c>
      <c r="J51" t="inlineStr"/>
      <c r="K51" t="inlineStr">
        <is>
          <t>Chọn tháp nguy hiểm nhất mà nó bắn được từ ngoài tầm</t>
        </is>
      </c>
      <c r="L51" t="inlineStr"/>
      <c r="M51" t="inlineStr"/>
      <c r="N51" t="inlineStr"/>
      <c r="O51" t="inlineStr">
        <is>
          <t>ban_dau_doan</t>
        </is>
      </c>
      <c r="P51" t="inlineStr">
        <is>
          <t>R_machine_brigade_ai_research</t>
        </is>
      </c>
      <c r="Q51" t="inlineStr"/>
      <c r="R51" t="inlineStr">
        <is>
          <t>chỉ ở mức ý tưởng và thông số (sự kiện); không dùng tên, logo, văn bản, ảnh hay mô hình có bản quyền; tên và phù hiệu quốc gia thật không hiện cho người chơi</t>
        </is>
      </c>
      <c r="S51" t="inlineStr">
        <is>
          <t>Phá công trình từ ngoài tầm tháp.</t>
        </is>
      </c>
      <c r="U51" t="inlineStr">
        <is>
          <t>Docs/ai/Machine_Brigade_AI_Research.xlsx: Vai trò Siege</t>
        </is>
      </c>
      <c r="V51" t="inlineStr"/>
    </row>
    <row r="52">
      <c r="A52" t="inlineStr">
        <is>
          <t>vai_tro/Stealth</t>
        </is>
      </c>
      <c r="B52" t="inlineStr">
        <is>
          <t>Stealth</t>
        </is>
      </c>
      <c r="C52" t="inlineStr">
        <is>
          <t>Tiêm kích tàng hình</t>
        </is>
      </c>
      <c r="D52" t="inlineStr">
        <is>
          <t>hoc_thuyet_quan_su</t>
        </is>
      </c>
      <c r="E52" t="inlineStr"/>
      <c r="F52" t="inlineStr"/>
      <c r="G52" t="inlineStr"/>
      <c r="H52" t="inlineStr">
        <is>
          <t>Ace Combat;Command: Modern Operations</t>
        </is>
      </c>
      <c r="I52" t="inlineStr">
        <is>
          <t>hành vi vai trò</t>
        </is>
      </c>
      <c r="J52" t="inlineStr"/>
      <c r="K52" t="inlineStr">
        <is>
          <t>Bắn rồi rời đi để hết bị lộ</t>
        </is>
      </c>
      <c r="L52" t="inlineStr"/>
      <c r="M52" t="inlineStr"/>
      <c r="N52" t="inlineStr"/>
      <c r="O52" t="inlineStr">
        <is>
          <t>da_kiem_chung</t>
        </is>
      </c>
      <c r="P52" t="inlineStr">
        <is>
          <t>R_machine_brigade_ai_research;D_command_modern_operations_weapon_release_aut</t>
        </is>
      </c>
      <c r="Q52" t="inlineStr"/>
      <c r="R52" t="inlineStr">
        <is>
          <t>chỉ ở mức ý tưởng và thông số (sự kiện); không dùng tên, logo, văn bản, ảnh hay mô hình có bản quyền; tên và phù hiệu quốc gia thật không hiện cho người chơi</t>
        </is>
      </c>
      <c r="S52" t="inlineStr">
        <is>
          <t>Bắn trước khi bị thấy; chọn mục tiêu giá trị cao.</t>
        </is>
      </c>
      <c r="U52" t="inlineStr">
        <is>
          <t>Docs/ai/Machine_Brigade_AI_Research.xlsx: Vai trò Stealth</t>
        </is>
      </c>
      <c r="V52" t="inlineStr"/>
    </row>
    <row r="53">
      <c r="A53" t="inlineStr">
        <is>
          <t>vai_tro/Strike</t>
        </is>
      </c>
      <c r="B53" t="inlineStr">
        <is>
          <t>Strike</t>
        </is>
      </c>
      <c r="C53" t="inlineStr">
        <is>
          <t>Tên lửa chiến thuật / drone cảm tử tầm xa</t>
        </is>
      </c>
      <c r="D53" t="inlineStr">
        <is>
          <t>hoc_thuyet_quan_su</t>
        </is>
      </c>
      <c r="E53" t="inlineStr"/>
      <c r="F53" t="inlineStr"/>
      <c r="G53" t="inlineStr"/>
      <c r="H53" t="inlineStr">
        <is>
          <t>C&amp;C;WARNO</t>
        </is>
      </c>
      <c r="I53" t="inlineStr">
        <is>
          <t>siêu vũ khí nhỏ;hành vi vai trò</t>
        </is>
      </c>
      <c r="J53" t="inlineStr"/>
      <c r="K53" t="inlineStr">
        <is>
          <t>Không phóng vào mục tiêu đang di chuyển nhanh</t>
        </is>
      </c>
      <c r="L53" t="inlineStr"/>
      <c r="M53" t="inlineStr"/>
      <c r="N53" t="inlineStr"/>
      <c r="O53" t="inlineStr">
        <is>
          <t>ban_dau_doan</t>
        </is>
      </c>
      <c r="P53" t="inlineStr">
        <is>
          <t>R_machine_brigade_ai_research</t>
        </is>
      </c>
      <c r="Q53" t="inlineStr"/>
      <c r="R53" t="inlineStr">
        <is>
          <t>chỉ ở mức ý tưởng và thông số (sự kiện); không dùng tên, logo, văn bản, ảnh hay mô hình có bản quyền; tên và phù hiệu quốc gia thật không hiện cho người chơi</t>
        </is>
      </c>
      <c r="S53" t="inlineStr">
        <is>
          <t>Đánh mục tiêu giá trị cao, đứng yên, ở rất xa.</t>
        </is>
      </c>
      <c r="U53" t="inlineStr">
        <is>
          <t>Docs/ai/Machine_Brigade_AI_Research.xlsx: Vai trò Strike</t>
        </is>
      </c>
      <c r="V53" t="inlineStr"/>
    </row>
    <row r="54">
      <c r="A54" t="inlineStr">
        <is>
          <t>vai_tro/Support</t>
        </is>
      </c>
      <c r="B54" t="inlineStr">
        <is>
          <t>Support</t>
        </is>
      </c>
      <c r="C54" t="inlineStr">
        <is>
          <t>Xe hỗ trợ</t>
        </is>
      </c>
      <c r="D54" t="inlineStr">
        <is>
          <t>hoc_thuyet_quan_su</t>
        </is>
      </c>
      <c r="E54" t="inlineStr"/>
      <c r="F54" t="inlineStr"/>
      <c r="G54" t="inlineStr"/>
      <c r="H54" t="inlineStr">
        <is>
          <t>Company of Heroes;Supreme Commander</t>
        </is>
      </c>
      <c r="I54" t="inlineStr">
        <is>
          <t>hành vi vai trò</t>
        </is>
      </c>
      <c r="J54" t="inlineStr"/>
      <c r="K54" t="inlineStr">
        <is>
          <t>Dời theo đội; không đứng vào vùng bắn lan</t>
        </is>
      </c>
      <c r="L54" t="inlineStr"/>
      <c r="M54" t="inlineStr"/>
      <c r="N54" t="inlineStr"/>
      <c r="O54" t="inlineStr">
        <is>
          <t>ban_dau_doan</t>
        </is>
      </c>
      <c r="P54" t="inlineStr">
        <is>
          <t>R_machine_brigade_ai_research</t>
        </is>
      </c>
      <c r="Q54" t="inlineStr"/>
      <c r="R54" t="inlineStr">
        <is>
          <t>chỉ ở mức ý tưởng và thông số (sự kiện); không dùng tên, logo, văn bản, ảnh hay mô hình có bản quyền; tên và phù hiệu quốc gia thật không hiện cho người chơi</t>
        </is>
      </c>
      <c r="S54" t="inlineStr">
        <is>
          <t>Đứng sau đội, trong tầm tác dụng của mình.</t>
        </is>
      </c>
      <c r="U54" t="inlineStr">
        <is>
          <t>Docs/ai/Machine_Brigade_AI_Research.xlsx: Vai trò Support</t>
        </is>
      </c>
      <c r="V54" t="inlineStr"/>
    </row>
    <row r="55">
      <c r="A55" t="inlineStr">
        <is>
          <t>vai_tro/TD</t>
        </is>
      </c>
      <c r="B55" t="inlineStr">
        <is>
          <t>TD</t>
        </is>
      </c>
      <c r="C55" t="inlineStr">
        <is>
          <t>Xe diệt tăng</t>
        </is>
      </c>
      <c r="D55" t="inlineStr">
        <is>
          <t>hoc_thuyet_quan_su</t>
        </is>
      </c>
      <c r="E55" t="inlineStr"/>
      <c r="F55" t="inlineStr"/>
      <c r="G55" t="inlineStr"/>
      <c r="H55" t="inlineStr">
        <is>
          <t>Company of Heroes;WARNO</t>
        </is>
      </c>
      <c r="I55" t="inlineStr">
        <is>
          <t>pháo chống tăng, xe diệt tăng;hành vi vai trò</t>
        </is>
      </c>
      <c r="J55" t="inlineStr"/>
      <c r="K55" t="inlineStr">
        <is>
          <t>Ưu tiên bắn vào hông và sau</t>
        </is>
      </c>
      <c r="L55" t="inlineStr"/>
      <c r="M55" t="inlineStr"/>
      <c r="N55" t="inlineStr"/>
      <c r="O55" t="inlineStr">
        <is>
          <t>ban_dau_doan</t>
        </is>
      </c>
      <c r="P55" t="inlineStr">
        <is>
          <t>R_machine_brigade_ai_research</t>
        </is>
      </c>
      <c r="Q55" t="inlineStr"/>
      <c r="R55" t="inlineStr">
        <is>
          <t>chỉ ở mức ý tưởng và thông số (sự kiện); không dùng tên, logo, văn bản, ảnh hay mô hình có bản quyền; tên và phù hiệu quốc gia thật không hiện cho người chơi</t>
        </is>
      </c>
      <c r="S55" t="inlineStr">
        <is>
          <t>Phục kích xe tăng từ xa và từ sườn; bắn rồi đổi vị trí.</t>
        </is>
      </c>
      <c r="U55" t="inlineStr">
        <is>
          <t>Docs/ai/Machine_Brigade_AI_Research.xlsx: Vai trò TD</t>
        </is>
      </c>
      <c r="V55" t="inlineStr"/>
    </row>
    <row r="56">
      <c r="A56" t="inlineStr">
        <is>
          <t>vai_tro/UAV</t>
        </is>
      </c>
      <c r="B56" t="inlineStr">
        <is>
          <t>UAV</t>
        </is>
      </c>
      <c r="C56" t="inlineStr">
        <is>
          <t>UAV</t>
        </is>
      </c>
      <c r="D56" t="inlineStr">
        <is>
          <t>hoc_thuyet_quan_su</t>
        </is>
      </c>
      <c r="E56" t="inlineStr"/>
      <c r="F56" t="inlineStr"/>
      <c r="G56" t="inlineStr"/>
      <c r="H56" t="inlineStr">
        <is>
          <t>WARNO</t>
        </is>
      </c>
      <c r="I56" t="inlineStr">
        <is>
          <t>hành vi vai trò</t>
        </is>
      </c>
      <c r="J56" t="inlineStr"/>
      <c r="K56" t="inlineStr">
        <is>
          <t>Bay cao ở mép tầm phòng không gần (tham khảo khác: chiến sự hiện đại)</t>
        </is>
      </c>
      <c r="L56" t="inlineStr"/>
      <c r="M56" t="inlineStr"/>
      <c r="N56" t="inlineStr"/>
      <c r="O56" t="inlineStr">
        <is>
          <t>ban_dau_doan</t>
        </is>
      </c>
      <c r="P56" t="inlineStr">
        <is>
          <t>R_machine_brigade_ai_research</t>
        </is>
      </c>
      <c r="Q56" t="inlineStr"/>
      <c r="R56" t="inlineStr">
        <is>
          <t>chỉ ở mức ý tưởng và thông số (sự kiện); không dùng tên, logo, văn bản, ảnh hay mô hình có bản quyền; tên và phù hiệu quốc gia thật không hiện cho người chơi</t>
        </is>
      </c>
      <c r="S56" t="inlineStr">
        <is>
          <t>Trinh sát lâu trên trời, hoặc đánh từ xa bằng tên lửa nhỏ.</t>
        </is>
      </c>
      <c r="U56" t="inlineStr">
        <is>
          <t>Docs/ai/Machine_Brigade_AI_Research.xlsx: Vai trò UAV</t>
        </is>
      </c>
      <c r="V56" t="inlineStr"/>
    </row>
    <row r="57">
      <c r="A57" t="inlineStr">
        <is>
          <t>vai_tro/VBIED</t>
        </is>
      </c>
      <c r="B57" t="inlineStr">
        <is>
          <t>VBIED</t>
        </is>
      </c>
      <c r="C57" t="inlineStr">
        <is>
          <t>Xe bom</t>
        </is>
      </c>
      <c r="D57" t="inlineStr">
        <is>
          <t>hoc_thuyet_quan_su</t>
        </is>
      </c>
      <c r="E57" t="inlineStr"/>
      <c r="F57" t="inlineStr"/>
      <c r="G57" t="inlineStr"/>
      <c r="H57" t="inlineStr"/>
      <c r="I57" t="inlineStr"/>
      <c r="J57" t="inlineStr"/>
      <c r="K57" t="inlineStr">
        <is>
          <t>Đổi đường tránh phòng tuyến chống tăng (tham khảo khác: Chiến sự Mosul)</t>
        </is>
      </c>
      <c r="L57" t="inlineStr"/>
      <c r="M57" t="inlineStr"/>
      <c r="N57" t="inlineStr"/>
      <c r="O57" t="inlineStr">
        <is>
          <t>ban_dau_doan</t>
        </is>
      </c>
      <c r="P57" t="inlineStr">
        <is>
          <t>R_machine_brigade_ai_research</t>
        </is>
      </c>
      <c r="Q57" t="inlineStr"/>
      <c r="R57" t="inlineStr">
        <is>
          <t>chỉ ở mức ý tưởng và thông số (sự kiện); không dùng tên, logo, văn bản, ảnh hay mô hình có bản quyền; tên và phù hiệu quốc gia thật không hiện cho người chơi</t>
        </is>
      </c>
      <c r="S57" t="inlineStr">
        <is>
          <t>Lao thẳng vào cụm hoặc công trình, chọn lúc địch phân tán hỏa lực.</t>
        </is>
      </c>
      <c r="U57" t="inlineStr">
        <is>
          <t>Docs/ai/Machine_Brigade_AI_Research.xlsx: Vai trò VBIED</t>
        </is>
      </c>
      <c r="V57" t="inlineStr"/>
    </row>
  </sheetData>
  <autoFilter ref="A1:V57"/>
  <pageMargins left="0.75" right="0.75" top="1" bottom="1" header="0.5" footer="0.5"/>
</worksheet>
</file>

<file path=xl/worksheets/sheet2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15" customWidth="1" min="2" max="2"/>
    <col width="25" customWidth="1" min="3" max="3"/>
    <col width="12" customWidth="1" min="4" max="4"/>
    <col width="40" customWidth="1" min="5" max="5"/>
    <col width="8" customWidth="1" min="6" max="6"/>
    <col width="18" customWidth="1" min="7" max="7"/>
    <col width="16" customWidth="1" min="8" max="8"/>
    <col width="51" customWidth="1" min="9" max="9"/>
    <col width="60" customWidth="1" min="10" max="10"/>
    <col width="60" customWidth="1" min="11" max="11"/>
  </cols>
  <sheetData>
    <row r="1">
      <c r="A1" s="1" t="inlineStr">
        <is>
          <t>id</t>
        </is>
      </c>
      <c r="B1" s="1" t="inlineStr">
        <is>
          <t>nhom</t>
        </is>
      </c>
      <c r="C1" s="1" t="inlineStr">
        <is>
          <t>khoa</t>
        </is>
      </c>
      <c r="D1" s="1" t="inlineStr">
        <is>
          <t>gia_tri_so</t>
        </is>
      </c>
      <c r="E1" s="1" t="inlineStr">
        <is>
          <t>gia_tri_chu</t>
        </is>
      </c>
      <c r="F1" s="1" t="inlineStr">
        <is>
          <t>don_vi</t>
        </is>
      </c>
      <c r="G1" s="1" t="inlineStr">
        <is>
          <t>nhom_quet</t>
        </is>
      </c>
      <c r="H1" s="1" t="inlineStr">
        <is>
          <t>linh_vuc_ma_cu</t>
        </is>
      </c>
      <c r="I1" s="1" t="inlineStr">
        <is>
          <t>ma_nguon</t>
        </is>
      </c>
      <c r="J1" s="1" t="inlineStr">
        <is>
          <t>nguon</t>
        </is>
      </c>
      <c r="K1" s="1" t="inlineStr">
        <is>
          <t>raw_json</t>
        </is>
      </c>
    </row>
    <row r="2">
      <c r="A2" t="inlineStr">
        <is>
          <t>ai.adaptation.airHeavyShare</t>
        </is>
      </c>
      <c r="B2" t="inlineStr">
        <is>
          <t>adaptation</t>
        </is>
      </c>
      <c r="C2" t="inlineStr">
        <is>
          <t>airHeavyShare</t>
        </is>
      </c>
      <c r="D2" t="n">
        <v>0.35</v>
      </c>
      <c r="F2" t="inlineStr">
        <is>
          <t>share</t>
        </is>
      </c>
      <c r="G2" t="inlineStr">
        <is>
          <t>nguong</t>
        </is>
      </c>
      <c r="H2" t="inlineStr">
        <is>
          <t>06</t>
        </is>
      </c>
      <c r="I2" t="inlineStr">
        <is>
          <t>Adaptation.AirHeavyShare (AI MASTER P4)</t>
        </is>
      </c>
      <c r="J2" t="inlineStr">
        <is>
          <t>Assets/MachineBrigade/Resources/Data/tunables.json: ai.adaptation.airHeavyShare</t>
        </is>
      </c>
      <c r="K2" t="inlineStr">
        <is>
          <t>{"value":0.35,"unit":"share","kind":"nguong","linh_vuc":"06","code":"Adaptation.AirHeavyShare (AI MASTER P4)"}</t>
        </is>
      </c>
    </row>
    <row r="3">
      <c r="A3" t="inlineStr">
        <is>
          <t>ai.adaptation.baitRepeat</t>
        </is>
      </c>
      <c r="B3" t="inlineStr">
        <is>
          <t>adaptation</t>
        </is>
      </c>
      <c r="C3" t="inlineStr">
        <is>
          <t>baitRepeat</t>
        </is>
      </c>
      <c r="D3" t="n">
        <v>2</v>
      </c>
      <c r="F3" t="inlineStr">
        <is>
          <t>count</t>
        </is>
      </c>
      <c r="G3" t="inlineStr">
        <is>
          <t>nguong</t>
        </is>
      </c>
      <c r="H3" t="inlineStr">
        <is>
          <t>06</t>
        </is>
      </c>
      <c r="I3" t="inlineStr">
        <is>
          <t>Adaptation.BaitRepeat (AI MASTER P4)</t>
        </is>
      </c>
      <c r="J3" t="inlineStr">
        <is>
          <t>Assets/MachineBrigade/Resources/Data/tunables.json: ai.adaptation.baitRepeat</t>
        </is>
      </c>
      <c r="K3" t="inlineStr">
        <is>
          <t>{"value":2,"unit":"count","kind":"nguong","linh_vuc":"06","code":"Adaptation.BaitRepeat (AI MASTER P4)"}</t>
        </is>
      </c>
    </row>
    <row r="4">
      <c r="A4" t="inlineStr">
        <is>
          <t>ai.adaptation.campImpacts</t>
        </is>
      </c>
      <c r="B4" t="inlineStr">
        <is>
          <t>adaptation</t>
        </is>
      </c>
      <c r="C4" t="inlineStr">
        <is>
          <t>campImpacts</t>
        </is>
      </c>
      <c r="D4" t="n">
        <v>6</v>
      </c>
      <c r="F4" t="inlineStr">
        <is>
          <t>count</t>
        </is>
      </c>
      <c r="G4" t="inlineStr">
        <is>
          <t>nguong</t>
        </is>
      </c>
      <c r="H4" t="inlineStr">
        <is>
          <t>06</t>
        </is>
      </c>
      <c r="I4" t="inlineStr">
        <is>
          <t>Adaptation.CampImpacts (AI MASTER P4)</t>
        </is>
      </c>
      <c r="J4" t="inlineStr">
        <is>
          <t>Assets/MachineBrigade/Resources/Data/tunables.json: ai.adaptation.campImpacts</t>
        </is>
      </c>
      <c r="K4" t="inlineStr">
        <is>
          <t>{"value":6,"unit":"count","kind":"nguong","linh_vuc":"06","code":"Adaptation.CampImpacts (AI MASTER P4)"}</t>
        </is>
      </c>
    </row>
    <row r="5">
      <c r="A5" t="inlineStr">
        <is>
          <t>ai.adaptation.emaAlpha</t>
        </is>
      </c>
      <c r="B5" t="inlineStr">
        <is>
          <t>adaptation</t>
        </is>
      </c>
      <c r="C5" t="inlineStr">
        <is>
          <t>emaAlpha</t>
        </is>
      </c>
      <c r="D5" t="n">
        <v>0.2</v>
      </c>
      <c r="F5" t="inlineStr">
        <is>
          <t>share</t>
        </is>
      </c>
      <c r="G5" t="inlineStr">
        <is>
          <t>nguong</t>
        </is>
      </c>
      <c r="H5" t="inlineStr">
        <is>
          <t>06</t>
        </is>
      </c>
      <c r="I5" t="inlineStr">
        <is>
          <t>Adaptation.EmaAlpha (AI MASTER P4)</t>
        </is>
      </c>
      <c r="J5" t="inlineStr">
        <is>
          <t>Assets/MachineBrigade/Resources/Data/tunables.json: ai.adaptation.emaAlpha</t>
        </is>
      </c>
      <c r="K5" t="inlineStr">
        <is>
          <t>{"value":0.2,"unit":"share","kind":"nguong","linh_vuc":"06","code":"Adaptation.EmaAlpha (AI MASTER P4)"}</t>
        </is>
      </c>
    </row>
    <row r="6">
      <c r="A6" t="inlineStr">
        <is>
          <t>ai.adaptation.leashScale</t>
        </is>
      </c>
      <c r="B6" t="inlineStr">
        <is>
          <t>adaptation</t>
        </is>
      </c>
      <c r="C6" t="inlineStr">
        <is>
          <t>leashScale</t>
        </is>
      </c>
      <c r="D6" t="n">
        <v>0.6</v>
      </c>
      <c r="F6" t="inlineStr">
        <is>
          <t>x</t>
        </is>
      </c>
      <c r="G6" t="inlineStr">
        <is>
          <t>nguong</t>
        </is>
      </c>
      <c r="H6" t="inlineStr">
        <is>
          <t>06</t>
        </is>
      </c>
      <c r="I6" t="inlineStr">
        <is>
          <t>Adaptation.LeashScale (AI MASTER P4)</t>
        </is>
      </c>
      <c r="J6" t="inlineStr">
        <is>
          <t>Assets/MachineBrigade/Resources/Data/tunables.json: ai.adaptation.leashScale</t>
        </is>
      </c>
      <c r="K6" t="inlineStr">
        <is>
          <t>{"value":0.6,"unit":"x","kind":"nguong","linh_vuc":"06","code":"Adaptation.LeashScale (AI MASTER P4)"}</t>
        </is>
      </c>
    </row>
    <row r="7">
      <c r="A7" t="inlineStr">
        <is>
          <t>ai.adaptation.lowUtilization</t>
        </is>
      </c>
      <c r="B7" t="inlineStr">
        <is>
          <t>adaptation</t>
        </is>
      </c>
      <c r="C7" t="inlineStr">
        <is>
          <t>lowUtilization</t>
        </is>
      </c>
      <c r="D7" t="n">
        <v>0.15</v>
      </c>
      <c r="F7" t="inlineStr">
        <is>
          <t>share</t>
        </is>
      </c>
      <c r="G7" t="inlineStr">
        <is>
          <t>nguong</t>
        </is>
      </c>
      <c r="H7" t="inlineStr">
        <is>
          <t>06</t>
        </is>
      </c>
      <c r="I7" t="inlineStr">
        <is>
          <t>Adaptation.LowUtilization (AI MASTER P4)</t>
        </is>
      </c>
      <c r="J7" t="inlineStr">
        <is>
          <t>Assets/MachineBrigade/Resources/Data/tunables.json: ai.adaptation.lowUtilization</t>
        </is>
      </c>
      <c r="K7" t="inlineStr">
        <is>
          <t>{"value":0.15,"unit":"share","kind":"nguong","linh_vuc":"06","code":"Adaptation.LowUtilization (AI MASTER P4)"}</t>
        </is>
      </c>
    </row>
    <row r="8">
      <c r="A8" t="inlineStr">
        <is>
          <t>ai.adaptation.lowUtilizationS</t>
        </is>
      </c>
      <c r="B8" t="inlineStr">
        <is>
          <t>adaptation</t>
        </is>
      </c>
      <c r="C8" t="inlineStr">
        <is>
          <t>lowUtilizationS</t>
        </is>
      </c>
      <c r="D8" t="n">
        <v>20</v>
      </c>
      <c r="F8" t="inlineStr">
        <is>
          <t>s</t>
        </is>
      </c>
      <c r="G8" t="inlineStr">
        <is>
          <t>thoi_gian</t>
        </is>
      </c>
      <c r="H8" t="inlineStr">
        <is>
          <t>06</t>
        </is>
      </c>
      <c r="I8" t="inlineStr">
        <is>
          <t>Adaptation.LowUtilizationS (AI MASTER P4)</t>
        </is>
      </c>
      <c r="J8" t="inlineStr">
        <is>
          <t>Assets/MachineBrigade/Resources/Data/tunables.json: ai.adaptation.lowUtilizationS</t>
        </is>
      </c>
      <c r="K8" t="inlineStr">
        <is>
          <t>{"value":20.0,"unit":"s","kind":"thoi_gian","linh_vuc":"06","code":"Adaptation.LowUtilizationS (AI MASTER P4)"}</t>
        </is>
      </c>
    </row>
    <row r="9">
      <c r="A9" t="inlineStr">
        <is>
          <t>ai.adaptation.purchaseFloor</t>
        </is>
      </c>
      <c r="B9" t="inlineStr">
        <is>
          <t>adaptation</t>
        </is>
      </c>
      <c r="C9" t="inlineStr">
        <is>
          <t>purchaseFloor</t>
        </is>
      </c>
      <c r="D9" t="n">
        <v>0.5</v>
      </c>
      <c r="F9" t="inlineStr">
        <is>
          <t>x</t>
        </is>
      </c>
      <c r="G9" t="inlineStr">
        <is>
          <t>nguong</t>
        </is>
      </c>
      <c r="H9" t="inlineStr">
        <is>
          <t>06</t>
        </is>
      </c>
      <c r="I9" t="inlineStr">
        <is>
          <t>Adaptation.PurchaseFloor (AI MASTER P4)</t>
        </is>
      </c>
      <c r="J9" t="inlineStr">
        <is>
          <t>Assets/MachineBrigade/Resources/Data/tunables.json: ai.adaptation.purchaseFloor</t>
        </is>
      </c>
      <c r="K9" t="inlineStr">
        <is>
          <t>{"value":0.5,"unit":"x","kind":"nguong","linh_vuc":"06","code":"Adaptation.PurchaseFloor (AI MASTER P4)"}</t>
        </is>
      </c>
    </row>
    <row r="10">
      <c r="A10" t="inlineStr">
        <is>
          <t>ai.adaptation.reconBoost</t>
        </is>
      </c>
      <c r="B10" t="inlineStr">
        <is>
          <t>adaptation</t>
        </is>
      </c>
      <c r="C10" t="inlineStr">
        <is>
          <t>reconBoost</t>
        </is>
      </c>
      <c r="D10" t="n">
        <v>0.15</v>
      </c>
      <c r="F10" t="inlineStr">
        <is>
          <t>share</t>
        </is>
      </c>
      <c r="G10" t="inlineStr">
        <is>
          <t>nguong</t>
        </is>
      </c>
      <c r="H10" t="inlineStr">
        <is>
          <t>06</t>
        </is>
      </c>
      <c r="I10" t="inlineStr">
        <is>
          <t>Adaptation.ReconBoost (AI MASTER P4)</t>
        </is>
      </c>
      <c r="J10" t="inlineStr">
        <is>
          <t>Assets/MachineBrigade/Resources/Data/tunables.json: ai.adaptation.reconBoost</t>
        </is>
      </c>
      <c r="K10" t="inlineStr">
        <is>
          <t>{"value":0.15,"unit":"share","kind":"nguong","linh_vuc":"06","code":"Adaptation.ReconBoost (AI MASTER P4)"}</t>
        </is>
      </c>
    </row>
    <row r="11">
      <c r="A11" t="inlineStr">
        <is>
          <t>ai.adaptation.towerCount</t>
        </is>
      </c>
      <c r="B11" t="inlineStr">
        <is>
          <t>adaptation</t>
        </is>
      </c>
      <c r="C11" t="inlineStr">
        <is>
          <t>towerCount</t>
        </is>
      </c>
      <c r="D11" t="n">
        <v>3</v>
      </c>
      <c r="F11" t="inlineStr">
        <is>
          <t>count</t>
        </is>
      </c>
      <c r="G11" t="inlineStr">
        <is>
          <t>nguong</t>
        </is>
      </c>
      <c r="H11" t="inlineStr">
        <is>
          <t>06</t>
        </is>
      </c>
      <c r="I11" t="inlineStr">
        <is>
          <t>Adaptation.TowerCount (AI MASTER P4)</t>
        </is>
      </c>
      <c r="J11" t="inlineStr">
        <is>
          <t>Assets/MachineBrigade/Resources/Data/tunables.json: ai.adaptation.towerCount</t>
        </is>
      </c>
      <c r="K11" t="inlineStr">
        <is>
          <t>{"value":3,"unit":"count","kind":"nguong","linh_vuc":"06","code":"Adaptation.TowerCount (AI MASTER P4)"}</t>
        </is>
      </c>
    </row>
    <row r="12">
      <c r="A12" t="inlineStr">
        <is>
          <t>ai.airOps.bomberBlastGap</t>
        </is>
      </c>
      <c r="B12" t="inlineStr">
        <is>
          <t>airOps</t>
        </is>
      </c>
      <c r="C12" t="inlineStr">
        <is>
          <t>bomberBlastGap</t>
        </is>
      </c>
      <c r="D12" t="n">
        <v>8</v>
      </c>
      <c r="F12" t="inlineStr">
        <is>
          <t>m</t>
        </is>
      </c>
      <c r="G12" t="inlineStr">
        <is>
          <t>ban_kinh</t>
        </is>
      </c>
      <c r="H12" t="inlineStr">
        <is>
          <t>06</t>
        </is>
      </c>
      <c r="I12" t="inlineStr">
        <is>
          <t>AirOps.BomberBlastGap (AI MASTER P4)</t>
        </is>
      </c>
      <c r="J12" t="inlineStr">
        <is>
          <t>Assets/MachineBrigade/Resources/Data/tunables.json: ai.airOps.bomberBlastGap</t>
        </is>
      </c>
      <c r="K12" t="inlineStr">
        <is>
          <t>{"value":8.0,"unit":"m","kind":"ban_kinh","linh_vuc":"06","code":"AirOps.BomberBlastGap (AI MASTER P4)"}</t>
        </is>
      </c>
    </row>
    <row r="13">
      <c r="A13" t="inlineStr">
        <is>
          <t>ai.airOps.bomberMinValue</t>
        </is>
      </c>
      <c r="B13" t="inlineStr">
        <is>
          <t>airOps</t>
        </is>
      </c>
      <c r="C13" t="inlineStr">
        <is>
          <t>bomberMinValue</t>
        </is>
      </c>
      <c r="D13" t="n">
        <v>8</v>
      </c>
      <c r="F13" t="inlineStr">
        <is>
          <t>x</t>
        </is>
      </c>
      <c r="G13" t="inlineStr">
        <is>
          <t>nguong</t>
        </is>
      </c>
      <c r="H13" t="inlineStr">
        <is>
          <t>06</t>
        </is>
      </c>
      <c r="I13" t="inlineStr">
        <is>
          <t>AirOps.BomberMinValue (AI MASTER P4)</t>
        </is>
      </c>
      <c r="J13" t="inlineStr">
        <is>
          <t>Assets/MachineBrigade/Resources/Data/tunables.json: ai.airOps.bomberMinValue</t>
        </is>
      </c>
      <c r="K13" t="inlineStr">
        <is>
          <t>{"value":8.0,"unit":"x","kind":"nguong","linh_vuc":"06","code":"AirOps.BomberMinValue (AI MASTER P4)"}</t>
        </is>
      </c>
    </row>
    <row r="14">
      <c r="A14" t="inlineStr">
        <is>
          <t>ai.airOps.bomberRiskMax</t>
        </is>
      </c>
      <c r="B14" t="inlineStr">
        <is>
          <t>airOps</t>
        </is>
      </c>
      <c r="C14" t="inlineStr">
        <is>
          <t>bomberRiskMax</t>
        </is>
      </c>
      <c r="D14" t="n">
        <v>1.5</v>
      </c>
      <c r="F14" t="inlineStr">
        <is>
          <t>x</t>
        </is>
      </c>
      <c r="G14" t="inlineStr">
        <is>
          <t>nguong</t>
        </is>
      </c>
      <c r="H14" t="inlineStr">
        <is>
          <t>06</t>
        </is>
      </c>
      <c r="I14" t="inlineStr">
        <is>
          <t>AirOps.BomberRiskMax (AI MASTER P4)</t>
        </is>
      </c>
      <c r="J14" t="inlineStr">
        <is>
          <t>Assets/MachineBrigade/Resources/Data/tunables.json: ai.airOps.bomberRiskMax</t>
        </is>
      </c>
      <c r="K14" t="inlineStr">
        <is>
          <t>{"value":1.5,"unit":"x","kind":"nguong","linh_vuc":"06","code":"AirOps.BomberRiskMax (AI MASTER P4)"}</t>
        </is>
      </c>
    </row>
    <row r="15">
      <c r="A15" t="inlineStr">
        <is>
          <t>ai.airOps.bomberWaitMaxS</t>
        </is>
      </c>
      <c r="B15" t="inlineStr">
        <is>
          <t>airOps</t>
        </is>
      </c>
      <c r="C15" t="inlineStr">
        <is>
          <t>bomberWaitMaxS</t>
        </is>
      </c>
      <c r="D15" t="n">
        <v>30</v>
      </c>
      <c r="F15" t="inlineStr">
        <is>
          <t>s</t>
        </is>
      </c>
      <c r="G15" t="inlineStr">
        <is>
          <t>thoi_gian</t>
        </is>
      </c>
      <c r="H15" t="inlineStr">
        <is>
          <t>06</t>
        </is>
      </c>
      <c r="I15" t="inlineStr">
        <is>
          <t>AirOps.BomberWaitMaxS (AI MASTER P4)</t>
        </is>
      </c>
      <c r="J15" t="inlineStr">
        <is>
          <t>Assets/MachineBrigade/Resources/Data/tunables.json: ai.airOps.bomberWaitMaxS</t>
        </is>
      </c>
      <c r="K15" t="inlineStr">
        <is>
          <t>{"value":30.0,"unit":"s","kind":"thoi_gian","linh_vuc":"06","code":"AirOps.BomberWaitMaxS (AI MASTER P4)"}</t>
        </is>
      </c>
    </row>
    <row r="16">
      <c r="A16" t="inlineStr">
        <is>
          <t>ai.airOps.capLeash</t>
        </is>
      </c>
      <c r="B16" t="inlineStr">
        <is>
          <t>airOps</t>
        </is>
      </c>
      <c r="C16" t="inlineStr">
        <is>
          <t>capLeash</t>
        </is>
      </c>
      <c r="D16" t="n">
        <v>1.5</v>
      </c>
      <c r="F16" t="inlineStr">
        <is>
          <t>x</t>
        </is>
      </c>
      <c r="G16" t="inlineStr">
        <is>
          <t>nguong</t>
        </is>
      </c>
      <c r="H16" t="inlineStr">
        <is>
          <t>06</t>
        </is>
      </c>
      <c r="I16" t="inlineStr">
        <is>
          <t>AirOps.CapLeash (AI MASTER P4)</t>
        </is>
      </c>
      <c r="J16" t="inlineStr">
        <is>
          <t>Assets/MachineBrigade/Resources/Data/tunables.json: ai.airOps.capLeash</t>
        </is>
      </c>
      <c r="K16" t="inlineStr">
        <is>
          <t>{"value":1.5,"unit":"x","kind":"nguong","linh_vuc":"06","code":"AirOps.CapLeash (AI MASTER P4)"}</t>
        </is>
      </c>
    </row>
    <row r="17">
      <c r="A17" t="inlineStr">
        <is>
          <t>ai.airOps.capPatrolS</t>
        </is>
      </c>
      <c r="B17" t="inlineStr">
        <is>
          <t>airOps</t>
        </is>
      </c>
      <c r="C17" t="inlineStr">
        <is>
          <t>capPatrolS</t>
        </is>
      </c>
      <c r="D17" t="n">
        <v>8</v>
      </c>
      <c r="F17" t="inlineStr">
        <is>
          <t>s</t>
        </is>
      </c>
      <c r="G17" t="inlineStr">
        <is>
          <t>thoi_gian</t>
        </is>
      </c>
      <c r="H17" t="inlineStr">
        <is>
          <t>06</t>
        </is>
      </c>
      <c r="I17" t="inlineStr">
        <is>
          <t>AirOps.CapPatrolS (AI MASTER P4)</t>
        </is>
      </c>
      <c r="J17" t="inlineStr">
        <is>
          <t>Assets/MachineBrigade/Resources/Data/tunables.json: ai.airOps.capPatrolS</t>
        </is>
      </c>
      <c r="K17" t="inlineStr">
        <is>
          <t>{"value":8.0,"unit":"s","kind":"thoi_gian","linh_vuc":"06","code":"AirOps.CapPatrolS (AI MASTER P4)"}</t>
        </is>
      </c>
    </row>
    <row r="18">
      <c r="A18" t="inlineStr">
        <is>
          <t>ai.airOps.capRadius</t>
        </is>
      </c>
      <c r="B18" t="inlineStr">
        <is>
          <t>airOps</t>
        </is>
      </c>
      <c r="C18" t="inlineStr">
        <is>
          <t>capRadius</t>
        </is>
      </c>
      <c r="D18" t="n">
        <v>60</v>
      </c>
      <c r="F18" t="inlineStr">
        <is>
          <t>m</t>
        </is>
      </c>
      <c r="G18" t="inlineStr">
        <is>
          <t>ban_kinh</t>
        </is>
      </c>
      <c r="H18" t="inlineStr">
        <is>
          <t>06</t>
        </is>
      </c>
      <c r="I18" t="inlineStr">
        <is>
          <t>AirOps.CapRadius (AI MASTER P4)</t>
        </is>
      </c>
      <c r="J18" t="inlineStr">
        <is>
          <t>Assets/MachineBrigade/Resources/Data/tunables.json: ai.airOps.capRadius</t>
        </is>
      </c>
      <c r="K18" t="inlineStr">
        <is>
          <t>{"value":60.0,"unit":"m","kind":"ban_kinh","linh_vuc":"06","code":"AirOps.CapRadius (AI MASTER P4)"}</t>
        </is>
      </c>
    </row>
    <row r="19">
      <c r="A19" t="inlineStr">
        <is>
          <t>ai.airOps.handoffMax</t>
        </is>
      </c>
      <c r="B19" t="inlineStr">
        <is>
          <t>airOps</t>
        </is>
      </c>
      <c r="C19" t="inlineStr">
        <is>
          <t>handoffMax</t>
        </is>
      </c>
      <c r="D19" t="n">
        <v>2</v>
      </c>
      <c r="F19" t="inlineStr">
        <is>
          <t>count</t>
        </is>
      </c>
      <c r="G19" t="inlineStr">
        <is>
          <t>nguong</t>
        </is>
      </c>
      <c r="H19" t="inlineStr">
        <is>
          <t>06</t>
        </is>
      </c>
      <c r="I19" t="inlineStr">
        <is>
          <t>AirOps.HandoffMax (AI MASTER P4)</t>
        </is>
      </c>
      <c r="J19" t="inlineStr">
        <is>
          <t>Assets/MachineBrigade/Resources/Data/tunables.json: ai.airOps.handoffMax</t>
        </is>
      </c>
      <c r="K19" t="inlineStr">
        <is>
          <t>{"value":2,"unit":"count","kind":"nguong","linh_vuc":"06","code":"AirOps.HandoffMax (AI MASTER P4)"}</t>
        </is>
      </c>
    </row>
    <row r="20">
      <c r="A20" t="inlineStr">
        <is>
          <t>ai.airOps.handoffTtkS</t>
        </is>
      </c>
      <c r="B20" t="inlineStr">
        <is>
          <t>airOps</t>
        </is>
      </c>
      <c r="C20" t="inlineStr">
        <is>
          <t>handoffTtkS</t>
        </is>
      </c>
      <c r="D20" t="n">
        <v>4</v>
      </c>
      <c r="F20" t="inlineStr">
        <is>
          <t>s</t>
        </is>
      </c>
      <c r="G20" t="inlineStr">
        <is>
          <t>thoi_gian</t>
        </is>
      </c>
      <c r="H20" t="inlineStr">
        <is>
          <t>06</t>
        </is>
      </c>
      <c r="I20" t="inlineStr">
        <is>
          <t>AirOps.HandoffTtkS (AI MASTER P4)</t>
        </is>
      </c>
      <c r="J20" t="inlineStr">
        <is>
          <t>Assets/MachineBrigade/Resources/Data/tunables.json: ai.airOps.handoffTtkS</t>
        </is>
      </c>
      <c r="K20" t="inlineStr">
        <is>
          <t>{"value":4.0,"unit":"s","kind":"thoi_gian","linh_vuc":"06","code":"AirOps.HandoffTtkS (AI MASTER P4)"}</t>
        </is>
      </c>
    </row>
    <row r="21">
      <c r="A21" t="inlineStr">
        <is>
          <t>ai.airOps.interceptHorizonS</t>
        </is>
      </c>
      <c r="B21" t="inlineStr">
        <is>
          <t>airOps</t>
        </is>
      </c>
      <c r="C21" t="inlineStr">
        <is>
          <t>interceptHorizonS</t>
        </is>
      </c>
      <c r="D21" t="n">
        <v>6</v>
      </c>
      <c r="F21" t="inlineStr">
        <is>
          <t>s</t>
        </is>
      </c>
      <c r="G21" t="inlineStr">
        <is>
          <t>thoi_gian</t>
        </is>
      </c>
      <c r="H21" t="inlineStr">
        <is>
          <t>06</t>
        </is>
      </c>
      <c r="I21" t="inlineStr">
        <is>
          <t>AirOps.InterceptHorizonS (AI MASTER P4)</t>
        </is>
      </c>
      <c r="J21" t="inlineStr">
        <is>
          <t>Assets/MachineBrigade/Resources/Data/tunables.json: ai.airOps.interceptHorizonS</t>
        </is>
      </c>
      <c r="K21" t="inlineStr">
        <is>
          <t>{"value":6.0,"unit":"s","kind":"thoi_gian","linh_vuc":"06","code":"AirOps.InterceptHorizonS (AI MASTER P4)"}</t>
        </is>
      </c>
    </row>
    <row r="22">
      <c r="A22" t="inlineStr">
        <is>
          <t>ai.airOps.riskPassLimit</t>
        </is>
      </c>
      <c r="B22" t="inlineStr">
        <is>
          <t>airOps</t>
        </is>
      </c>
      <c r="C22" t="inlineStr">
        <is>
          <t>riskPassLimit</t>
        </is>
      </c>
      <c r="D22" t="n">
        <v>1</v>
      </c>
      <c r="F22" t="inlineStr">
        <is>
          <t>count</t>
        </is>
      </c>
      <c r="G22" t="inlineStr">
        <is>
          <t>nguong</t>
        </is>
      </c>
      <c r="H22" t="inlineStr">
        <is>
          <t>06</t>
        </is>
      </c>
      <c r="I22" t="inlineStr">
        <is>
          <t>AirOps.RiskPassLimit (AI MASTER P4)</t>
        </is>
      </c>
      <c r="J22" t="inlineStr">
        <is>
          <t>Assets/MachineBrigade/Resources/Data/tunables.json: ai.airOps.riskPassLimit</t>
        </is>
      </c>
      <c r="K22" t="inlineStr">
        <is>
          <t>{"value":1,"unit":"count","kind":"nguong","linh_vuc":"06","code":"AirOps.RiskPassLimit (AI MASTER P4)"}</t>
        </is>
      </c>
    </row>
    <row r="23">
      <c r="A23" t="inlineStr">
        <is>
          <t>ai.airOps.riskSamples</t>
        </is>
      </c>
      <c r="B23" t="inlineStr">
        <is>
          <t>airOps</t>
        </is>
      </c>
      <c r="C23" t="inlineStr">
        <is>
          <t>riskSamples</t>
        </is>
      </c>
      <c r="D23" t="n">
        <v>6</v>
      </c>
      <c r="F23" t="inlineStr">
        <is>
          <t>count</t>
        </is>
      </c>
      <c r="G23" t="inlineStr">
        <is>
          <t>nguong</t>
        </is>
      </c>
      <c r="H23" t="inlineStr">
        <is>
          <t>06</t>
        </is>
      </c>
      <c r="I23" t="inlineStr">
        <is>
          <t>AirOps.RiskSamples (AI MASTER P4)</t>
        </is>
      </c>
      <c r="J23" t="inlineStr">
        <is>
          <t>Assets/MachineBrigade/Resources/Data/tunables.json: ai.airOps.riskSamples</t>
        </is>
      </c>
      <c r="K23" t="inlineStr">
        <is>
          <t>{"value":6,"unit":"count","kind":"nguong","linh_vuc":"06","code":"AirOps.RiskSamples (AI MASTER P4)"}</t>
        </is>
      </c>
    </row>
    <row r="24">
      <c r="A24" t="inlineStr">
        <is>
          <t>ai.airOps.seadHoldS</t>
        </is>
      </c>
      <c r="B24" t="inlineStr">
        <is>
          <t>airOps</t>
        </is>
      </c>
      <c r="C24" t="inlineStr">
        <is>
          <t>seadHoldS</t>
        </is>
      </c>
      <c r="D24" t="n">
        <v>12</v>
      </c>
      <c r="F24" t="inlineStr">
        <is>
          <t>s</t>
        </is>
      </c>
      <c r="G24" t="inlineStr">
        <is>
          <t>thoi_gian</t>
        </is>
      </c>
      <c r="H24" t="inlineStr">
        <is>
          <t>06</t>
        </is>
      </c>
      <c r="I24" t="inlineStr">
        <is>
          <t>AirOps.SeadHoldS (AI MASTER P4)</t>
        </is>
      </c>
      <c r="J24" t="inlineStr">
        <is>
          <t>Assets/MachineBrigade/Resources/Data/tunables.json: ai.airOps.seadHoldS</t>
        </is>
      </c>
      <c r="K24" t="inlineStr">
        <is>
          <t>{"value":12.0,"unit":"s","kind":"thoi_gian","linh_vuc":"06","code":"AirOps.SeadHoldS (AI MASTER P4)"}</t>
        </is>
      </c>
    </row>
    <row r="25">
      <c r="A25" t="inlineStr">
        <is>
          <t>ai.airOps.seadStandoff</t>
        </is>
      </c>
      <c r="B25" t="inlineStr">
        <is>
          <t>airOps</t>
        </is>
      </c>
      <c r="C25" t="inlineStr">
        <is>
          <t>seadStandoff</t>
        </is>
      </c>
      <c r="D25" t="n">
        <v>50</v>
      </c>
      <c r="F25" t="inlineStr">
        <is>
          <t>m</t>
        </is>
      </c>
      <c r="G25" t="inlineStr">
        <is>
          <t>ban_kinh</t>
        </is>
      </c>
      <c r="H25" t="inlineStr">
        <is>
          <t>06</t>
        </is>
      </c>
      <c r="I25" t="inlineStr">
        <is>
          <t>AirOps.SeadStandoff (AI MASTER P4)</t>
        </is>
      </c>
      <c r="J25" t="inlineStr">
        <is>
          <t>Assets/MachineBrigade/Resources/Data/tunables.json: ai.airOps.seadStandoff</t>
        </is>
      </c>
      <c r="K25" t="inlineStr">
        <is>
          <t>{"value":50.0,"unit":"m","kind":"ban_kinh","linh_vuc":"06","code":"AirOps.SeadStandoff (AI MASTER P4)"}</t>
        </is>
      </c>
    </row>
    <row r="26">
      <c r="A26" t="inlineStr">
        <is>
          <t>ai.airOps.seadThreat</t>
        </is>
      </c>
      <c r="B26" t="inlineStr">
        <is>
          <t>airOps</t>
        </is>
      </c>
      <c r="C26" t="inlineStr">
        <is>
          <t>seadThreat</t>
        </is>
      </c>
      <c r="D26" t="n">
        <v>1</v>
      </c>
      <c r="F26" t="inlineStr">
        <is>
          <t>x</t>
        </is>
      </c>
      <c r="G26" t="inlineStr">
        <is>
          <t>nguong</t>
        </is>
      </c>
      <c r="H26" t="inlineStr">
        <is>
          <t>06</t>
        </is>
      </c>
      <c r="I26" t="inlineStr">
        <is>
          <t>AirOps.SeadThreat (AI MASTER P4)</t>
        </is>
      </c>
      <c r="J26" t="inlineStr">
        <is>
          <t>Assets/MachineBrigade/Resources/Data/tunables.json: ai.airOps.seadThreat</t>
        </is>
      </c>
      <c r="K26" t="inlineStr">
        <is>
          <t>{"value":1.0,"unit":"x","kind":"nguong","linh_vuc":"06","code":"AirOps.SeadThreat (AI MASTER P4)"}</t>
        </is>
      </c>
    </row>
    <row r="27">
      <c r="A27" t="inlineStr">
        <is>
          <t>ai.ammo.emergencyUrgency</t>
        </is>
      </c>
      <c r="B27" t="inlineStr">
        <is>
          <t>ammo</t>
        </is>
      </c>
      <c r="C27" t="inlineStr">
        <is>
          <t>emergencyUrgency</t>
        </is>
      </c>
      <c r="D27" t="n">
        <v>0.75</v>
      </c>
      <c r="F27" t="inlineStr">
        <is>
          <t>share</t>
        </is>
      </c>
      <c r="G27" t="inlineStr">
        <is>
          <t>nguong</t>
        </is>
      </c>
      <c r="H27" t="inlineStr">
        <is>
          <t>06</t>
        </is>
      </c>
      <c r="I27" t="inlineStr">
        <is>
          <t>Ammo.EmergencyUrgency (AI MASTER P5)</t>
        </is>
      </c>
      <c r="J27" t="inlineStr">
        <is>
          <t>Assets/MachineBrigade/Resources/Data/tunables.json: ai.ammo.emergencyUrgency</t>
        </is>
      </c>
      <c r="K27" t="inlineStr">
        <is>
          <t>{"value":0.75,"unit":"share","kind":"nguong","linh_vuc":"06","code":"Ammo.EmergencyUrgency (AI MASTER P5)"}</t>
        </is>
      </c>
    </row>
    <row r="28">
      <c r="A28" t="inlineStr">
        <is>
          <t>ai.ammo.enabled</t>
        </is>
      </c>
      <c r="B28" t="inlineStr">
        <is>
          <t>ammo</t>
        </is>
      </c>
      <c r="C28" t="inlineStr">
        <is>
          <t>enabled</t>
        </is>
      </c>
      <c r="D28" t="b">
        <v>1</v>
      </c>
      <c r="F28" t="inlineStr">
        <is>
          <t>flag</t>
        </is>
      </c>
      <c r="G28" t="inlineStr">
        <is>
          <t>khac</t>
        </is>
      </c>
      <c r="H28" t="inlineStr">
        <is>
          <t>06</t>
        </is>
      </c>
      <c r="I28" t="inlineStr">
        <is>
          <t>Ammo.Enabled (AI MASTER P5)</t>
        </is>
      </c>
      <c r="J28" t="inlineStr">
        <is>
          <t>Assets/MachineBrigade/Resources/Data/tunables.json: ai.ammo.enabled</t>
        </is>
      </c>
      <c r="K28" t="inlineStr">
        <is>
          <t>{"value":true,"unit":"flag","kind":"khac","linh_vuc":"06","code":"Ammo.Enabled (AI MASTER P5)"}</t>
        </is>
      </c>
    </row>
    <row r="29">
      <c r="A29" t="inlineStr">
        <is>
          <t>ai.ammo.keepTargetWhileReloading</t>
        </is>
      </c>
      <c r="B29" t="inlineStr">
        <is>
          <t>ammo</t>
        </is>
      </c>
      <c r="C29" t="inlineStr">
        <is>
          <t>keepTargetWhileReloading</t>
        </is>
      </c>
      <c r="D29" t="b">
        <v>1</v>
      </c>
      <c r="F29" t="inlineStr">
        <is>
          <t>flag</t>
        </is>
      </c>
      <c r="G29" t="inlineStr">
        <is>
          <t>khac</t>
        </is>
      </c>
      <c r="H29" t="inlineStr">
        <is>
          <t>06</t>
        </is>
      </c>
      <c r="I29" t="inlineStr">
        <is>
          <t>Ammo.KeepTargetWhileReloading (AI MASTER P5)</t>
        </is>
      </c>
      <c r="J29" t="inlineStr">
        <is>
          <t>Assets/MachineBrigade/Resources/Data/tunables.json: ai.ammo.keepTargetWhileReloading</t>
        </is>
      </c>
      <c r="K29" t="inlineStr">
        <is>
          <t>{"value":true,"unit":"flag","kind":"khac","linh_vuc":"06","code":"Ammo.KeepTargetWhileReloading (AI MASTER P5)"}</t>
        </is>
      </c>
    </row>
    <row r="30">
      <c r="A30" t="inlineStr">
        <is>
          <t>ai.ammo.meaningfulReloadS</t>
        </is>
      </c>
      <c r="B30" t="inlineStr">
        <is>
          <t>ammo</t>
        </is>
      </c>
      <c r="C30" t="inlineStr">
        <is>
          <t>meaningfulReloadS</t>
        </is>
      </c>
      <c r="D30" t="n">
        <v>2</v>
      </c>
      <c r="F30" t="inlineStr">
        <is>
          <t>s</t>
        </is>
      </c>
      <c r="G30" t="inlineStr">
        <is>
          <t>thoi_gian</t>
        </is>
      </c>
      <c r="H30" t="inlineStr">
        <is>
          <t>06</t>
        </is>
      </c>
      <c r="I30" t="inlineStr">
        <is>
          <t>Ammo.MeaningfulReloadS (AI MASTER P5)</t>
        </is>
      </c>
      <c r="J30" t="inlineStr">
        <is>
          <t>Assets/MachineBrigade/Resources/Data/tunables.json: ai.ammo.meaningfulReloadS</t>
        </is>
      </c>
      <c r="K30" t="inlineStr">
        <is>
          <t>{"value":2.0,"unit":"s","kind":"thoi_gian","linh_vuc":"06","code":"Ammo.MeaningfulReloadS (AI MASTER P5)"}</t>
        </is>
      </c>
    </row>
    <row r="31">
      <c r="A31" t="inlineStr">
        <is>
          <t>ai.ammo.nearEmptyShare</t>
        </is>
      </c>
      <c r="B31" t="inlineStr">
        <is>
          <t>ammo</t>
        </is>
      </c>
      <c r="C31" t="inlineStr">
        <is>
          <t>nearEmptyShare</t>
        </is>
      </c>
      <c r="D31" t="n">
        <v>0.25</v>
      </c>
      <c r="F31" t="inlineStr">
        <is>
          <t>share</t>
        </is>
      </c>
      <c r="G31" t="inlineStr">
        <is>
          <t>nguong</t>
        </is>
      </c>
      <c r="H31" t="inlineStr">
        <is>
          <t>06</t>
        </is>
      </c>
      <c r="I31" t="inlineStr">
        <is>
          <t>Ammo.NearEmptyShare (AI MASTER P5)</t>
        </is>
      </c>
      <c r="J31" t="inlineStr">
        <is>
          <t>Assets/MachineBrigade/Resources/Data/tunables.json: ai.ammo.nearEmptyShare</t>
        </is>
      </c>
      <c r="K31" t="inlineStr">
        <is>
          <t>{"value":0.25,"unit":"share","kind":"nguong","linh_vuc":"06","code":"Ammo.NearEmptyShare (AI MASTER P5)"}</t>
        </is>
      </c>
    </row>
    <row r="32">
      <c r="A32" t="inlineStr">
        <is>
          <t>ai.ammo.repositionMinReloadS</t>
        </is>
      </c>
      <c r="B32" t="inlineStr">
        <is>
          <t>ammo</t>
        </is>
      </c>
      <c r="C32" t="inlineStr">
        <is>
          <t>repositionMinReloadS</t>
        </is>
      </c>
      <c r="D32" t="n">
        <v>3</v>
      </c>
      <c r="F32" t="inlineStr">
        <is>
          <t>s</t>
        </is>
      </c>
      <c r="G32" t="inlineStr">
        <is>
          <t>thoi_gian</t>
        </is>
      </c>
      <c r="H32" t="inlineStr">
        <is>
          <t>06</t>
        </is>
      </c>
      <c r="I32" t="inlineStr">
        <is>
          <t>Ammo.RepositionMinReloadS (AI MASTER P5)</t>
        </is>
      </c>
      <c r="J32" t="inlineStr">
        <is>
          <t>Assets/MachineBrigade/Resources/Data/tunables.json: ai.ammo.repositionMinReloadS</t>
        </is>
      </c>
      <c r="K32" t="inlineStr">
        <is>
          <t>{"value":3.0,"unit":"s","kind":"thoi_gian","linh_vuc":"06","code":"Ammo.RepositionMinReloadS (AI MASTER P5)"}</t>
        </is>
      </c>
    </row>
    <row r="33">
      <c r="A33" t="inlineStr">
        <is>
          <t>ai.ammo.scootMinReloadS</t>
        </is>
      </c>
      <c r="B33" t="inlineStr">
        <is>
          <t>ammo</t>
        </is>
      </c>
      <c r="C33" t="inlineStr">
        <is>
          <t>scootMinReloadS</t>
        </is>
      </c>
      <c r="D33" t="n">
        <v>4</v>
      </c>
      <c r="F33" t="inlineStr">
        <is>
          <t>s</t>
        </is>
      </c>
      <c r="G33" t="inlineStr">
        <is>
          <t>thoi_gian</t>
        </is>
      </c>
      <c r="H33" t="inlineStr">
        <is>
          <t>06</t>
        </is>
      </c>
      <c r="I33" t="inlineStr">
        <is>
          <t>Ammo.ScootMinReloadS (AI MASTER P5)</t>
        </is>
      </c>
      <c r="J33" t="inlineStr">
        <is>
          <t>Assets/MachineBrigade/Resources/Data/tunables.json: ai.ammo.scootMinReloadS</t>
        </is>
      </c>
      <c r="K33" t="inlineStr">
        <is>
          <t>{"value":4.0,"unit":"s","kind":"thoi_gian","linh_vuc":"06","code":"Ammo.ScootMinReloadS (AI MASTER P5)"}</t>
        </is>
      </c>
    </row>
    <row r="34">
      <c r="A34" t="inlineStr">
        <is>
          <t>ai.attackSync.airToleranceS</t>
        </is>
      </c>
      <c r="B34" t="inlineStr">
        <is>
          <t>attackSync</t>
        </is>
      </c>
      <c r="C34" t="inlineStr">
        <is>
          <t>airToleranceS</t>
        </is>
      </c>
      <c r="D34" t="n">
        <v>4</v>
      </c>
      <c r="F34" t="inlineStr">
        <is>
          <t>s</t>
        </is>
      </c>
      <c r="G34" t="inlineStr">
        <is>
          <t>thoi_gian</t>
        </is>
      </c>
      <c r="H34" t="inlineStr">
        <is>
          <t>06</t>
        </is>
      </c>
      <c r="I34" t="inlineStr">
        <is>
          <t>AttackSync.AirToleranceS (AI MASTER P3)</t>
        </is>
      </c>
      <c r="J34" t="inlineStr">
        <is>
          <t>Assets/MachineBrigade/Resources/Data/tunables.json: ai.attackSync.airToleranceS</t>
        </is>
      </c>
      <c r="K34" t="inlineStr">
        <is>
          <t>{"value":4.0,"unit":"s","kind":"thoi_gian","linh_vuc":"06","code":"AttackSync.AirToleranceS (AI MASTER P3)"}</t>
        </is>
      </c>
    </row>
    <row r="35">
      <c r="A35" t="inlineStr">
        <is>
          <t>ai.attackSync.artilleryPrepLeadS</t>
        </is>
      </c>
      <c r="B35" t="inlineStr">
        <is>
          <t>attackSync</t>
        </is>
      </c>
      <c r="C35" t="inlineStr">
        <is>
          <t>artilleryPrepLeadS</t>
        </is>
      </c>
      <c r="D35" t="n">
        <v>2</v>
      </c>
      <c r="F35" t="inlineStr">
        <is>
          <t>s</t>
        </is>
      </c>
      <c r="G35" t="inlineStr">
        <is>
          <t>thoi_gian</t>
        </is>
      </c>
      <c r="H35" t="inlineStr">
        <is>
          <t>06</t>
        </is>
      </c>
      <c r="I35" t="inlineStr">
        <is>
          <t>AttackSync.ArtilleryPrepLeadS (AI MASTER P3)</t>
        </is>
      </c>
      <c r="J35" t="inlineStr">
        <is>
          <t>Assets/MachineBrigade/Resources/Data/tunables.json: ai.attackSync.artilleryPrepLeadS</t>
        </is>
      </c>
      <c r="K35" t="inlineStr">
        <is>
          <t>{"value":2.0,"unit":"s","kind":"thoi_gian","linh_vuc":"06","code":"AttackSync.ArtilleryPrepLeadS (AI MASTER P3)"}</t>
        </is>
      </c>
    </row>
    <row r="36">
      <c r="A36" t="inlineStr">
        <is>
          <t>ai.attackSync.defaultFrontage</t>
        </is>
      </c>
      <c r="B36" t="inlineStr">
        <is>
          <t>attackSync</t>
        </is>
      </c>
      <c r="C36" t="inlineStr">
        <is>
          <t>defaultFrontage</t>
        </is>
      </c>
      <c r="D36" t="n">
        <v>60</v>
      </c>
      <c r="F36" t="inlineStr">
        <is>
          <t>m</t>
        </is>
      </c>
      <c r="G36" t="inlineStr">
        <is>
          <t>ban_kinh</t>
        </is>
      </c>
      <c r="H36" t="inlineStr">
        <is>
          <t>06</t>
        </is>
      </c>
      <c r="I36" t="inlineStr">
        <is>
          <t>AttackSync.DefaultFrontage (AI MASTER P3)</t>
        </is>
      </c>
      <c r="J36" t="inlineStr">
        <is>
          <t>Assets/MachineBrigade/Resources/Data/tunables.json: ai.attackSync.defaultFrontage</t>
        </is>
      </c>
      <c r="K36" t="inlineStr">
        <is>
          <t>{"value":60.0,"unit":"m","kind":"ban_kinh","linh_vuc":"06","code":"AttackSync.DefaultFrontage (AI MASTER P3)"}</t>
        </is>
      </c>
    </row>
    <row r="37">
      <c r="A37" t="inlineStr">
        <is>
          <t>ai.attackSync.detour</t>
        </is>
      </c>
      <c r="B37" t="inlineStr">
        <is>
          <t>attackSync</t>
        </is>
      </c>
      <c r="C37" t="inlineStr">
        <is>
          <t>detour</t>
        </is>
      </c>
      <c r="D37" t="n">
        <v>1.25</v>
      </c>
      <c r="F37" t="inlineStr">
        <is>
          <t>x</t>
        </is>
      </c>
      <c r="G37" t="inlineStr">
        <is>
          <t>nguong</t>
        </is>
      </c>
      <c r="H37" t="inlineStr">
        <is>
          <t>06</t>
        </is>
      </c>
      <c r="I37" t="inlineStr">
        <is>
          <t>AttackSync.Detour (AI MASTER P3)</t>
        </is>
      </c>
      <c r="J37" t="inlineStr">
        <is>
          <t>Assets/MachineBrigade/Resources/Data/tunables.json: ai.attackSync.detour</t>
        </is>
      </c>
      <c r="K37" t="inlineStr">
        <is>
          <t>{"value":1.25,"unit":"x","kind":"nguong","linh_vuc":"06","code":"AttackSync.Detour (AI MASTER P3)"}</t>
        </is>
      </c>
    </row>
    <row r="38">
      <c r="A38" t="inlineStr">
        <is>
          <t>ai.attackSync.fixEnvelope</t>
        </is>
      </c>
      <c r="B38" t="inlineStr">
        <is>
          <t>attackSync</t>
        </is>
      </c>
      <c r="C38" t="inlineStr">
        <is>
          <t>fixEnvelope</t>
        </is>
      </c>
      <c r="D38" t="n">
        <v>0.85</v>
      </c>
      <c r="F38" t="inlineStr">
        <is>
          <t>share</t>
        </is>
      </c>
      <c r="G38" t="inlineStr">
        <is>
          <t>nguong</t>
        </is>
      </c>
      <c r="H38" t="inlineStr">
        <is>
          <t>06</t>
        </is>
      </c>
      <c r="I38" t="inlineStr">
        <is>
          <t>AttackSync.FixEnvelope (AI MASTER P3)</t>
        </is>
      </c>
      <c r="J38" t="inlineStr">
        <is>
          <t>Assets/MachineBrigade/Resources/Data/tunables.json: ai.attackSync.fixEnvelope</t>
        </is>
      </c>
      <c r="K38" t="inlineStr">
        <is>
          <t>{"value":0.85,"unit":"share","kind":"nguong","linh_vuc":"06","code":"AttackSync.FixEnvelope (AI MASTER P3)"}</t>
        </is>
      </c>
    </row>
    <row r="39">
      <c r="A39" t="inlineStr">
        <is>
          <t>ai.attackSync.frontageSeparation</t>
        </is>
      </c>
      <c r="B39" t="inlineStr">
        <is>
          <t>attackSync</t>
        </is>
      </c>
      <c r="C39" t="inlineStr">
        <is>
          <t>frontageSeparation</t>
        </is>
      </c>
      <c r="D39" t="n">
        <v>6</v>
      </c>
      <c r="F39" t="inlineStr">
        <is>
          <t>m</t>
        </is>
      </c>
      <c r="G39" t="inlineStr">
        <is>
          <t>ban_kinh</t>
        </is>
      </c>
      <c r="H39" t="inlineStr">
        <is>
          <t>06</t>
        </is>
      </c>
      <c r="I39" t="inlineStr">
        <is>
          <t>AttackSync.FrontageSeparation (AI MASTER P3)</t>
        </is>
      </c>
      <c r="J39" t="inlineStr">
        <is>
          <t>Assets/MachineBrigade/Resources/Data/tunables.json: ai.attackSync.frontageSeparation</t>
        </is>
      </c>
      <c r="K39" t="inlineStr">
        <is>
          <t>{"value":6.0,"unit":"m","kind":"ban_kinh","linh_vuc":"06","code":"AttackSync.FrontageSeparation (AI MASTER P3)"}</t>
        </is>
      </c>
    </row>
    <row r="40">
      <c r="A40" t="inlineStr">
        <is>
          <t>ai.attackSync.groundToleranceS</t>
        </is>
      </c>
      <c r="B40" t="inlineStr">
        <is>
          <t>attackSync</t>
        </is>
      </c>
      <c r="C40" t="inlineStr">
        <is>
          <t>groundToleranceS</t>
        </is>
      </c>
      <c r="D40" t="n">
        <v>3</v>
      </c>
      <c r="F40" t="inlineStr">
        <is>
          <t>s</t>
        </is>
      </c>
      <c r="G40" t="inlineStr">
        <is>
          <t>thoi_gian</t>
        </is>
      </c>
      <c r="H40" t="inlineStr">
        <is>
          <t>06</t>
        </is>
      </c>
      <c r="I40" t="inlineStr">
        <is>
          <t>AttackSync.GroundToleranceS (AI MASTER P3)</t>
        </is>
      </c>
      <c r="J40" t="inlineStr">
        <is>
          <t>Assets/MachineBrigade/Resources/Data/tunables.json: ai.attackSync.groundToleranceS</t>
        </is>
      </c>
      <c r="K40" t="inlineStr">
        <is>
          <t>{"value":3.0,"unit":"s","kind":"thoi_gian","linh_vuc":"06","code":"AttackSync.GroundToleranceS (AI MASTER P3)"}</t>
        </is>
      </c>
    </row>
    <row r="41">
      <c r="A41" t="inlineStr">
        <is>
          <t>ai.attackSync.maxStageS</t>
        </is>
      </c>
      <c r="B41" t="inlineStr">
        <is>
          <t>attackSync</t>
        </is>
      </c>
      <c r="C41" t="inlineStr">
        <is>
          <t>maxStageS</t>
        </is>
      </c>
      <c r="D41" t="n">
        <v>15</v>
      </c>
      <c r="F41" t="inlineStr">
        <is>
          <t>s</t>
        </is>
      </c>
      <c r="G41" t="inlineStr">
        <is>
          <t>thoi_gian</t>
        </is>
      </c>
      <c r="H41" t="inlineStr">
        <is>
          <t>06</t>
        </is>
      </c>
      <c r="I41" t="inlineStr">
        <is>
          <t>AttackSync.MaxStageS (AI MASTER P3)</t>
        </is>
      </c>
      <c r="J41" t="inlineStr">
        <is>
          <t>Assets/MachineBrigade/Resources/Data/tunables.json: ai.attackSync.maxStageS</t>
        </is>
      </c>
      <c r="K41" t="inlineStr">
        <is>
          <t>{"value":15.0,"unit":"s","kind":"thoi_gian","linh_vuc":"06","code":"AttackSync.MaxStageS (AI MASTER P3)"}</t>
        </is>
      </c>
    </row>
    <row r="42">
      <c r="A42" t="inlineStr">
        <is>
          <t>ai.attackSync.packageSeconds</t>
        </is>
      </c>
      <c r="B42" t="inlineStr">
        <is>
          <t>attackSync</t>
        </is>
      </c>
      <c r="C42" t="inlineStr">
        <is>
          <t>packageSeconds</t>
        </is>
      </c>
      <c r="D42" t="n">
        <v>25</v>
      </c>
      <c r="F42" t="inlineStr">
        <is>
          <t>s</t>
        </is>
      </c>
      <c r="G42" t="inlineStr">
        <is>
          <t>thoi_gian</t>
        </is>
      </c>
      <c r="H42" t="inlineStr">
        <is>
          <t>06</t>
        </is>
      </c>
      <c r="I42" t="inlineStr">
        <is>
          <t>AttackSync.PackageSeconds (AI MASTER P3)</t>
        </is>
      </c>
      <c r="J42" t="inlineStr">
        <is>
          <t>Assets/MachineBrigade/Resources/Data/tunables.json: ai.attackSync.packageSeconds</t>
        </is>
      </c>
      <c r="K42" t="inlineStr">
        <is>
          <t>{"value":25.0,"unit":"s","kind":"thoi_gian","linh_vuc":"06","code":"AttackSync.PackageSeconds (AI MASTER P3)"}</t>
        </is>
      </c>
    </row>
    <row r="43">
      <c r="A43" t="inlineStr">
        <is>
          <t>ai.attackSync.scoutDeathDanger</t>
        </is>
      </c>
      <c r="B43" t="inlineStr">
        <is>
          <t>attackSync</t>
        </is>
      </c>
      <c r="C43" t="inlineStr">
        <is>
          <t>scoutDeathDanger</t>
        </is>
      </c>
      <c r="D43" t="n">
        <v>1</v>
      </c>
      <c r="F43" t="inlineStr">
        <is>
          <t>x</t>
        </is>
      </c>
      <c r="G43" t="inlineStr">
        <is>
          <t>nguong</t>
        </is>
      </c>
      <c r="H43" t="inlineStr">
        <is>
          <t>06</t>
        </is>
      </c>
      <c r="I43" t="inlineStr">
        <is>
          <t>AttackSync.ScoutDeathDanger (AI MASTER P3)</t>
        </is>
      </c>
      <c r="J43" t="inlineStr">
        <is>
          <t>Assets/MachineBrigade/Resources/Data/tunables.json: ai.attackSync.scoutDeathDanger</t>
        </is>
      </c>
      <c r="K43" t="inlineStr">
        <is>
          <t>{"value":1.0,"unit":"x","kind":"nguong","linh_vuc":"06","code":"AttackSync.ScoutDeathDanger (AI MASTER P3)"}</t>
        </is>
      </c>
    </row>
    <row r="44">
      <c r="A44" t="inlineStr">
        <is>
          <t>ai.attackSync.scoutMaxWaitS</t>
        </is>
      </c>
      <c r="B44" t="inlineStr">
        <is>
          <t>attackSync</t>
        </is>
      </c>
      <c r="C44" t="inlineStr">
        <is>
          <t>scoutMaxWaitS</t>
        </is>
      </c>
      <c r="D44" t="n">
        <v>5</v>
      </c>
      <c r="F44" t="inlineStr">
        <is>
          <t>s</t>
        </is>
      </c>
      <c r="G44" t="inlineStr">
        <is>
          <t>thoi_gian</t>
        </is>
      </c>
      <c r="H44" t="inlineStr">
        <is>
          <t>06</t>
        </is>
      </c>
      <c r="I44" t="inlineStr">
        <is>
          <t>AttackSync.ScoutMaxWaitS (AI MASTER P3)</t>
        </is>
      </c>
      <c r="J44" t="inlineStr">
        <is>
          <t>Assets/MachineBrigade/Resources/Data/tunables.json: ai.attackSync.scoutMaxWaitS</t>
        </is>
      </c>
      <c r="K44" t="inlineStr">
        <is>
          <t>{"value":5.0,"unit":"s","kind":"thoi_gian","linh_vuc":"06","code":"AttackSync.ScoutMaxWaitS (AI MASTER P3)"}</t>
        </is>
      </c>
    </row>
    <row r="45">
      <c r="A45" t="inlineStr">
        <is>
          <t>ai.attackSync.scoutUnknownShare</t>
        </is>
      </c>
      <c r="B45" t="inlineStr">
        <is>
          <t>attackSync</t>
        </is>
      </c>
      <c r="C45" t="inlineStr">
        <is>
          <t>scoutUnknownShare</t>
        </is>
      </c>
      <c r="D45" t="n">
        <v>0.5</v>
      </c>
      <c r="F45" t="inlineStr">
        <is>
          <t>share</t>
        </is>
      </c>
      <c r="G45" t="inlineStr">
        <is>
          <t>nguong</t>
        </is>
      </c>
      <c r="H45" t="inlineStr">
        <is>
          <t>06</t>
        </is>
      </c>
      <c r="I45" t="inlineStr">
        <is>
          <t>AttackSync.ScoutUnknownShare (AI MASTER P3)</t>
        </is>
      </c>
      <c r="J45" t="inlineStr">
        <is>
          <t>Assets/MachineBrigade/Resources/Data/tunables.json: ai.attackSync.scoutUnknownShare</t>
        </is>
      </c>
      <c r="K45" t="inlineStr">
        <is>
          <t>{"value":0.5,"unit":"share","kind":"nguong","linh_vuc":"06","code":"AttackSync.ScoutUnknownShare (AI MASTER P3)"}</t>
        </is>
      </c>
    </row>
    <row r="46">
      <c r="A46" t="inlineStr">
        <is>
          <t>ai.attackSync.stagingBand</t>
        </is>
      </c>
      <c r="B46" t="inlineStr">
        <is>
          <t>attackSync</t>
        </is>
      </c>
      <c r="C46" t="inlineStr">
        <is>
          <t>stagingBand</t>
        </is>
      </c>
      <c r="D46" t="n">
        <v>12</v>
      </c>
      <c r="F46" t="inlineStr">
        <is>
          <t>m</t>
        </is>
      </c>
      <c r="G46" t="inlineStr">
        <is>
          <t>ban_kinh</t>
        </is>
      </c>
      <c r="H46" t="inlineStr">
        <is>
          <t>06</t>
        </is>
      </c>
      <c r="I46" t="inlineStr">
        <is>
          <t>AttackSync.StagingBand (AI MASTER P3)</t>
        </is>
      </c>
      <c r="J46" t="inlineStr">
        <is>
          <t>Assets/MachineBrigade/Resources/Data/tunables.json: ai.attackSync.stagingBand</t>
        </is>
      </c>
      <c r="K46" t="inlineStr">
        <is>
          <t>{"value":12.0,"unit":"m","kind":"ban_kinh","linh_vuc":"06","code":"AttackSync.StagingBand (AI MASTER P3)"}</t>
        </is>
      </c>
    </row>
    <row r="47">
      <c r="A47" t="inlineStr">
        <is>
          <t>ai.attackSync.subZoneSpacing</t>
        </is>
      </c>
      <c r="B47" t="inlineStr">
        <is>
          <t>attackSync</t>
        </is>
      </c>
      <c r="C47" t="inlineStr">
        <is>
          <t>subZoneSpacing</t>
        </is>
      </c>
      <c r="D47" t="n">
        <v>14</v>
      </c>
      <c r="F47" t="inlineStr">
        <is>
          <t>m</t>
        </is>
      </c>
      <c r="G47" t="inlineStr">
        <is>
          <t>ban_kinh</t>
        </is>
      </c>
      <c r="H47" t="inlineStr">
        <is>
          <t>06</t>
        </is>
      </c>
      <c r="I47" t="inlineStr">
        <is>
          <t>AttackSync.SubZoneSpacing (AI MASTER P3)</t>
        </is>
      </c>
      <c r="J47" t="inlineStr">
        <is>
          <t>Assets/MachineBrigade/Resources/Data/tunables.json: ai.attackSync.subZoneSpacing</t>
        </is>
      </c>
      <c r="K47" t="inlineStr">
        <is>
          <t>{"value":14.0,"unit":"m","kind":"ban_kinh","linh_vuc":"06","code":"AttackSync.SubZoneSpacing (AI MASTER P3)"}</t>
        </is>
      </c>
    </row>
    <row r="48">
      <c r="A48" t="inlineStr">
        <is>
          <t>ai.attackSync.waveGapS</t>
        </is>
      </c>
      <c r="B48" t="inlineStr">
        <is>
          <t>attackSync</t>
        </is>
      </c>
      <c r="C48" t="inlineStr">
        <is>
          <t>waveGapS</t>
        </is>
      </c>
      <c r="D48" t="n">
        <v>6</v>
      </c>
      <c r="F48" t="inlineStr">
        <is>
          <t>s</t>
        </is>
      </c>
      <c r="G48" t="inlineStr">
        <is>
          <t>thoi_gian</t>
        </is>
      </c>
      <c r="H48" t="inlineStr">
        <is>
          <t>06</t>
        </is>
      </c>
      <c r="I48" t="inlineStr">
        <is>
          <t>AttackSync.WaveGapS (AI MASTER P3)</t>
        </is>
      </c>
      <c r="J48" t="inlineStr">
        <is>
          <t>Assets/MachineBrigade/Resources/Data/tunables.json: ai.attackSync.waveGapS</t>
        </is>
      </c>
      <c r="K48" t="inlineStr">
        <is>
          <t>{"value":6.0,"unit":"s","kind":"thoi_gian","linh_vuc":"06","code":"AttackSync.WaveGapS (AI MASTER P3)"}</t>
        </is>
      </c>
    </row>
    <row r="49">
      <c r="A49" t="inlineStr">
        <is>
          <t>ai.board.avoidWorth</t>
        </is>
      </c>
      <c r="B49" t="inlineStr">
        <is>
          <t>board</t>
        </is>
      </c>
      <c r="C49" t="inlineStr">
        <is>
          <t>avoidWorth</t>
        </is>
      </c>
      <c r="D49" t="n">
        <v>0.4</v>
      </c>
      <c r="F49" t="inlineStr">
        <is>
          <t>x</t>
        </is>
      </c>
      <c r="G49" t="inlineStr">
        <is>
          <t>nguong</t>
        </is>
      </c>
      <c r="H49" t="inlineStr">
        <is>
          <t>06</t>
        </is>
      </c>
      <c r="I49" t="inlineStr">
        <is>
          <t>Board.AvoidWorth (AI MASTER P3)</t>
        </is>
      </c>
      <c r="J49" t="inlineStr">
        <is>
          <t>Assets/MachineBrigade/Resources/Data/tunables.json: ai.board.avoidWorth</t>
        </is>
      </c>
      <c r="K49" t="inlineStr">
        <is>
          <t>{"value":0.4,"unit":"x","kind":"nguong","linh_vuc":"06","code":"Board.AvoidWorth (AI MASTER P3)"}</t>
        </is>
      </c>
    </row>
    <row r="50">
      <c r="A50" t="inlineStr">
        <is>
          <t>ai.board.damageLeadS</t>
        </is>
      </c>
      <c r="B50" t="inlineStr">
        <is>
          <t>board</t>
        </is>
      </c>
      <c r="C50" t="inlineStr">
        <is>
          <t>damageLeadS</t>
        </is>
      </c>
      <c r="D50" t="n">
        <v>1.5</v>
      </c>
      <c r="F50" t="inlineStr">
        <is>
          <t>s</t>
        </is>
      </c>
      <c r="G50" t="inlineStr">
        <is>
          <t>thoi_gian</t>
        </is>
      </c>
      <c r="H50" t="inlineStr">
        <is>
          <t>06</t>
        </is>
      </c>
      <c r="I50" t="inlineStr">
        <is>
          <t>Board.DamageLeadS (AI MASTER P3)</t>
        </is>
      </c>
      <c r="J50" t="inlineStr">
        <is>
          <t>Assets/MachineBrigade/Resources/Data/tunables.json: ai.board.damageLeadS</t>
        </is>
      </c>
      <c r="K50" t="inlineStr">
        <is>
          <t>{"value":1.5,"unit":"s","kind":"thoi_gian","linh_vuc":"06","code":"Board.DamageLeadS (AI MASTER P3)"}</t>
        </is>
      </c>
    </row>
    <row r="51">
      <c r="A51" t="inlineStr">
        <is>
          <t>ai.board.handoffLockS</t>
        </is>
      </c>
      <c r="B51" t="inlineStr">
        <is>
          <t>board</t>
        </is>
      </c>
      <c r="C51" t="inlineStr">
        <is>
          <t>handoffLockS</t>
        </is>
      </c>
      <c r="D51" t="n">
        <v>2.5</v>
      </c>
      <c r="F51" t="inlineStr">
        <is>
          <t>s</t>
        </is>
      </c>
      <c r="G51" t="inlineStr">
        <is>
          <t>thoi_gian</t>
        </is>
      </c>
      <c r="H51" t="inlineStr">
        <is>
          <t>06</t>
        </is>
      </c>
      <c r="I51" t="inlineStr">
        <is>
          <t>Board.HandoffLockS (AI MASTER P3)</t>
        </is>
      </c>
      <c r="J51" t="inlineStr">
        <is>
          <t>Assets/MachineBrigade/Resources/Data/tunables.json: ai.board.handoffLockS</t>
        </is>
      </c>
      <c r="K51" t="inlineStr">
        <is>
          <t>{"value":2.5,"unit":"s","kind":"thoi_gian","linh_vuc":"06","code":"Board.HandoffLockS (AI MASTER P3)"}</t>
        </is>
      </c>
    </row>
    <row r="52">
      <c r="A52" t="inlineStr">
        <is>
          <t>ai.board.handoffRatio</t>
        </is>
      </c>
      <c r="B52" t="inlineStr">
        <is>
          <t>board</t>
        </is>
      </c>
      <c r="C52" t="inlineStr">
        <is>
          <t>handoffRatio</t>
        </is>
      </c>
      <c r="D52" t="n">
        <v>1.6</v>
      </c>
      <c r="F52" t="inlineStr">
        <is>
          <t>x</t>
        </is>
      </c>
      <c r="G52" t="inlineStr">
        <is>
          <t>nguong</t>
        </is>
      </c>
      <c r="H52" t="inlineStr">
        <is>
          <t>06</t>
        </is>
      </c>
      <c r="I52" t="inlineStr">
        <is>
          <t>Board.HandoffRatio (AI MASTER P3)</t>
        </is>
      </c>
      <c r="J52" t="inlineStr">
        <is>
          <t>Assets/MachineBrigade/Resources/Data/tunables.json: ai.board.handoffRatio</t>
        </is>
      </c>
      <c r="K52" t="inlineStr">
        <is>
          <t>{"value":1.6,"unit":"x","kind":"nguong","linh_vuc":"06","code":"Board.HandoffRatio (AI MASTER P3)"}</t>
        </is>
      </c>
    </row>
    <row r="53">
      <c r="A53" t="inlineStr">
        <is>
          <t>ai.board.nearKillShare</t>
        </is>
      </c>
      <c r="B53" t="inlineStr">
        <is>
          <t>board</t>
        </is>
      </c>
      <c r="C53" t="inlineStr">
        <is>
          <t>nearKillShare</t>
        </is>
      </c>
      <c r="D53" t="n">
        <v>0.3</v>
      </c>
      <c r="F53" t="inlineStr">
        <is>
          <t>share</t>
        </is>
      </c>
      <c r="G53" t="inlineStr">
        <is>
          <t>nguong</t>
        </is>
      </c>
      <c r="H53" t="inlineStr">
        <is>
          <t>06</t>
        </is>
      </c>
      <c r="I53" t="inlineStr">
        <is>
          <t>Board.NearKillShare (AI MASTER P3)</t>
        </is>
      </c>
      <c r="J53" t="inlineStr">
        <is>
          <t>Assets/MachineBrigade/Resources/Data/tunables.json: ai.board.nearKillShare</t>
        </is>
      </c>
      <c r="K53" t="inlineStr">
        <is>
          <t>{"value":0.3,"unit":"share","kind":"nguong","linh_vuc":"06","code":"Board.NearKillShare (AI MASTER P3)"}</t>
        </is>
      </c>
    </row>
    <row r="54">
      <c r="A54" t="inlineStr">
        <is>
          <t>ai.board.plannedOverkillShare</t>
        </is>
      </c>
      <c r="B54" t="inlineStr">
        <is>
          <t>board</t>
        </is>
      </c>
      <c r="C54" t="inlineStr">
        <is>
          <t>plannedOverkillShare</t>
        </is>
      </c>
      <c r="D54" t="n">
        <v>1.15</v>
      </c>
      <c r="F54" t="inlineStr">
        <is>
          <t>x</t>
        </is>
      </c>
      <c r="G54" t="inlineStr">
        <is>
          <t>nguong</t>
        </is>
      </c>
      <c r="H54" t="inlineStr">
        <is>
          <t>06</t>
        </is>
      </c>
      <c r="I54" t="inlineStr">
        <is>
          <t>Board.PlannedOverkillShare (AI MASTER P3)</t>
        </is>
      </c>
      <c r="J54" t="inlineStr">
        <is>
          <t>Assets/MachineBrigade/Resources/Data/tunables.json: ai.board.plannedOverkillShare</t>
        </is>
      </c>
      <c r="K54" t="inlineStr">
        <is>
          <t>{"value":1.15,"unit":"x","kind":"nguong","linh_vuc":"06","code":"Board.PlannedOverkillShare (AI MASTER P3)"}</t>
        </is>
      </c>
    </row>
    <row r="55">
      <c r="A55" t="inlineStr">
        <is>
          <t>ai.board.preferWorth</t>
        </is>
      </c>
      <c r="B55" t="inlineStr">
        <is>
          <t>board</t>
        </is>
      </c>
      <c r="C55" t="inlineStr">
        <is>
          <t>preferWorth</t>
        </is>
      </c>
      <c r="D55" t="n">
        <v>1.5</v>
      </c>
      <c r="F55" t="inlineStr">
        <is>
          <t>x</t>
        </is>
      </c>
      <c r="G55" t="inlineStr">
        <is>
          <t>nguong</t>
        </is>
      </c>
      <c r="H55" t="inlineStr">
        <is>
          <t>06</t>
        </is>
      </c>
      <c r="I55" t="inlineStr">
        <is>
          <t>Board.PreferWorth (AI MASTER P3)</t>
        </is>
      </c>
      <c r="J55" t="inlineStr">
        <is>
          <t>Assets/MachineBrigade/Resources/Data/tunables.json: ai.board.preferWorth</t>
        </is>
      </c>
      <c r="K55" t="inlineStr">
        <is>
          <t>{"value":1.5,"unit":"x","kind":"nguong","linh_vuc":"06","code":"Board.PreferWorth (AI MASTER P3)"}</t>
        </is>
      </c>
    </row>
    <row r="56">
      <c r="A56" t="inlineStr">
        <is>
          <t>ai.board.repairWindowS</t>
        </is>
      </c>
      <c r="B56" t="inlineStr">
        <is>
          <t>board</t>
        </is>
      </c>
      <c r="C56" t="inlineStr">
        <is>
          <t>repairWindowS</t>
        </is>
      </c>
      <c r="D56" t="n">
        <v>8</v>
      </c>
      <c r="F56" t="inlineStr">
        <is>
          <t>s</t>
        </is>
      </c>
      <c r="G56" t="inlineStr">
        <is>
          <t>thoi_gian</t>
        </is>
      </c>
      <c r="H56" t="inlineStr">
        <is>
          <t>06</t>
        </is>
      </c>
      <c r="I56" t="inlineStr">
        <is>
          <t>Board.RepairWindowS (AI MASTER P3)</t>
        </is>
      </c>
      <c r="J56" t="inlineStr">
        <is>
          <t>Assets/MachineBrigade/Resources/Data/tunables.json: ai.board.repairWindowS</t>
        </is>
      </c>
      <c r="K56" t="inlineStr">
        <is>
          <t>{"value":8.0,"unit":"s","kind":"thoi_gian","linh_vuc":"06","code":"Board.RepairWindowS (AI MASTER P3)"}</t>
        </is>
      </c>
    </row>
    <row r="57">
      <c r="A57" t="inlineStr">
        <is>
          <t>ai.board.secondaryFit</t>
        </is>
      </c>
      <c r="B57" t="inlineStr">
        <is>
          <t>board</t>
        </is>
      </c>
      <c r="C57" t="inlineStr">
        <is>
          <t>secondaryFit</t>
        </is>
      </c>
      <c r="D57" t="n">
        <v>1.3</v>
      </c>
      <c r="F57" t="inlineStr">
        <is>
          <t>x</t>
        </is>
      </c>
      <c r="G57" t="inlineStr">
        <is>
          <t>nguong</t>
        </is>
      </c>
      <c r="H57" t="inlineStr">
        <is>
          <t>06</t>
        </is>
      </c>
      <c r="I57" t="inlineStr">
        <is>
          <t>Board.SecondaryFit (AI MASTER P3)</t>
        </is>
      </c>
      <c r="J57" t="inlineStr">
        <is>
          <t>Assets/MachineBrigade/Resources/Data/tunables.json: ai.board.secondaryFit</t>
        </is>
      </c>
      <c r="K57" t="inlineStr">
        <is>
          <t>{"value":1.3,"unit":"x","kind":"nguong","linh_vuc":"06","code":"Board.SecondaryFit (AI MASTER P3)"}</t>
        </is>
      </c>
    </row>
    <row r="58">
      <c r="A58" t="inlineStr">
        <is>
          <t>ai.board.secondaryHeavy</t>
        </is>
      </c>
      <c r="B58" t="inlineStr">
        <is>
          <t>board</t>
        </is>
      </c>
      <c r="C58" t="inlineStr">
        <is>
          <t>secondaryHeavy</t>
        </is>
      </c>
      <c r="D58" t="n">
        <v>0.4</v>
      </c>
      <c r="F58" t="inlineStr">
        <is>
          <t>x</t>
        </is>
      </c>
      <c r="G58" t="inlineStr">
        <is>
          <t>nguong</t>
        </is>
      </c>
      <c r="H58" t="inlineStr">
        <is>
          <t>06</t>
        </is>
      </c>
      <c r="I58" t="inlineStr">
        <is>
          <t>Board.SecondaryHeavy (AI MASTER P3)</t>
        </is>
      </c>
      <c r="J58" t="inlineStr">
        <is>
          <t>Assets/MachineBrigade/Resources/Data/tunables.json: ai.board.secondaryHeavy</t>
        </is>
      </c>
      <c r="K58" t="inlineStr">
        <is>
          <t>{"value":0.4,"unit":"x","kind":"nguong","linh_vuc":"06","code":"Board.SecondaryHeavy (AI MASTER P3)"}</t>
        </is>
      </c>
    </row>
    <row r="59">
      <c r="A59" t="inlineStr">
        <is>
          <t>ai.board.smokeSeconds</t>
        </is>
      </c>
      <c r="B59" t="inlineStr">
        <is>
          <t>board</t>
        </is>
      </c>
      <c r="C59" t="inlineStr">
        <is>
          <t>smokeSeconds</t>
        </is>
      </c>
      <c r="D59" t="n">
        <v>20</v>
      </c>
      <c r="F59" t="inlineStr">
        <is>
          <t>s</t>
        </is>
      </c>
      <c r="G59" t="inlineStr">
        <is>
          <t>thoi_gian</t>
        </is>
      </c>
      <c r="H59" t="inlineStr">
        <is>
          <t>06</t>
        </is>
      </c>
      <c r="I59" t="inlineStr">
        <is>
          <t>Board.SmokeSeconds (AI MASTER P3)</t>
        </is>
      </c>
      <c r="J59" t="inlineStr">
        <is>
          <t>Assets/MachineBrigade/Resources/Data/tunables.json: ai.board.smokeSeconds</t>
        </is>
      </c>
      <c r="K59" t="inlineStr">
        <is>
          <t>{"value":20.0,"unit":"s","kind":"thoi_gian","linh_vuc":"06","code":"Board.SmokeSeconds (AI MASTER P3)"}</t>
        </is>
      </c>
    </row>
    <row r="60">
      <c r="A60" t="inlineStr">
        <is>
          <t>ai.board.smokeSpacing</t>
        </is>
      </c>
      <c r="B60" t="inlineStr">
        <is>
          <t>board</t>
        </is>
      </c>
      <c r="C60" t="inlineStr">
        <is>
          <t>smokeSpacing</t>
        </is>
      </c>
      <c r="D60" t="n">
        <v>10</v>
      </c>
      <c r="F60" t="inlineStr">
        <is>
          <t>m</t>
        </is>
      </c>
      <c r="G60" t="inlineStr">
        <is>
          <t>ban_kinh</t>
        </is>
      </c>
      <c r="H60" t="inlineStr">
        <is>
          <t>06</t>
        </is>
      </c>
      <c r="I60" t="inlineStr">
        <is>
          <t>Board.SmokeSpacing (AI MASTER P3)</t>
        </is>
      </c>
      <c r="J60" t="inlineStr">
        <is>
          <t>Assets/MachineBrigade/Resources/Data/tunables.json: ai.board.smokeSpacing</t>
        </is>
      </c>
      <c r="K60" t="inlineStr">
        <is>
          <t>{"value":10.0,"unit":"m","kind":"ban_kinh","linh_vuc":"06","code":"Board.SmokeSpacing (AI MASTER P3)"}</t>
        </is>
      </c>
    </row>
    <row r="61">
      <c r="A61" t="inlineStr">
        <is>
          <t>ai.board.spreadFocusShare</t>
        </is>
      </c>
      <c r="B61" t="inlineStr">
        <is>
          <t>board</t>
        </is>
      </c>
      <c r="C61" t="inlineStr">
        <is>
          <t>spreadFocusShare</t>
        </is>
      </c>
      <c r="D61" t="n">
        <v>0.3</v>
      </c>
      <c r="F61" t="inlineStr">
        <is>
          <t>x</t>
        </is>
      </c>
      <c r="G61" t="inlineStr">
        <is>
          <t>nguong</t>
        </is>
      </c>
      <c r="H61" t="inlineStr">
        <is>
          <t>06</t>
        </is>
      </c>
      <c r="I61" t="inlineStr">
        <is>
          <t>Board.SpreadFocusShare (AI MASTER P3)</t>
        </is>
      </c>
      <c r="J61" t="inlineStr">
        <is>
          <t>Assets/MachineBrigade/Resources/Data/tunables.json: ai.board.spreadFocusShare</t>
        </is>
      </c>
      <c r="K61" t="inlineStr">
        <is>
          <t>{"value":0.3,"unit":"x","kind":"nguong","linh_vuc":"06","code":"Board.SpreadFocusShare (AI MASTER P3)"}</t>
        </is>
      </c>
    </row>
    <row r="62">
      <c r="A62" t="inlineStr">
        <is>
          <t>ai.bossTactics.patternCost</t>
        </is>
      </c>
      <c r="B62" t="inlineStr">
        <is>
          <t>bossTactics</t>
        </is>
      </c>
      <c r="C62" t="inlineStr">
        <is>
          <t>patternCost</t>
        </is>
      </c>
      <c r="D62" t="n">
        <v>25</v>
      </c>
      <c r="F62" t="inlineStr">
        <is>
          <t>m</t>
        </is>
      </c>
      <c r="G62" t="inlineStr">
        <is>
          <t>ban_kinh</t>
        </is>
      </c>
      <c r="H62" t="inlineStr">
        <is>
          <t>06</t>
        </is>
      </c>
      <c r="I62" t="inlineStr">
        <is>
          <t>BossTactics.PatternCost (AI MASTER P4)</t>
        </is>
      </c>
      <c r="J62" t="inlineStr">
        <is>
          <t>Assets/MachineBrigade/Resources/Data/tunables.json: ai.bossTactics.patternCost</t>
        </is>
      </c>
      <c r="K62" t="inlineStr">
        <is>
          <t>{"value":25.0,"unit":"m","kind":"ban_kinh","linh_vuc":"06","code":"BossTactics.PatternCost (AI MASTER P4)"}</t>
        </is>
      </c>
    </row>
    <row r="63">
      <c r="A63" t="inlineStr">
        <is>
          <t>ai.bossTactics.patternWindowS</t>
        </is>
      </c>
      <c r="B63" t="inlineStr">
        <is>
          <t>bossTactics</t>
        </is>
      </c>
      <c r="C63" t="inlineStr">
        <is>
          <t>patternWindowS</t>
        </is>
      </c>
      <c r="D63" t="n">
        <v>8</v>
      </c>
      <c r="F63" t="inlineStr">
        <is>
          <t>s</t>
        </is>
      </c>
      <c r="G63" t="inlineStr">
        <is>
          <t>thoi_gian</t>
        </is>
      </c>
      <c r="H63" t="inlineStr">
        <is>
          <t>06</t>
        </is>
      </c>
      <c r="I63" t="inlineStr">
        <is>
          <t>BossTactics.PatternWindowS (AI MASTER P4)</t>
        </is>
      </c>
      <c r="J63" t="inlineStr">
        <is>
          <t>Assets/MachineBrigade/Resources/Data/tunables.json: ai.bossTactics.patternWindowS</t>
        </is>
      </c>
      <c r="K63" t="inlineStr">
        <is>
          <t>{"value":8.0,"unit":"s","kind":"thoi_gian","linh_vuc":"06","code":"BossTactics.PatternWindowS (AI MASTER P4)"}</t>
        </is>
      </c>
    </row>
    <row r="64">
      <c r="A64" t="inlineStr">
        <is>
          <t>ai.bossTactics.phaseMargin</t>
        </is>
      </c>
      <c r="B64" t="inlineStr">
        <is>
          <t>bossTactics</t>
        </is>
      </c>
      <c r="C64" t="inlineStr">
        <is>
          <t>phaseMargin</t>
        </is>
      </c>
      <c r="D64" t="n">
        <v>0.08</v>
      </c>
      <c r="F64" t="inlineStr">
        <is>
          <t>share</t>
        </is>
      </c>
      <c r="G64" t="inlineStr">
        <is>
          <t>nguong</t>
        </is>
      </c>
      <c r="H64" t="inlineStr">
        <is>
          <t>06</t>
        </is>
      </c>
      <c r="I64" t="inlineStr">
        <is>
          <t>BossTactics.PhaseMargin (AI MASTER P4)</t>
        </is>
      </c>
      <c r="J64" t="inlineStr">
        <is>
          <t>Assets/MachineBrigade/Resources/Data/tunables.json: ai.bossTactics.phaseMargin</t>
        </is>
      </c>
      <c r="K64" t="inlineStr">
        <is>
          <t>{"value":0.08,"unit":"share","kind":"nguong","linh_vuc":"06","code":"BossTactics.PhaseMargin (AI MASTER P4)"}</t>
        </is>
      </c>
    </row>
    <row r="65">
      <c r="A65" t="inlineStr">
        <is>
          <t>ai.bossTactics.phaseReserveMaxS</t>
        </is>
      </c>
      <c r="B65" t="inlineStr">
        <is>
          <t>bossTactics</t>
        </is>
      </c>
      <c r="C65" t="inlineStr">
        <is>
          <t>phaseReserveMaxS</t>
        </is>
      </c>
      <c r="D65" t="n">
        <v>25</v>
      </c>
      <c r="F65" t="inlineStr">
        <is>
          <t>s</t>
        </is>
      </c>
      <c r="G65" t="inlineStr">
        <is>
          <t>thoi_gian</t>
        </is>
      </c>
      <c r="H65" t="inlineStr">
        <is>
          <t>06</t>
        </is>
      </c>
      <c r="I65" t="inlineStr">
        <is>
          <t>BossTactics.PhaseReserveMaxS (AI MASTER P4)</t>
        </is>
      </c>
      <c r="J65" t="inlineStr">
        <is>
          <t>Assets/MachineBrigade/Resources/Data/tunables.json: ai.bossTactics.phaseReserveMaxS</t>
        </is>
      </c>
      <c r="K65" t="inlineStr">
        <is>
          <t>{"value":25.0,"unit":"s","kind":"thoi_gian","linh_vuc":"06","code":"BossTactics.PhaseReserveMaxS (AI MASTER P4)"}</t>
        </is>
      </c>
    </row>
    <row r="66">
      <c r="A66" t="inlineStr">
        <is>
          <t>ai.bossTactics.phaseReserveShare</t>
        </is>
      </c>
      <c r="B66" t="inlineStr">
        <is>
          <t>bossTactics</t>
        </is>
      </c>
      <c r="C66" t="inlineStr">
        <is>
          <t>phaseReserveShare</t>
        </is>
      </c>
      <c r="D66" t="n">
        <v>0.3</v>
      </c>
      <c r="F66" t="inlineStr">
        <is>
          <t>share</t>
        </is>
      </c>
      <c r="G66" t="inlineStr">
        <is>
          <t>nguong</t>
        </is>
      </c>
      <c r="H66" t="inlineStr">
        <is>
          <t>06</t>
        </is>
      </c>
      <c r="I66" t="inlineStr">
        <is>
          <t>BossTactics.PhaseReserveShare (AI MASTER P4)</t>
        </is>
      </c>
      <c r="J66" t="inlineStr">
        <is>
          <t>Assets/MachineBrigade/Resources/Data/tunables.json: ai.bossTactics.phaseReserveShare</t>
        </is>
      </c>
      <c r="K66" t="inlineStr">
        <is>
          <t>{"value":0.3,"unit":"share","kind":"nguong","linh_vuc":"06","code":"BossTactics.PhaseReserveShare (AI MASTER P4)"}</t>
        </is>
      </c>
    </row>
    <row r="67">
      <c r="A67" t="inlineStr">
        <is>
          <t>ai.bossTactics.pressureBudget</t>
        </is>
      </c>
      <c r="B67" t="inlineStr">
        <is>
          <t>bossTactics</t>
        </is>
      </c>
      <c r="C67" t="inlineStr">
        <is>
          <t>pressureBudget</t>
        </is>
      </c>
      <c r="D67" t="n">
        <v>2</v>
      </c>
      <c r="F67" t="inlineStr">
        <is>
          <t>count</t>
        </is>
      </c>
      <c r="G67" t="inlineStr">
        <is>
          <t>nguong</t>
        </is>
      </c>
      <c r="H67" t="inlineStr">
        <is>
          <t>06</t>
        </is>
      </c>
      <c r="I67" t="inlineStr">
        <is>
          <t>BossTactics.PressureBudget (AI MASTER P4)</t>
        </is>
      </c>
      <c r="J67" t="inlineStr">
        <is>
          <t>Assets/MachineBrigade/Resources/Data/tunables.json: ai.bossTactics.pressureBudget</t>
        </is>
      </c>
      <c r="K67" t="inlineStr">
        <is>
          <t>{"value":2,"unit":"count","kind":"nguong","linh_vuc":"06","code":"BossTactics.PressureBudget (AI MASTER P4)"}</t>
        </is>
      </c>
    </row>
    <row r="68">
      <c r="A68" t="inlineStr">
        <is>
          <t>ai.bossTactics.pressureDelayS</t>
        </is>
      </c>
      <c r="B68" t="inlineStr">
        <is>
          <t>bossTactics</t>
        </is>
      </c>
      <c r="C68" t="inlineStr">
        <is>
          <t>pressureDelayS</t>
        </is>
      </c>
      <c r="D68" t="n">
        <v>1.5</v>
      </c>
      <c r="F68" t="inlineStr">
        <is>
          <t>s</t>
        </is>
      </c>
      <c r="G68" t="inlineStr">
        <is>
          <t>thoi_gian</t>
        </is>
      </c>
      <c r="H68" t="inlineStr">
        <is>
          <t>06</t>
        </is>
      </c>
      <c r="I68" t="inlineStr">
        <is>
          <t>BossTactics.PressureDelayS (AI MASTER P4)</t>
        </is>
      </c>
      <c r="J68" t="inlineStr">
        <is>
          <t>Assets/MachineBrigade/Resources/Data/tunables.json: ai.bossTactics.pressureDelayS</t>
        </is>
      </c>
      <c r="K68" t="inlineStr">
        <is>
          <t>{"value":1.5,"unit":"s","kind":"thoi_gian","linh_vuc":"06","code":"BossTactics.PressureDelayS (AI MASTER P4)"}</t>
        </is>
      </c>
    </row>
    <row r="69">
      <c r="A69" t="inlineStr">
        <is>
          <t>ai.bossTactics.pressureMaxDelayS</t>
        </is>
      </c>
      <c r="B69" t="inlineStr">
        <is>
          <t>bossTactics</t>
        </is>
      </c>
      <c r="C69" t="inlineStr">
        <is>
          <t>pressureMaxDelayS</t>
        </is>
      </c>
      <c r="D69" t="n">
        <v>3</v>
      </c>
      <c r="F69" t="inlineStr">
        <is>
          <t>s</t>
        </is>
      </c>
      <c r="G69" t="inlineStr">
        <is>
          <t>thoi_gian</t>
        </is>
      </c>
      <c r="H69" t="inlineStr">
        <is>
          <t>06</t>
        </is>
      </c>
      <c r="I69" t="inlineStr">
        <is>
          <t>BossTactics.PressureMaxDelayS (AI MASTER P4)</t>
        </is>
      </c>
      <c r="J69" t="inlineStr">
        <is>
          <t>Assets/MachineBrigade/Resources/Data/tunables.json: ai.bossTactics.pressureMaxDelayS</t>
        </is>
      </c>
      <c r="K69" t="inlineStr">
        <is>
          <t>{"value":3.0,"unit":"s","kind":"thoi_gian","linh_vuc":"06","code":"BossTactics.PressureMaxDelayS (AI MASTER P4)"}</t>
        </is>
      </c>
    </row>
    <row r="70">
      <c r="A70" t="inlineStr">
        <is>
          <t>ai.bossTactics.sectorMargin</t>
        </is>
      </c>
      <c r="B70" t="inlineStr">
        <is>
          <t>bossTactics</t>
        </is>
      </c>
      <c r="C70" t="inlineStr">
        <is>
          <t>sectorMargin</t>
        </is>
      </c>
      <c r="D70" t="n">
        <v>6</v>
      </c>
      <c r="F70" t="inlineStr">
        <is>
          <t>m</t>
        </is>
      </c>
      <c r="G70" t="inlineStr">
        <is>
          <t>ban_kinh</t>
        </is>
      </c>
      <c r="H70" t="inlineStr">
        <is>
          <t>06</t>
        </is>
      </c>
      <c r="I70" t="inlineStr">
        <is>
          <t>BossTactics.SectorMargin (AI MASTER P4)</t>
        </is>
      </c>
      <c r="J70" t="inlineStr">
        <is>
          <t>Assets/MachineBrigade/Resources/Data/tunables.json: ai.bossTactics.sectorMargin</t>
        </is>
      </c>
      <c r="K70" t="inlineStr">
        <is>
          <t>{"value":6.0,"unit":"m","kind":"ban_kinh","linh_vuc":"06","code":"BossTactics.SectorMargin (AI MASTER P4)"}</t>
        </is>
      </c>
    </row>
    <row r="71">
      <c r="A71" t="inlineStr">
        <is>
          <t>ai.bossTactics.sectorsByLevel</t>
        </is>
      </c>
      <c r="B71" t="inlineStr">
        <is>
          <t>bossTactics</t>
        </is>
      </c>
      <c r="C71" t="inlineStr">
        <is>
          <t>sectorsByLevel</t>
        </is>
      </c>
      <c r="E71" t="inlineStr">
        <is>
          <t>3;3;4;5</t>
        </is>
      </c>
      <c r="F71" t="inlineStr">
        <is>
          <t>count</t>
        </is>
      </c>
      <c r="G71" t="inlineStr">
        <is>
          <t>nguong</t>
        </is>
      </c>
      <c r="H71" t="inlineStr">
        <is>
          <t>06</t>
        </is>
      </c>
      <c r="I71" t="inlineStr">
        <is>
          <t>BossTactics.SectorsByLevel (AI MASTER P4)</t>
        </is>
      </c>
      <c r="J71" t="inlineStr">
        <is>
          <t>Assets/MachineBrigade/Resources/Data/tunables.json: ai.bossTactics.sectorsByLevel</t>
        </is>
      </c>
      <c r="K71" t="inlineStr">
        <is>
          <t>{"value":[3,3,4,5],"unit":"count","kind":"nguong","linh_vuc":"06","code":"BossTactics.SectorsByLevel (AI MASTER P4)"}</t>
        </is>
      </c>
    </row>
    <row r="72">
      <c r="A72" t="inlineStr">
        <is>
          <t>ai.bossTactics.weakpointWeights</t>
        </is>
      </c>
      <c r="B72" t="inlineStr">
        <is>
          <t>bossTactics</t>
        </is>
      </c>
      <c r="C72" t="inlineStr">
        <is>
          <t>weakpointWeights</t>
        </is>
      </c>
      <c r="E72" t="inlineStr">
        <is>
          <t>50.0;25.0;40.0;30.0</t>
        </is>
      </c>
      <c r="F72" t="inlineStr">
        <is>
          <t>points</t>
        </is>
      </c>
      <c r="G72" t="inlineStr">
        <is>
          <t>nguong</t>
        </is>
      </c>
      <c r="H72" t="inlineStr">
        <is>
          <t>06</t>
        </is>
      </c>
      <c r="I72" t="inlineStr">
        <is>
          <t>BossTactics.WeakpointWeights (AI MASTER P4)</t>
        </is>
      </c>
      <c r="J72" t="inlineStr">
        <is>
          <t>Assets/MachineBrigade/Resources/Data/tunables.json: ai.bossTactics.weakpointWeights</t>
        </is>
      </c>
      <c r="K72" t="inlineStr">
        <is>
          <t>{"value":[50.0,25.0,40.0,30.0],"unit":"points","kind":"nguong","linh_vuc":"06","code":"BossTactics.WeakpointWeights (AI MASTER P4)"}</t>
        </is>
      </c>
    </row>
    <row r="73">
      <c r="A73" t="inlineStr">
        <is>
          <t>ai.budget.perfCounters</t>
        </is>
      </c>
      <c r="B73" t="inlineStr">
        <is>
          <t>budget</t>
        </is>
      </c>
      <c r="C73" t="inlineStr">
        <is>
          <t>perfCounters</t>
        </is>
      </c>
      <c r="D73" t="b">
        <v>0</v>
      </c>
      <c r="F73" t="inlineStr">
        <is>
          <t>flag</t>
        </is>
      </c>
      <c r="G73" t="inlineStr">
        <is>
          <t>khac</t>
        </is>
      </c>
      <c r="H73" t="inlineStr">
        <is>
          <t>06</t>
        </is>
      </c>
      <c r="I73" t="inlineStr">
        <is>
          <t>Budget.PerfCounters (AI MASTER P5)</t>
        </is>
      </c>
      <c r="J73" t="inlineStr">
        <is>
          <t>Assets/MachineBrigade/Resources/Data/tunables.json: ai.budget.perfCounters</t>
        </is>
      </c>
      <c r="K73" t="inlineStr">
        <is>
          <t>{"value":false,"unit":"flag","kind":"khac","linh_vuc":"06","code":"Budget.PerfCounters (AI MASTER P5)"}</t>
        </is>
      </c>
    </row>
    <row r="74">
      <c r="A74" t="inlineStr">
        <is>
          <t>ai.budget.spatialCell</t>
        </is>
      </c>
      <c r="B74" t="inlineStr">
        <is>
          <t>budget</t>
        </is>
      </c>
      <c r="C74" t="inlineStr">
        <is>
          <t>spatialCell</t>
        </is>
      </c>
      <c r="D74" t="n">
        <v>10</v>
      </c>
      <c r="F74" t="inlineStr">
        <is>
          <t>m</t>
        </is>
      </c>
      <c r="G74" t="inlineStr">
        <is>
          <t>ban_kinh</t>
        </is>
      </c>
      <c r="H74" t="inlineStr">
        <is>
          <t>06</t>
        </is>
      </c>
      <c r="I74" t="inlineStr">
        <is>
          <t>Budget.SpatialCell (AI MASTER P5)</t>
        </is>
      </c>
      <c r="J74" t="inlineStr">
        <is>
          <t>Assets/MachineBrigade/Resources/Data/tunables.json: ai.budget.spatialCell</t>
        </is>
      </c>
      <c r="K74" t="inlineStr">
        <is>
          <t>{"value":10.0,"unit":"m","kind":"ban_kinh","linh_vuc":"06","code":"Budget.SpatialCell (AI MASTER P5)"}</t>
        </is>
      </c>
    </row>
    <row r="75">
      <c r="A75" t="inlineStr">
        <is>
          <t>ai.budget.squadBuckets</t>
        </is>
      </c>
      <c r="B75" t="inlineStr">
        <is>
          <t>budget</t>
        </is>
      </c>
      <c r="C75" t="inlineStr">
        <is>
          <t>squadBuckets</t>
        </is>
      </c>
      <c r="D75" t="n">
        <v>2</v>
      </c>
      <c r="F75" t="inlineStr">
        <is>
          <t>count</t>
        </is>
      </c>
      <c r="G75" t="inlineStr">
        <is>
          <t>nguong</t>
        </is>
      </c>
      <c r="H75" t="inlineStr">
        <is>
          <t>06</t>
        </is>
      </c>
      <c r="I75" t="inlineStr">
        <is>
          <t>Budget.SquadBuckets (AI MASTER P5)</t>
        </is>
      </c>
      <c r="J75" t="inlineStr">
        <is>
          <t>Assets/MachineBrigade/Resources/Data/tunables.json: ai.budget.squadBuckets</t>
        </is>
      </c>
      <c r="K75" t="inlineStr">
        <is>
          <t>{"value":2,"unit":"count","kind":"nguong","linh_vuc":"06","code":"Budget.SquadBuckets (AI MASTER P5)"}</t>
        </is>
      </c>
    </row>
    <row r="76">
      <c r="A76" t="inlineStr">
        <is>
          <t>ai.combatWatchdog.anomalyGraceSeconds</t>
        </is>
      </c>
      <c r="B76" t="inlineStr">
        <is>
          <t>combatWatchdog</t>
        </is>
      </c>
      <c r="C76" t="inlineStr">
        <is>
          <t>anomalyGraceSeconds</t>
        </is>
      </c>
      <c r="D76" t="n">
        <v>2</v>
      </c>
      <c r="F76" t="inlineStr">
        <is>
          <t>s</t>
        </is>
      </c>
      <c r="G76" t="inlineStr">
        <is>
          <t>thoi_gian</t>
        </is>
      </c>
      <c r="H76" t="inlineStr">
        <is>
          <t>06</t>
        </is>
      </c>
      <c r="I76" t="inlineStr">
        <is>
          <t>CombatWatchdog.AnomalyGraceSeconds</t>
        </is>
      </c>
      <c r="J76" t="inlineStr">
        <is>
          <t>Assets/MachineBrigade/Resources/Data/tunables.json: ai.combatWatchdog.anomalyGraceSeconds</t>
        </is>
      </c>
      <c r="K76" t="inlineStr">
        <is>
          <t>{"value":2.0,"unit":"s","kind":"thoi_gian","linh_vuc":"06","code":"CombatWatchdog.AnomalyGraceSeconds"}</t>
        </is>
      </c>
    </row>
    <row r="77">
      <c r="A77" t="inlineStr">
        <is>
          <t>ai.combatWatchdog.evaluateEveryTicks</t>
        </is>
      </c>
      <c r="B77" t="inlineStr">
        <is>
          <t>combatWatchdog</t>
        </is>
      </c>
      <c r="C77" t="inlineStr">
        <is>
          <t>evaluateEveryTicks</t>
        </is>
      </c>
      <c r="D77" t="n">
        <v>5</v>
      </c>
      <c r="F77" t="inlineStr">
        <is>
          <t>count</t>
        </is>
      </c>
      <c r="G77" t="inlineStr">
        <is>
          <t>tan_suat</t>
        </is>
      </c>
      <c r="H77" t="inlineStr">
        <is>
          <t>06</t>
        </is>
      </c>
      <c r="I77" t="inlineStr">
        <is>
          <t>CombatWatchdog.EvaluateEveryTicks</t>
        </is>
      </c>
      <c r="J77" t="inlineStr">
        <is>
          <t>Assets/MachineBrigade/Resources/Data/tunables.json: ai.combatWatchdog.evaluateEveryTicks</t>
        </is>
      </c>
      <c r="K77" t="inlineStr">
        <is>
          <t>{"value":5,"unit":"count","kind":"tan_suat","linh_vuc":"06","code":"CombatWatchdog.EvaluateEveryTicks"}</t>
        </is>
      </c>
    </row>
    <row r="78">
      <c r="A78" t="inlineStr">
        <is>
          <t>ai.combatWatchdog.explainSeconds</t>
        </is>
      </c>
      <c r="B78" t="inlineStr">
        <is>
          <t>combatWatchdog</t>
        </is>
      </c>
      <c r="C78" t="inlineStr">
        <is>
          <t>explainSeconds</t>
        </is>
      </c>
      <c r="D78" t="n">
        <v>2</v>
      </c>
      <c r="F78" t="inlineStr">
        <is>
          <t>s</t>
        </is>
      </c>
      <c r="G78" t="inlineStr">
        <is>
          <t>thoi_gian</t>
        </is>
      </c>
      <c r="H78" t="inlineStr">
        <is>
          <t>06</t>
        </is>
      </c>
      <c r="I78" t="inlineStr">
        <is>
          <t>CombatWatchdog.ExplainSeconds</t>
        </is>
      </c>
      <c r="J78" t="inlineStr">
        <is>
          <t>Assets/MachineBrigade/Resources/Data/tunables.json: ai.combatWatchdog.explainSeconds</t>
        </is>
      </c>
      <c r="K78" t="inlineStr">
        <is>
          <t>{"value":2.0,"unit":"s","kind":"thoi_gian","linh_vuc":"06","code":"CombatWatchdog.ExplainSeconds"}</t>
        </is>
      </c>
    </row>
    <row r="79">
      <c r="A79" t="inlineStr">
        <is>
          <t>ai.combatWatchdog.firedRecentlySeconds</t>
        </is>
      </c>
      <c r="B79" t="inlineStr">
        <is>
          <t>combatWatchdog</t>
        </is>
      </c>
      <c r="C79" t="inlineStr">
        <is>
          <t>firedRecentlySeconds</t>
        </is>
      </c>
      <c r="D79" t="n">
        <v>2.5</v>
      </c>
      <c r="F79" t="inlineStr">
        <is>
          <t>s</t>
        </is>
      </c>
      <c r="G79" t="inlineStr">
        <is>
          <t>thoi_gian</t>
        </is>
      </c>
      <c r="H79" t="inlineStr">
        <is>
          <t>06</t>
        </is>
      </c>
      <c r="I79" t="inlineStr">
        <is>
          <t>CombatWatchdog.FiredRecentlySeconds</t>
        </is>
      </c>
      <c r="J79" t="inlineStr">
        <is>
          <t>Assets/MachineBrigade/Resources/Data/tunables.json: ai.combatWatchdog.firedRecentlySeconds</t>
        </is>
      </c>
      <c r="K79" t="inlineStr">
        <is>
          <t>{"value":2.5,"unit":"s","kind":"thoi_gian","linh_vuc":"06","code":"CombatWatchdog.FiredRecentlySeconds"}</t>
        </is>
      </c>
    </row>
    <row r="80">
      <c r="A80" t="inlineStr">
        <is>
          <t>ai.combatWatchdog.idleReasonSeconds</t>
        </is>
      </c>
      <c r="B80" t="inlineStr">
        <is>
          <t>combatWatchdog</t>
        </is>
      </c>
      <c r="C80" t="inlineStr">
        <is>
          <t>idleReasonSeconds</t>
        </is>
      </c>
      <c r="D80" t="n">
        <v>3</v>
      </c>
      <c r="F80" t="inlineStr">
        <is>
          <t>s</t>
        </is>
      </c>
      <c r="G80" t="inlineStr">
        <is>
          <t>thoi_gian</t>
        </is>
      </c>
      <c r="H80" t="inlineStr">
        <is>
          <t>06</t>
        </is>
      </c>
      <c r="I80" t="inlineStr">
        <is>
          <t>CombatWatchdog.IdleReasonSeconds</t>
        </is>
      </c>
      <c r="J80" t="inlineStr">
        <is>
          <t>Assets/MachineBrigade/Resources/Data/tunables.json: ai.combatWatchdog.idleReasonSeconds</t>
        </is>
      </c>
      <c r="K80" t="inlineStr">
        <is>
          <t>{"value":3.0,"unit":"s","kind":"thoi_gian","linh_vuc":"06","code":"CombatWatchdog.IdleReasonSeconds"}</t>
        </is>
      </c>
    </row>
    <row r="81">
      <c r="A81" t="inlineStr">
        <is>
          <t>ai.combatWatchdog.sidestepMetres</t>
        </is>
      </c>
      <c r="B81" t="inlineStr">
        <is>
          <t>combatWatchdog</t>
        </is>
      </c>
      <c r="C81" t="inlineStr">
        <is>
          <t>sidestepMetres</t>
        </is>
      </c>
      <c r="D81" t="n">
        <v>6</v>
      </c>
      <c r="F81" t="inlineStr">
        <is>
          <t>m</t>
        </is>
      </c>
      <c r="G81" t="inlineStr">
        <is>
          <t>ban_kinh</t>
        </is>
      </c>
      <c r="H81" t="inlineStr">
        <is>
          <t>06</t>
        </is>
      </c>
      <c r="I81" t="inlineStr">
        <is>
          <t>CombatWatchdog.SidestepMetres</t>
        </is>
      </c>
      <c r="J81" t="inlineStr">
        <is>
          <t>Assets/MachineBrigade/Resources/Data/tunables.json: ai.combatWatchdog.sidestepMetres</t>
        </is>
      </c>
      <c r="K81" t="inlineStr">
        <is>
          <t>{"value":6.0,"unit":"m","kind":"ban_kinh","linh_vuc":"06","code":"CombatWatchdog.SidestepMetres"}</t>
        </is>
      </c>
    </row>
    <row r="82">
      <c r="A82" t="inlineStr">
        <is>
          <t>ai.combatWatchdog.suppressSeconds</t>
        </is>
      </c>
      <c r="B82" t="inlineStr">
        <is>
          <t>combatWatchdog</t>
        </is>
      </c>
      <c r="C82" t="inlineStr">
        <is>
          <t>suppressSeconds</t>
        </is>
      </c>
      <c r="D82" t="n">
        <v>3</v>
      </c>
      <c r="F82" t="inlineStr">
        <is>
          <t>s</t>
        </is>
      </c>
      <c r="G82" t="inlineStr">
        <is>
          <t>thoi_gian</t>
        </is>
      </c>
      <c r="H82" t="inlineStr">
        <is>
          <t>06</t>
        </is>
      </c>
      <c r="I82" t="inlineStr">
        <is>
          <t>CombatWatchdog.SuppressSeconds</t>
        </is>
      </c>
      <c r="J82" t="inlineStr">
        <is>
          <t>Assets/MachineBrigade/Resources/Data/tunables.json: ai.combatWatchdog.suppressSeconds</t>
        </is>
      </c>
      <c r="K82" t="inlineStr">
        <is>
          <t>{"value":3.0,"unit":"s","kind":"thoi_gian","linh_vuc":"06","code":"CombatWatchdog.SuppressSeconds"}</t>
        </is>
      </c>
    </row>
    <row r="83">
      <c r="A83" t="inlineStr">
        <is>
          <t>ai.commitment.packageS</t>
        </is>
      </c>
      <c r="B83" t="inlineStr">
        <is>
          <t>commitment</t>
        </is>
      </c>
      <c r="C83" t="inlineStr">
        <is>
          <t>packageS</t>
        </is>
      </c>
      <c r="E83" t="inlineStr">
        <is>
          <t>6.0;12.0</t>
        </is>
      </c>
      <c r="F83" t="inlineStr">
        <is>
          <t>s</t>
        </is>
      </c>
      <c r="G83" t="inlineStr">
        <is>
          <t>thoi_gian</t>
        </is>
      </c>
      <c r="H83" t="inlineStr">
        <is>
          <t>06</t>
        </is>
      </c>
      <c r="I83" t="inlineStr">
        <is>
          <t>Commitment.PackageS (AI MASTER P4)</t>
        </is>
      </c>
      <c r="J83" t="inlineStr">
        <is>
          <t>Assets/MachineBrigade/Resources/Data/tunables.json: ai.commitment.packageS</t>
        </is>
      </c>
      <c r="K83" t="inlineStr">
        <is>
          <t>{"value":[6.0,12.0],"unit":"s","kind":"thoi_gian","linh_vuc":"06","code":"Commitment.PackageS (AI MASTER P4)"}</t>
        </is>
      </c>
    </row>
    <row r="84">
      <c r="A84" t="inlineStr">
        <is>
          <t>ai.commitment.routeS</t>
        </is>
      </c>
      <c r="B84" t="inlineStr">
        <is>
          <t>commitment</t>
        </is>
      </c>
      <c r="C84" t="inlineStr">
        <is>
          <t>routeS</t>
        </is>
      </c>
      <c r="E84" t="inlineStr">
        <is>
          <t>4.0;6.0</t>
        </is>
      </c>
      <c r="F84" t="inlineStr">
        <is>
          <t>s</t>
        </is>
      </c>
      <c r="G84" t="inlineStr">
        <is>
          <t>thoi_gian</t>
        </is>
      </c>
      <c r="H84" t="inlineStr">
        <is>
          <t>06</t>
        </is>
      </c>
      <c r="I84" t="inlineStr">
        <is>
          <t>Commitment.RouteS (AI MASTER P4)</t>
        </is>
      </c>
      <c r="J84" t="inlineStr">
        <is>
          <t>Assets/MachineBrigade/Resources/Data/tunables.json: ai.commitment.routeS</t>
        </is>
      </c>
      <c r="K84" t="inlineStr">
        <is>
          <t>{"value":[4.0,6.0],"unit":"s","kind":"thoi_gian","linh_vuc":"06","code":"Commitment.RouteS (AI MASTER P4)"}</t>
        </is>
      </c>
    </row>
    <row r="85">
      <c r="A85" t="inlineStr">
        <is>
          <t>ai.componentState.engineCrippledShare</t>
        </is>
      </c>
      <c r="B85" t="inlineStr">
        <is>
          <t>componentState</t>
        </is>
      </c>
      <c r="C85" t="inlineStr">
        <is>
          <t>engineCrippledShare</t>
        </is>
      </c>
      <c r="D85" t="n">
        <v>0.6</v>
      </c>
      <c r="F85" t="inlineStr">
        <is>
          <t>share</t>
        </is>
      </c>
      <c r="G85" t="inlineStr">
        <is>
          <t>nguong</t>
        </is>
      </c>
      <c r="H85" t="inlineStr">
        <is>
          <t>06</t>
        </is>
      </c>
      <c r="I85" t="inlineStr">
        <is>
          <t>ComponentState.EngineCrippledShare (AI MASTER P2)</t>
        </is>
      </c>
      <c r="J85" t="inlineStr">
        <is>
          <t>Assets/MachineBrigade/Resources/Data/tunables.json: ai.componentState.engineCrippledShare</t>
        </is>
      </c>
      <c r="K85" t="inlineStr">
        <is>
          <t>{"value":0.6,"unit":"share","kind":"nguong","linh_vuc":"06","code":"ComponentState.EngineCrippledShare (AI MASTER P2)"}</t>
        </is>
      </c>
    </row>
    <row r="86">
      <c r="A86" t="inlineStr">
        <is>
          <t>ai.componentState.flankPenalty</t>
        </is>
      </c>
      <c r="B86" t="inlineStr">
        <is>
          <t>componentState</t>
        </is>
      </c>
      <c r="C86" t="inlineStr">
        <is>
          <t>flankPenalty</t>
        </is>
      </c>
      <c r="D86" t="n">
        <v>15</v>
      </c>
      <c r="F86" t="inlineStr">
        <is>
          <t>points</t>
        </is>
      </c>
      <c r="G86" t="inlineStr">
        <is>
          <t>nguong</t>
        </is>
      </c>
      <c r="H86" t="inlineStr">
        <is>
          <t>06</t>
        </is>
      </c>
      <c r="I86" t="inlineStr">
        <is>
          <t>ComponentState.FlankPenalty (AI MASTER P2)</t>
        </is>
      </c>
      <c r="J86" t="inlineStr">
        <is>
          <t>Assets/MachineBrigade/Resources/Data/tunables.json: ai.componentState.flankPenalty</t>
        </is>
      </c>
      <c r="K86" t="inlineStr">
        <is>
          <t>{"value":15.0,"unit":"points","kind":"nguong","linh_vuc":"06","code":"ComponentState.FlankPenalty (AI MASTER P2)"}</t>
        </is>
      </c>
    </row>
    <row r="87">
      <c r="A87" t="inlineStr">
        <is>
          <t>ai.componentState.holdBonus</t>
        </is>
      </c>
      <c r="B87" t="inlineStr">
        <is>
          <t>componentState</t>
        </is>
      </c>
      <c r="C87" t="inlineStr">
        <is>
          <t>holdBonus</t>
        </is>
      </c>
      <c r="D87" t="n">
        <v>8</v>
      </c>
      <c r="F87" t="inlineStr">
        <is>
          <t>points</t>
        </is>
      </c>
      <c r="G87" t="inlineStr">
        <is>
          <t>nguong</t>
        </is>
      </c>
      <c r="H87" t="inlineStr">
        <is>
          <t>06</t>
        </is>
      </c>
      <c r="I87" t="inlineStr">
        <is>
          <t>ComponentState.HoldBonus (AI MASTER P2)</t>
        </is>
      </c>
      <c r="J87" t="inlineStr">
        <is>
          <t>Assets/MachineBrigade/Resources/Data/tunables.json: ai.componentState.holdBonus</t>
        </is>
      </c>
      <c r="K87" t="inlineStr">
        <is>
          <t>{"value":8.0,"unit":"points","kind":"nguong","linh_vuc":"06","code":"ComponentState.HoldBonus (AI MASTER P2)"}</t>
        </is>
      </c>
    </row>
    <row r="88">
      <c r="A88" t="inlineStr">
        <is>
          <t>ai.confidence.aggressive</t>
        </is>
      </c>
      <c r="B88" t="inlineStr">
        <is>
          <t>confidence</t>
        </is>
      </c>
      <c r="C88" t="inlineStr">
        <is>
          <t>aggressive</t>
        </is>
      </c>
      <c r="D88" t="n">
        <v>0.7</v>
      </c>
      <c r="F88" t="inlineStr">
        <is>
          <t>share</t>
        </is>
      </c>
      <c r="G88" t="inlineStr">
        <is>
          <t>nguong</t>
        </is>
      </c>
      <c r="H88" t="inlineStr">
        <is>
          <t>06</t>
        </is>
      </c>
      <c r="I88" t="inlineStr">
        <is>
          <t>Confidence.Aggressive (AI MASTER P3)</t>
        </is>
      </c>
      <c r="J88" t="inlineStr">
        <is>
          <t>Assets/MachineBrigade/Resources/Data/tunables.json: ai.confidence.aggressive</t>
        </is>
      </c>
      <c r="K88" t="inlineStr">
        <is>
          <t>{"value":0.7,"unit":"share","kind":"nguong","linh_vuc":"06","code":"Confidence.Aggressive (AI MASTER P3)"}</t>
        </is>
      </c>
    </row>
    <row r="89">
      <c r="A89" t="inlineStr">
        <is>
          <t>ai.confidence.cautious</t>
        </is>
      </c>
      <c r="B89" t="inlineStr">
        <is>
          <t>confidence</t>
        </is>
      </c>
      <c r="C89" t="inlineStr">
        <is>
          <t>cautious</t>
        </is>
      </c>
      <c r="D89" t="n">
        <v>0.45</v>
      </c>
      <c r="F89" t="inlineStr">
        <is>
          <t>share</t>
        </is>
      </c>
      <c r="G89" t="inlineStr">
        <is>
          <t>nguong</t>
        </is>
      </c>
      <c r="H89" t="inlineStr">
        <is>
          <t>06</t>
        </is>
      </c>
      <c r="I89" t="inlineStr">
        <is>
          <t>Confidence.Cautious (AI MASTER P3)</t>
        </is>
      </c>
      <c r="J89" t="inlineStr">
        <is>
          <t>Assets/MachineBrigade/Resources/Data/tunables.json: ai.confidence.cautious</t>
        </is>
      </c>
      <c r="K89" t="inlineStr">
        <is>
          <t>{"value":0.45,"unit":"share","kind":"nguong","linh_vuc":"06","code":"Confidence.Cautious (AI MASTER P3)"}</t>
        </is>
      </c>
    </row>
    <row r="90">
      <c r="A90" t="inlineStr">
        <is>
          <t>ai.confidence.noCommit</t>
        </is>
      </c>
      <c r="B90" t="inlineStr">
        <is>
          <t>confidence</t>
        </is>
      </c>
      <c r="C90" t="inlineStr">
        <is>
          <t>noCommit</t>
        </is>
      </c>
      <c r="D90" t="n">
        <v>0.3</v>
      </c>
      <c r="F90" t="inlineStr">
        <is>
          <t>share</t>
        </is>
      </c>
      <c r="G90" t="inlineStr">
        <is>
          <t>nguong</t>
        </is>
      </c>
      <c r="H90" t="inlineStr">
        <is>
          <t>06</t>
        </is>
      </c>
      <c r="I90" t="inlineStr">
        <is>
          <t>Confidence.NoCommit (AI MASTER P3)</t>
        </is>
      </c>
      <c r="J90" t="inlineStr">
        <is>
          <t>Assets/MachineBrigade/Resources/Data/tunables.json: ai.confidence.noCommit</t>
        </is>
      </c>
      <c r="K90" t="inlineStr">
        <is>
          <t>{"value":0.3,"unit":"share","kind":"nguong","linh_vuc":"06","code":"Confidence.NoCommit (AI MASTER P3)"}</t>
        </is>
      </c>
    </row>
    <row r="91">
      <c r="A91" t="inlineStr">
        <is>
          <t>ai.confidence.points</t>
        </is>
      </c>
      <c r="B91" t="inlineStr">
        <is>
          <t>confidence</t>
        </is>
      </c>
      <c r="C91" t="inlineStr">
        <is>
          <t>points</t>
        </is>
      </c>
      <c r="D91" t="n">
        <v>12</v>
      </c>
      <c r="F91" t="inlineStr">
        <is>
          <t>points</t>
        </is>
      </c>
      <c r="G91" t="inlineStr">
        <is>
          <t>nguong</t>
        </is>
      </c>
      <c r="H91" t="inlineStr">
        <is>
          <t>06</t>
        </is>
      </c>
      <c r="I91" t="inlineStr">
        <is>
          <t>Confidence.Points (AI MASTER P3)</t>
        </is>
      </c>
      <c r="J91" t="inlineStr">
        <is>
          <t>Assets/MachineBrigade/Resources/Data/tunables.json: ai.confidence.points</t>
        </is>
      </c>
      <c r="K91" t="inlineStr">
        <is>
          <t>{"value":12.0,"unit":"points","kind":"nguong","linh_vuc":"06","code":"Confidence.Points (AI MASTER P3)"}</t>
        </is>
      </c>
    </row>
    <row r="92">
      <c r="A92" t="inlineStr">
        <is>
          <t>ai.confidence.weights</t>
        </is>
      </c>
      <c r="B92" t="inlineStr">
        <is>
          <t>confidence</t>
        </is>
      </c>
      <c r="C92" t="inlineStr">
        <is>
          <t>weights</t>
        </is>
      </c>
      <c r="E92" t="inlineStr">
        <is>
          <t>0.35;0.2;0.15;0.1;0.1;0.1</t>
        </is>
      </c>
      <c r="F92" t="inlineStr">
        <is>
          <t>share</t>
        </is>
      </c>
      <c r="G92" t="inlineStr">
        <is>
          <t>nguong</t>
        </is>
      </c>
      <c r="H92" t="inlineStr">
        <is>
          <t>06</t>
        </is>
      </c>
      <c r="I92" t="inlineStr">
        <is>
          <t>Confidence.Weights (AI MASTER P3)</t>
        </is>
      </c>
      <c r="J92" t="inlineStr">
        <is>
          <t>Assets/MachineBrigade/Resources/Data/tunables.json: ai.confidence.weights</t>
        </is>
      </c>
      <c r="K92" t="inlineStr">
        <is>
          <t>{"value":[0.35,0.2,0.15,0.1,0.1,0.1],"unit":"share","kind":"nguong","linh_vuc":"06","code":"Confidence.Weights (AI MASTER P3)"}</t>
        </is>
      </c>
    </row>
    <row r="93">
      <c r="A93" t="inlineStr">
        <is>
          <t>ai.conquestAi.clusterRadius</t>
        </is>
      </c>
      <c r="B93" t="inlineStr">
        <is>
          <t>conquestAi</t>
        </is>
      </c>
      <c r="C93" t="inlineStr">
        <is>
          <t>clusterRadius</t>
        </is>
      </c>
      <c r="D93" t="n">
        <v>9</v>
      </c>
      <c r="F93" t="inlineStr">
        <is>
          <t>m</t>
        </is>
      </c>
      <c r="G93" t="inlineStr">
        <is>
          <t>ban_kinh</t>
        </is>
      </c>
      <c r="H93" t="inlineStr">
        <is>
          <t>06</t>
        </is>
      </c>
      <c r="I93" t="inlineStr">
        <is>
          <t>ConquestAi.ClusterRadius</t>
        </is>
      </c>
      <c r="J93" t="inlineStr">
        <is>
          <t>Assets/MachineBrigade/Resources/Data/tunables.json: ai.conquestAi.clusterRadius</t>
        </is>
      </c>
      <c r="K93" t="inlineStr">
        <is>
          <t>{"value":9.0,"unit":"m","kind":"ban_kinh","linh_vuc":"06","code":"ConquestAi.ClusterRadius"}</t>
        </is>
      </c>
    </row>
    <row r="94">
      <c r="A94" t="inlineStr">
        <is>
          <t>ai.conquestAi.holdReach</t>
        </is>
      </c>
      <c r="B94" t="inlineStr">
        <is>
          <t>conquestAi</t>
        </is>
      </c>
      <c r="C94" t="inlineStr">
        <is>
          <t>holdReach</t>
        </is>
      </c>
      <c r="D94" t="n">
        <v>26</v>
      </c>
      <c r="F94" t="inlineStr">
        <is>
          <t>m</t>
        </is>
      </c>
      <c r="G94" t="inlineStr">
        <is>
          <t>ban_kinh</t>
        </is>
      </c>
      <c r="H94" t="inlineStr">
        <is>
          <t>06</t>
        </is>
      </c>
      <c r="I94" t="inlineStr">
        <is>
          <t>ConquestAi.HoldReach</t>
        </is>
      </c>
      <c r="J94" t="inlineStr">
        <is>
          <t>Assets/MachineBrigade/Resources/Data/tunables.json: ai.conquestAi.holdReach</t>
        </is>
      </c>
      <c r="K94" t="inlineStr">
        <is>
          <t>{"value":26.0,"unit":"m","kind":"ban_kinh","linh_vuc":"06","code":"ConquestAi.HoldReach"}</t>
        </is>
      </c>
    </row>
    <row r="95">
      <c r="A95" t="inlineStr">
        <is>
          <t>ai.coordination.enabled</t>
        </is>
      </c>
      <c r="B95" t="inlineStr">
        <is>
          <t>coordination</t>
        </is>
      </c>
      <c r="C95" t="inlineStr">
        <is>
          <t>enabled</t>
        </is>
      </c>
      <c r="D95" t="b">
        <v>1</v>
      </c>
      <c r="F95" t="inlineStr">
        <is>
          <t>flag</t>
        </is>
      </c>
      <c r="G95" t="inlineStr">
        <is>
          <t>khac</t>
        </is>
      </c>
      <c r="H95" t="inlineStr">
        <is>
          <t>06</t>
        </is>
      </c>
      <c r="I95" t="inlineStr">
        <is>
          <t>Coordination.Enabled (AI MASTER P3)</t>
        </is>
      </c>
      <c r="J95" t="inlineStr">
        <is>
          <t>Assets/MachineBrigade/Resources/Data/tunables.json: ai.coordination.enabled</t>
        </is>
      </c>
      <c r="K95" t="inlineStr">
        <is>
          <t>{"value":true,"unit":"flag","kind":"khac","linh_vuc":"06","code":"Coordination.Enabled (AI MASTER P3)"}</t>
        </is>
      </c>
    </row>
    <row r="96">
      <c r="A96" t="inlineStr">
        <is>
          <t>ai.coordination.frontlineUpdateS</t>
        </is>
      </c>
      <c r="B96" t="inlineStr">
        <is>
          <t>coordination</t>
        </is>
      </c>
      <c r="C96" t="inlineStr">
        <is>
          <t>frontlineUpdateS</t>
        </is>
      </c>
      <c r="D96" t="n">
        <v>1</v>
      </c>
      <c r="F96" t="inlineStr">
        <is>
          <t>s</t>
        </is>
      </c>
      <c r="G96" t="inlineStr">
        <is>
          <t>thoi_gian</t>
        </is>
      </c>
      <c r="H96" t="inlineStr">
        <is>
          <t>06</t>
        </is>
      </c>
      <c r="I96" t="inlineStr">
        <is>
          <t>Coordination.FrontlineUpdateS (AI MASTER P3)</t>
        </is>
      </c>
      <c r="J96" t="inlineStr">
        <is>
          <t>Assets/MachineBrigade/Resources/Data/tunables.json: ai.coordination.frontlineUpdateS</t>
        </is>
      </c>
      <c r="K96" t="inlineStr">
        <is>
          <t>{"value":1.0,"unit":"s","kind":"thoi_gian","linh_vuc":"06","code":"Coordination.FrontlineUpdateS (AI MASTER P3)"}</t>
        </is>
      </c>
    </row>
    <row r="97">
      <c r="A97" t="inlineStr">
        <is>
          <t>ai.coordination.localRadius</t>
        </is>
      </c>
      <c r="B97" t="inlineStr">
        <is>
          <t>coordination</t>
        </is>
      </c>
      <c r="C97" t="inlineStr">
        <is>
          <t>localRadius</t>
        </is>
      </c>
      <c r="D97" t="n">
        <v>50</v>
      </c>
      <c r="F97" t="inlineStr">
        <is>
          <t>m</t>
        </is>
      </c>
      <c r="G97" t="inlineStr">
        <is>
          <t>ban_kinh</t>
        </is>
      </c>
      <c r="H97" t="inlineStr">
        <is>
          <t>06</t>
        </is>
      </c>
      <c r="I97" t="inlineStr">
        <is>
          <t>Coordination.LocalRadius (AI MASTER P3)</t>
        </is>
      </c>
      <c r="J97" t="inlineStr">
        <is>
          <t>Assets/MachineBrigade/Resources/Data/tunables.json: ai.coordination.localRadius</t>
        </is>
      </c>
      <c r="K97" t="inlineStr">
        <is>
          <t>{"value":50.0,"unit":"m","kind":"ban_kinh","linh_vuc":"06","code":"Coordination.LocalRadius (AI MASTER P3)"}</t>
        </is>
      </c>
    </row>
    <row r="98">
      <c r="A98" t="inlineStr">
        <is>
          <t>ai.coverage.assetWorth</t>
        </is>
      </c>
      <c r="B98" t="inlineStr">
        <is>
          <t>coverage</t>
        </is>
      </c>
      <c r="C98" t="inlineStr">
        <is>
          <t>assetWorth</t>
        </is>
      </c>
      <c r="E98" t="inlineStr">
        <is>
          <t>4.0;2.0;3.0;1.5</t>
        </is>
      </c>
      <c r="F98" t="inlineStr">
        <is>
          <t>x</t>
        </is>
      </c>
      <c r="G98" t="inlineStr">
        <is>
          <t>nguong</t>
        </is>
      </c>
      <c r="H98" t="inlineStr">
        <is>
          <t>06</t>
        </is>
      </c>
      <c r="I98" t="inlineStr">
        <is>
          <t>Coverage.AssetWorth (AI MASTER P3)</t>
        </is>
      </c>
      <c r="J98" t="inlineStr">
        <is>
          <t>Assets/MachineBrigade/Resources/Data/tunables.json: ai.coverage.assetWorth</t>
        </is>
      </c>
      <c r="K98" t="inlineStr">
        <is>
          <t>{"value":[4.0,2.0,3.0,1.5],"unit":"x","kind":"nguong","linh_vuc":"06","code":"Coverage.AssetWorth (AI MASTER P3)"}</t>
        </is>
      </c>
    </row>
    <row r="99">
      <c r="A99" t="inlineStr">
        <is>
          <t>ai.coverage.congestionWeight</t>
        </is>
      </c>
      <c r="B99" t="inlineStr">
        <is>
          <t>coverage</t>
        </is>
      </c>
      <c r="C99" t="inlineStr">
        <is>
          <t>congestionWeight</t>
        </is>
      </c>
      <c r="D99" t="n">
        <v>0.5</v>
      </c>
      <c r="F99" t="inlineStr">
        <is>
          <t>x</t>
        </is>
      </c>
      <c r="G99" t="inlineStr">
        <is>
          <t>nguong</t>
        </is>
      </c>
      <c r="H99" t="inlineStr">
        <is>
          <t>06</t>
        </is>
      </c>
      <c r="I99" t="inlineStr">
        <is>
          <t>Coverage.CongestionWeight (AI MASTER P3)</t>
        </is>
      </c>
      <c r="J99" t="inlineStr">
        <is>
          <t>Assets/MachineBrigade/Resources/Data/tunables.json: ai.coverage.congestionWeight</t>
        </is>
      </c>
      <c r="K99" t="inlineStr">
        <is>
          <t>{"value":0.5,"unit":"x","kind":"nguong","linh_vuc":"06","code":"Coverage.CongestionWeight (AI MASTER P3)"}</t>
        </is>
      </c>
    </row>
    <row r="100">
      <c r="A100" t="inlineStr">
        <is>
          <t>ai.coverage.coverWorth</t>
        </is>
      </c>
      <c r="B100" t="inlineStr">
        <is>
          <t>coverage</t>
        </is>
      </c>
      <c r="C100" t="inlineStr">
        <is>
          <t>coverWorth</t>
        </is>
      </c>
      <c r="D100" t="n">
        <v>1.4</v>
      </c>
      <c r="F100" t="inlineStr">
        <is>
          <t>x</t>
        </is>
      </c>
      <c r="G100" t="inlineStr">
        <is>
          <t>nguong</t>
        </is>
      </c>
      <c r="H100" t="inlineStr">
        <is>
          <t>06</t>
        </is>
      </c>
      <c r="I100" t="inlineStr">
        <is>
          <t>Coverage.CoverWorth (AI MASTER P3)</t>
        </is>
      </c>
      <c r="J100" t="inlineStr">
        <is>
          <t>Assets/MachineBrigade/Resources/Data/tunables.json: ai.coverage.coverWorth</t>
        </is>
      </c>
      <c r="K100" t="inlineStr">
        <is>
          <t>{"value":1.4,"unit":"x","kind":"nguong","linh_vuc":"06","code":"Coverage.CoverWorth (AI MASTER P3)"}</t>
        </is>
      </c>
    </row>
    <row r="101">
      <c r="A101" t="inlineStr">
        <is>
          <t>ai.coverage.exposureWeight</t>
        </is>
      </c>
      <c r="B101" t="inlineStr">
        <is>
          <t>coverage</t>
        </is>
      </c>
      <c r="C101" t="inlineStr">
        <is>
          <t>exposureWeight</t>
        </is>
      </c>
      <c r="D101" t="n">
        <v>1</v>
      </c>
      <c r="F101" t="inlineStr">
        <is>
          <t>x</t>
        </is>
      </c>
      <c r="G101" t="inlineStr">
        <is>
          <t>nguong</t>
        </is>
      </c>
      <c r="H101" t="inlineStr">
        <is>
          <t>06</t>
        </is>
      </c>
      <c r="I101" t="inlineStr">
        <is>
          <t>Coverage.ExposureWeight (AI MASTER P3)</t>
        </is>
      </c>
      <c r="J101" t="inlineStr">
        <is>
          <t>Assets/MachineBrigade/Resources/Data/tunables.json: ai.coverage.exposureWeight</t>
        </is>
      </c>
      <c r="K101" t="inlineStr">
        <is>
          <t>{"value":1.0,"unit":"x","kind":"nguong","linh_vuc":"06","code":"Coverage.ExposureWeight (AI MASTER P3)"}</t>
        </is>
      </c>
    </row>
    <row r="102">
      <c r="A102" t="inlineStr">
        <is>
          <t>ai.coverage.offWorth</t>
        </is>
      </c>
      <c r="B102" t="inlineStr">
        <is>
          <t>coverage</t>
        </is>
      </c>
      <c r="C102" t="inlineStr">
        <is>
          <t>offWorth</t>
        </is>
      </c>
      <c r="D102" t="n">
        <v>0.8</v>
      </c>
      <c r="F102" t="inlineStr">
        <is>
          <t>x</t>
        </is>
      </c>
      <c r="G102" t="inlineStr">
        <is>
          <t>nguong</t>
        </is>
      </c>
      <c r="H102" t="inlineStr">
        <is>
          <t>06</t>
        </is>
      </c>
      <c r="I102" t="inlineStr">
        <is>
          <t>Coverage.OffWorth (AI MASTER P3)</t>
        </is>
      </c>
      <c r="J102" t="inlineStr">
        <is>
          <t>Assets/MachineBrigade/Resources/Data/tunables.json: ai.coverage.offWorth</t>
        </is>
      </c>
      <c r="K102" t="inlineStr">
        <is>
          <t>{"value":0.8,"unit":"x","kind":"nguong","linh_vuc":"06","code":"Coverage.OffWorth (AI MASTER P3)"}</t>
        </is>
      </c>
    </row>
    <row r="103">
      <c r="A103" t="inlineStr">
        <is>
          <t>ai.coverage.reachShare</t>
        </is>
      </c>
      <c r="B103" t="inlineStr">
        <is>
          <t>coverage</t>
        </is>
      </c>
      <c r="C103" t="inlineStr">
        <is>
          <t>reachShare</t>
        </is>
      </c>
      <c r="D103" t="n">
        <v>0.4</v>
      </c>
      <c r="F103" t="inlineStr">
        <is>
          <t>share</t>
        </is>
      </c>
      <c r="G103" t="inlineStr">
        <is>
          <t>nguong</t>
        </is>
      </c>
      <c r="H103" t="inlineStr">
        <is>
          <t>06</t>
        </is>
      </c>
      <c r="I103" t="inlineStr">
        <is>
          <t>Coverage.ReachShare (AI MASTER P3)</t>
        </is>
      </c>
      <c r="J103" t="inlineStr">
        <is>
          <t>Assets/MachineBrigade/Resources/Data/tunables.json: ai.coverage.reachShare</t>
        </is>
      </c>
      <c r="K103" t="inlineStr">
        <is>
          <t>{"value":0.4,"unit":"share","kind":"nguong","linh_vuc":"06","code":"Coverage.ReachShare (AI MASTER P3)"}</t>
        </is>
      </c>
    </row>
    <row r="104">
      <c r="A104" t="inlineStr">
        <is>
          <t>ai.coverage.redundantWeight</t>
        </is>
      </c>
      <c r="B104" t="inlineStr">
        <is>
          <t>coverage</t>
        </is>
      </c>
      <c r="C104" t="inlineStr">
        <is>
          <t>redundantWeight</t>
        </is>
      </c>
      <c r="D104" t="n">
        <v>0.5</v>
      </c>
      <c r="F104" t="inlineStr">
        <is>
          <t>x</t>
        </is>
      </c>
      <c r="G104" t="inlineStr">
        <is>
          <t>nguong</t>
        </is>
      </c>
      <c r="H104" t="inlineStr">
        <is>
          <t>06</t>
        </is>
      </c>
      <c r="I104" t="inlineStr">
        <is>
          <t>Coverage.RedundantWeight (AI MASTER P3)</t>
        </is>
      </c>
      <c r="J104" t="inlineStr">
        <is>
          <t>Assets/MachineBrigade/Resources/Data/tunables.json: ai.coverage.redundantWeight</t>
        </is>
      </c>
      <c r="K104" t="inlineStr">
        <is>
          <t>{"value":0.5,"unit":"x","kind":"nguong","linh_vuc":"06","code":"Coverage.RedundantWeight (AI MASTER P3)"}</t>
        </is>
      </c>
    </row>
    <row r="105">
      <c r="A105" t="inlineStr">
        <is>
          <t>ai.coverage.updateS</t>
        </is>
      </c>
      <c r="B105" t="inlineStr">
        <is>
          <t>coverage</t>
        </is>
      </c>
      <c r="C105" t="inlineStr">
        <is>
          <t>updateS</t>
        </is>
      </c>
      <c r="D105" t="n">
        <v>2</v>
      </c>
      <c r="F105" t="inlineStr">
        <is>
          <t>s</t>
        </is>
      </c>
      <c r="G105" t="inlineStr">
        <is>
          <t>thoi_gian</t>
        </is>
      </c>
      <c r="H105" t="inlineStr">
        <is>
          <t>06</t>
        </is>
      </c>
      <c r="I105" t="inlineStr">
        <is>
          <t>Coverage.UpdateS (AI MASTER P3)</t>
        </is>
      </c>
      <c r="J105" t="inlineStr">
        <is>
          <t>Assets/MachineBrigade/Resources/Data/tunables.json: ai.coverage.updateS</t>
        </is>
      </c>
      <c r="K105" t="inlineStr">
        <is>
          <t>{"value":2.0,"unit":"s","kind":"thoi_gian","linh_vuc":"06","code":"Coverage.UpdateS (AI MASTER P3)"}</t>
        </is>
      </c>
    </row>
    <row r="106">
      <c r="A106" t="inlineStr">
        <is>
          <t>ai.cues.cooldownS</t>
        </is>
      </c>
      <c r="B106" t="inlineStr">
        <is>
          <t>cues</t>
        </is>
      </c>
      <c r="C106" t="inlineStr">
        <is>
          <t>cooldownS</t>
        </is>
      </c>
      <c r="D106" t="n">
        <v>10</v>
      </c>
      <c r="F106" t="inlineStr">
        <is>
          <t>s</t>
        </is>
      </c>
      <c r="G106" t="inlineStr">
        <is>
          <t>thoi_gian</t>
        </is>
      </c>
      <c r="H106" t="inlineStr">
        <is>
          <t>06</t>
        </is>
      </c>
      <c r="I106" t="inlineStr">
        <is>
          <t>Cues.CooldownS (AI MASTER P4)</t>
        </is>
      </c>
      <c r="J106" t="inlineStr">
        <is>
          <t>Assets/MachineBrigade/Resources/Data/tunables.json: ai.cues.cooldownS</t>
        </is>
      </c>
      <c r="K106" t="inlineStr">
        <is>
          <t>{"value":10.0,"unit":"s","kind":"thoi_gian","linh_vuc":"06","code":"Cues.CooldownS (AI MASTER P4)"}</t>
        </is>
      </c>
    </row>
    <row r="107">
      <c r="A107" t="inlineStr">
        <is>
          <t>ai.cues.enabled</t>
        </is>
      </c>
      <c r="B107" t="inlineStr">
        <is>
          <t>cues</t>
        </is>
      </c>
      <c r="C107" t="inlineStr">
        <is>
          <t>enabled</t>
        </is>
      </c>
      <c r="D107" t="b">
        <v>1</v>
      </c>
      <c r="F107" t="inlineStr">
        <is>
          <t>flag</t>
        </is>
      </c>
      <c r="G107" t="inlineStr">
        <is>
          <t>khac</t>
        </is>
      </c>
      <c r="H107" t="inlineStr">
        <is>
          <t>06</t>
        </is>
      </c>
      <c r="I107" t="inlineStr">
        <is>
          <t>Cues.Enabled (AI MASTER P4)</t>
        </is>
      </c>
      <c r="J107" t="inlineStr">
        <is>
          <t>Assets/MachineBrigade/Resources/Data/tunables.json: ai.cues.enabled</t>
        </is>
      </c>
      <c r="K107" t="inlineStr">
        <is>
          <t>{"value":true,"unit":"flag","kind":"khac","linh_vuc":"06","code":"Cues.Enabled (AI MASTER P4)"}</t>
        </is>
      </c>
    </row>
    <row r="108">
      <c r="A108" t="inlineStr">
        <is>
          <t>ai.cues.kept</t>
        </is>
      </c>
      <c r="B108" t="inlineStr">
        <is>
          <t>cues</t>
        </is>
      </c>
      <c r="C108" t="inlineStr">
        <is>
          <t>kept</t>
        </is>
      </c>
      <c r="D108" t="n">
        <v>32</v>
      </c>
      <c r="F108" t="inlineStr">
        <is>
          <t>count</t>
        </is>
      </c>
      <c r="G108" t="inlineStr">
        <is>
          <t>nguong</t>
        </is>
      </c>
      <c r="H108" t="inlineStr">
        <is>
          <t>06</t>
        </is>
      </c>
      <c r="I108" t="inlineStr">
        <is>
          <t>Cues.Kept (AI MASTER P4)</t>
        </is>
      </c>
      <c r="J108" t="inlineStr">
        <is>
          <t>Assets/MachineBrigade/Resources/Data/tunables.json: ai.cues.kept</t>
        </is>
      </c>
      <c r="K108" t="inlineStr">
        <is>
          <t>{"value":32,"unit":"count","kind":"nguong","linh_vuc":"06","code":"Cues.Kept (AI MASTER P4)"}</t>
        </is>
      </c>
    </row>
    <row r="109">
      <c r="A109" t="inlineStr">
        <is>
          <t>ai.feasibility.laneSamples</t>
        </is>
      </c>
      <c r="B109" t="inlineStr">
        <is>
          <t>feasibility</t>
        </is>
      </c>
      <c r="C109" t="inlineStr">
        <is>
          <t>laneSamples</t>
        </is>
      </c>
      <c r="D109" t="n">
        <v>9</v>
      </c>
      <c r="F109" t="inlineStr">
        <is>
          <t>count</t>
        </is>
      </c>
      <c r="G109" t="inlineStr">
        <is>
          <t>gioi_han_thuc_the</t>
        </is>
      </c>
      <c r="H109" t="inlineStr">
        <is>
          <t>06</t>
        </is>
      </c>
      <c r="I109" t="inlineStr">
        <is>
          <t>EngagementFeasibility.Observed (ship lane samples)</t>
        </is>
      </c>
      <c r="J109" t="inlineStr">
        <is>
          <t>Assets/MachineBrigade/Resources/Data/tunables.json: ai.feasibility.laneSamples</t>
        </is>
      </c>
      <c r="K109" t="inlineStr">
        <is>
          <t>{"value":9,"unit":"count","kind":"gioi_han_thuc_the","linh_vuc":"06","code":"EngagementFeasibility.Observed (ship lane samples)"}</t>
        </is>
      </c>
    </row>
    <row r="110">
      <c r="A110" t="inlineStr">
        <is>
          <t>ai.feasibility.travelDetour</t>
        </is>
      </c>
      <c r="B110" t="inlineStr">
        <is>
          <t>feasibility</t>
        </is>
      </c>
      <c r="C110" t="inlineStr">
        <is>
          <t>travelDetour</t>
        </is>
      </c>
      <c r="D110" t="n">
        <v>1.25</v>
      </c>
      <c r="F110" t="inlineStr">
        <is>
          <t>x</t>
        </is>
      </c>
      <c r="G110" t="inlineStr">
        <is>
          <t>tan_suat</t>
        </is>
      </c>
      <c r="H110" t="inlineStr">
        <is>
          <t>06</t>
        </is>
      </c>
      <c r="I110" t="inlineStr">
        <is>
          <t>EngagementFeasibility.TravelSeconds</t>
        </is>
      </c>
      <c r="J110" t="inlineStr">
        <is>
          <t>Assets/MachineBrigade/Resources/Data/tunables.json: ai.feasibility.travelDetour</t>
        </is>
      </c>
      <c r="K110" t="inlineStr">
        <is>
          <t>{"value":1.25,"unit":"x","kind":"tan_suat","linh_vuc":"06","code":"EngagementFeasibility.TravelSeconds"}</t>
        </is>
      </c>
    </row>
    <row r="111">
      <c r="A111" t="inlineStr">
        <is>
          <t>ai.feint.cooldownS</t>
        </is>
      </c>
      <c r="B111" t="inlineStr">
        <is>
          <t>feint</t>
        </is>
      </c>
      <c r="C111" t="inlineStr">
        <is>
          <t>cooldownS</t>
        </is>
      </c>
      <c r="D111" t="n">
        <v>60</v>
      </c>
      <c r="F111" t="inlineStr">
        <is>
          <t>s</t>
        </is>
      </c>
      <c r="G111" t="inlineStr">
        <is>
          <t>thoi_gian</t>
        </is>
      </c>
      <c r="H111" t="inlineStr">
        <is>
          <t>06</t>
        </is>
      </c>
      <c r="I111" t="inlineStr">
        <is>
          <t>Feint.CooldownS (AI MASTER P4)</t>
        </is>
      </c>
      <c r="J111" t="inlineStr">
        <is>
          <t>Assets/MachineBrigade/Resources/Data/tunables.json: ai.feint.cooldownS</t>
        </is>
      </c>
      <c r="K111" t="inlineStr">
        <is>
          <t>{"value":60.0,"unit":"s","kind":"thoi_gian","linh_vuc":"06","code":"Feint.CooldownS (AI MASTER P4)"}</t>
        </is>
      </c>
    </row>
    <row r="112">
      <c r="A112" t="inlineStr">
        <is>
          <t>ai.feint.maxSeconds</t>
        </is>
      </c>
      <c r="B112" t="inlineStr">
        <is>
          <t>feint</t>
        </is>
      </c>
      <c r="C112" t="inlineStr">
        <is>
          <t>maxSeconds</t>
        </is>
      </c>
      <c r="D112" t="n">
        <v>25</v>
      </c>
      <c r="F112" t="inlineStr">
        <is>
          <t>s</t>
        </is>
      </c>
      <c r="G112" t="inlineStr">
        <is>
          <t>thoi_gian</t>
        </is>
      </c>
      <c r="H112" t="inlineStr">
        <is>
          <t>06</t>
        </is>
      </c>
      <c r="I112" t="inlineStr">
        <is>
          <t>Feint.MaxSeconds (AI MASTER P4)</t>
        </is>
      </c>
      <c r="J112" t="inlineStr">
        <is>
          <t>Assets/MachineBrigade/Resources/Data/tunables.json: ai.feint.maxSeconds</t>
        </is>
      </c>
      <c r="K112" t="inlineStr">
        <is>
          <t>{"value":25.0,"unit":"s","kind":"thoi_gian","linh_vuc":"06","code":"Feint.MaxSeconds (AI MASTER P4)"}</t>
        </is>
      </c>
    </row>
    <row r="113">
      <c r="A113" t="inlineStr">
        <is>
          <t>ai.feint.minUtility</t>
        </is>
      </c>
      <c r="B113" t="inlineStr">
        <is>
          <t>feint</t>
        </is>
      </c>
      <c r="C113" t="inlineStr">
        <is>
          <t>minUtility</t>
        </is>
      </c>
      <c r="D113" t="n">
        <v>0.5</v>
      </c>
      <c r="F113" t="inlineStr">
        <is>
          <t>share</t>
        </is>
      </c>
      <c r="G113" t="inlineStr">
        <is>
          <t>nguong</t>
        </is>
      </c>
      <c r="H113" t="inlineStr">
        <is>
          <t>06</t>
        </is>
      </c>
      <c r="I113" t="inlineStr">
        <is>
          <t>Feint.MinUtility (AI MASTER P4)</t>
        </is>
      </c>
      <c r="J113" t="inlineStr">
        <is>
          <t>Assets/MachineBrigade/Resources/Data/tunables.json: ai.feint.minUtility</t>
        </is>
      </c>
      <c r="K113" t="inlineStr">
        <is>
          <t>{"value":0.5,"unit":"share","kind":"nguong","linh_vuc":"06","code":"Feint.MinUtility (AI MASTER P4)"}</t>
        </is>
      </c>
    </row>
    <row r="114">
      <c r="A114" t="inlineStr">
        <is>
          <t>ai.feint.powerShareMax</t>
        </is>
      </c>
      <c r="B114" t="inlineStr">
        <is>
          <t>feint</t>
        </is>
      </c>
      <c r="C114" t="inlineStr">
        <is>
          <t>powerShareMax</t>
        </is>
      </c>
      <c r="D114" t="n">
        <v>0.2</v>
      </c>
      <c r="F114" t="inlineStr">
        <is>
          <t>share</t>
        </is>
      </c>
      <c r="G114" t="inlineStr">
        <is>
          <t>nguong</t>
        </is>
      </c>
      <c r="H114" t="inlineStr">
        <is>
          <t>06</t>
        </is>
      </c>
      <c r="I114" t="inlineStr">
        <is>
          <t>Feint.PowerShareMax (AI MASTER P4)</t>
        </is>
      </c>
      <c r="J114" t="inlineStr">
        <is>
          <t>Assets/MachineBrigade/Resources/Data/tunables.json: ai.feint.powerShareMax</t>
        </is>
      </c>
      <c r="K114" t="inlineStr">
        <is>
          <t>{"value":0.2,"unit":"share","kind":"nguong","linh_vuc":"06","code":"Feint.PowerShareMax (AI MASTER P4)"}</t>
        </is>
      </c>
    </row>
    <row r="115">
      <c r="A115" t="inlineStr">
        <is>
          <t>ai.feint.redeployShare</t>
        </is>
      </c>
      <c r="B115" t="inlineStr">
        <is>
          <t>feint</t>
        </is>
      </c>
      <c r="C115" t="inlineStr">
        <is>
          <t>redeployShare</t>
        </is>
      </c>
      <c r="D115" t="n">
        <v>0.25</v>
      </c>
      <c r="F115" t="inlineStr">
        <is>
          <t>share</t>
        </is>
      </c>
      <c r="G115" t="inlineStr">
        <is>
          <t>nguong</t>
        </is>
      </c>
      <c r="H115" t="inlineStr">
        <is>
          <t>06</t>
        </is>
      </c>
      <c r="I115" t="inlineStr">
        <is>
          <t>Feint.RedeployShare (AI MASTER P4)</t>
        </is>
      </c>
      <c r="J115" t="inlineStr">
        <is>
          <t>Assets/MachineBrigade/Resources/Data/tunables.json: ai.feint.redeployShare</t>
        </is>
      </c>
      <c r="K115" t="inlineStr">
        <is>
          <t>{"value":0.25,"unit":"share","kind":"nguong","linh_vuc":"06","code":"Feint.RedeployShare (AI MASTER P4)"}</t>
        </is>
      </c>
    </row>
    <row r="116">
      <c r="A116" t="inlineStr">
        <is>
          <t>ai.feint.weights</t>
        </is>
      </c>
      <c r="B116" t="inlineStr">
        <is>
          <t>feint</t>
        </is>
      </c>
      <c r="C116" t="inlineStr">
        <is>
          <t>weights</t>
        </is>
      </c>
      <c r="E116" t="inlineStr">
        <is>
          <t>0.4;0.3;0.3;0.2</t>
        </is>
      </c>
      <c r="F116" t="inlineStr">
        <is>
          <t>share</t>
        </is>
      </c>
      <c r="G116" t="inlineStr">
        <is>
          <t>nguong</t>
        </is>
      </c>
      <c r="H116" t="inlineStr">
        <is>
          <t>06</t>
        </is>
      </c>
      <c r="I116" t="inlineStr">
        <is>
          <t>Feint.Weights (AI MASTER P4)</t>
        </is>
      </c>
      <c r="J116" t="inlineStr">
        <is>
          <t>Assets/MachineBrigade/Resources/Data/tunables.json: ai.feint.weights</t>
        </is>
      </c>
      <c r="K116" t="inlineStr">
        <is>
          <t>{"value":[0.4,0.3,0.3,0.2],"unit":"share","kind":"nguong","linh_vuc":"06","code":"Feint.Weights (AI MASTER P4)"}</t>
        </is>
      </c>
    </row>
    <row r="117">
      <c r="A117" t="inlineStr">
        <is>
          <t>ai.fireMissions.chokeMargin</t>
        </is>
      </c>
      <c r="B117" t="inlineStr">
        <is>
          <t>fireMissions</t>
        </is>
      </c>
      <c r="C117" t="inlineStr">
        <is>
          <t>chokeMargin</t>
        </is>
      </c>
      <c r="D117" t="n">
        <v>4</v>
      </c>
      <c r="F117" t="inlineStr">
        <is>
          <t>m</t>
        </is>
      </c>
      <c r="G117" t="inlineStr">
        <is>
          <t>ban_kinh</t>
        </is>
      </c>
      <c r="H117" t="inlineStr">
        <is>
          <t>06</t>
        </is>
      </c>
      <c r="I117" t="inlineStr">
        <is>
          <t>FireMissions.ChokeMargin (AI MASTER P3)</t>
        </is>
      </c>
      <c r="J117" t="inlineStr">
        <is>
          <t>Assets/MachineBrigade/Resources/Data/tunables.json: ai.fireMissions.chokeMargin</t>
        </is>
      </c>
      <c r="K117" t="inlineStr">
        <is>
          <t>{"value":4.0,"unit":"m","kind":"ban_kinh","linh_vuc":"06","code":"FireMissions.ChokeMargin (AI MASTER P3)"}</t>
        </is>
      </c>
    </row>
    <row r="118">
      <c r="A118" t="inlineStr">
        <is>
          <t>ai.fireMissions.errorShare</t>
        </is>
      </c>
      <c r="B118" t="inlineStr">
        <is>
          <t>fireMissions</t>
        </is>
      </c>
      <c r="C118" t="inlineStr">
        <is>
          <t>errorShare</t>
        </is>
      </c>
      <c r="D118" t="n">
        <v>0.2</v>
      </c>
      <c r="F118" t="inlineStr">
        <is>
          <t>share</t>
        </is>
      </c>
      <c r="G118" t="inlineStr">
        <is>
          <t>nguong</t>
        </is>
      </c>
      <c r="H118" t="inlineStr">
        <is>
          <t>06</t>
        </is>
      </c>
      <c r="I118" t="inlineStr">
        <is>
          <t>FireMissions.ErrorShare (AI MASTER P3)</t>
        </is>
      </c>
      <c r="J118" t="inlineStr">
        <is>
          <t>Assets/MachineBrigade/Resources/Data/tunables.json: ai.fireMissions.errorShare</t>
        </is>
      </c>
      <c r="K118" t="inlineStr">
        <is>
          <t>{"value":0.2,"unit":"share","kind":"nguong","linh_vuc":"06","code":"FireMissions.ErrorShare (AI MASTER P3)"}</t>
        </is>
      </c>
    </row>
    <row r="119">
      <c r="A119" t="inlineStr">
        <is>
          <t>ai.fireMissions.frontMargin</t>
        </is>
      </c>
      <c r="B119" t="inlineStr">
        <is>
          <t>fireMissions</t>
        </is>
      </c>
      <c r="C119" t="inlineStr">
        <is>
          <t>frontMargin</t>
        </is>
      </c>
      <c r="D119" t="n">
        <v>15</v>
      </c>
      <c r="F119" t="inlineStr">
        <is>
          <t>m</t>
        </is>
      </c>
      <c r="G119" t="inlineStr">
        <is>
          <t>ban_kinh</t>
        </is>
      </c>
      <c r="H119" t="inlineStr">
        <is>
          <t>06</t>
        </is>
      </c>
      <c r="I119" t="inlineStr">
        <is>
          <t>FireMissions.FrontMargin (AI MASTER P3)</t>
        </is>
      </c>
      <c r="J119" t="inlineStr">
        <is>
          <t>Assets/MachineBrigade/Resources/Data/tunables.json: ai.fireMissions.frontMargin</t>
        </is>
      </c>
      <c r="K119" t="inlineStr">
        <is>
          <t>{"value":15.0,"unit":"m","kind":"ban_kinh","linh_vuc":"06","code":"FireMissions.FrontMargin (AI MASTER P3)"}</t>
        </is>
      </c>
    </row>
    <row r="120">
      <c r="A120" t="inlineStr">
        <is>
          <t>ai.fireMissions.halfLifeS</t>
        </is>
      </c>
      <c r="B120" t="inlineStr">
        <is>
          <t>fireMissions</t>
        </is>
      </c>
      <c r="C120" t="inlineStr">
        <is>
          <t>halfLifeS</t>
        </is>
      </c>
      <c r="D120" t="n">
        <v>20</v>
      </c>
      <c r="F120" t="inlineStr">
        <is>
          <t>s</t>
        </is>
      </c>
      <c r="G120" t="inlineStr">
        <is>
          <t>thoi_gian</t>
        </is>
      </c>
      <c r="H120" t="inlineStr">
        <is>
          <t>06</t>
        </is>
      </c>
      <c r="I120" t="inlineStr">
        <is>
          <t>FireMissions.HalfLifeS (AI MASTER P3)</t>
        </is>
      </c>
      <c r="J120" t="inlineStr">
        <is>
          <t>Assets/MachineBrigade/Resources/Data/tunables.json: ai.fireMissions.halfLifeS</t>
        </is>
      </c>
      <c r="K120" t="inlineStr">
        <is>
          <t>{"value":20.0,"unit":"s","kind":"thoi_gian","linh_vuc":"06","code":"FireMissions.HalfLifeS (AI MASTER P3)"}</t>
        </is>
      </c>
    </row>
    <row r="121">
      <c r="A121" t="inlineStr">
        <is>
          <t>ai.fireMissions.impactMemoryS</t>
        </is>
      </c>
      <c r="B121" t="inlineStr">
        <is>
          <t>fireMissions</t>
        </is>
      </c>
      <c r="C121" t="inlineStr">
        <is>
          <t>impactMemoryS</t>
        </is>
      </c>
      <c r="D121" t="n">
        <v>8</v>
      </c>
      <c r="F121" t="inlineStr">
        <is>
          <t>s</t>
        </is>
      </c>
      <c r="G121" t="inlineStr">
        <is>
          <t>thoi_gian</t>
        </is>
      </c>
      <c r="H121" t="inlineStr">
        <is>
          <t>06</t>
        </is>
      </c>
      <c r="I121" t="inlineStr">
        <is>
          <t>FireMissions.ImpactMemoryS (AI MASTER P3)</t>
        </is>
      </c>
      <c r="J121" t="inlineStr">
        <is>
          <t>Assets/MachineBrigade/Resources/Data/tunables.json: ai.fireMissions.impactMemoryS</t>
        </is>
      </c>
      <c r="K121" t="inlineStr">
        <is>
          <t>{"value":8.0,"unit":"s","kind":"thoi_gian","linh_vuc":"06","code":"FireMissions.ImpactMemoryS (AI MASTER P3)"}</t>
        </is>
      </c>
    </row>
    <row r="122">
      <c r="A122" t="inlineStr">
        <is>
          <t>ai.fireMissions.maxGunsPerTarget</t>
        </is>
      </c>
      <c r="B122" t="inlineStr">
        <is>
          <t>fireMissions</t>
        </is>
      </c>
      <c r="C122" t="inlineStr">
        <is>
          <t>maxGunsPerTarget</t>
        </is>
      </c>
      <c r="D122" t="n">
        <v>2</v>
      </c>
      <c r="F122" t="inlineStr">
        <is>
          <t>count</t>
        </is>
      </c>
      <c r="G122" t="inlineStr">
        <is>
          <t>gioi_han_thuc_the</t>
        </is>
      </c>
      <c r="H122" t="inlineStr">
        <is>
          <t>06</t>
        </is>
      </c>
      <c r="I122" t="inlineStr">
        <is>
          <t>FireMissions.MaxGunsPerTarget (AI MASTER P3)</t>
        </is>
      </c>
      <c r="J122" t="inlineStr">
        <is>
          <t>Assets/MachineBrigade/Resources/Data/tunables.json: ai.fireMissions.maxGunsPerTarget</t>
        </is>
      </c>
      <c r="K122" t="inlineStr">
        <is>
          <t>{"value":2,"unit":"count","kind":"gioi_han_thuc_the","linh_vuc":"06","code":"FireMissions.MaxGunsPerTarget (AI MASTER P3)"}</t>
        </is>
      </c>
    </row>
    <row r="123">
      <c r="A123" t="inlineStr">
        <is>
          <t>ai.fireMissions.mergeRadius</t>
        </is>
      </c>
      <c r="B123" t="inlineStr">
        <is>
          <t>fireMissions</t>
        </is>
      </c>
      <c r="C123" t="inlineStr">
        <is>
          <t>mergeRadius</t>
        </is>
      </c>
      <c r="D123" t="n">
        <v>30</v>
      </c>
      <c r="F123" t="inlineStr">
        <is>
          <t>m</t>
        </is>
      </c>
      <c r="G123" t="inlineStr">
        <is>
          <t>ban_kinh</t>
        </is>
      </c>
      <c r="H123" t="inlineStr">
        <is>
          <t>06</t>
        </is>
      </c>
      <c r="I123" t="inlineStr">
        <is>
          <t>FireMissions.MergeRadius (AI MASTER P3)</t>
        </is>
      </c>
      <c r="J123" t="inlineStr">
        <is>
          <t>Assets/MachineBrigade/Resources/Data/tunables.json: ai.fireMissions.mergeRadius</t>
        </is>
      </c>
      <c r="K123" t="inlineStr">
        <is>
          <t>{"value":30.0,"unit":"m","kind":"ban_kinh","linh_vuc":"06","code":"FireMissions.MergeRadius (AI MASTER P3)"}</t>
        </is>
      </c>
    </row>
    <row r="124">
      <c r="A124" t="inlineStr">
        <is>
          <t>ai.fireMissions.minError</t>
        </is>
      </c>
      <c r="B124" t="inlineStr">
        <is>
          <t>fireMissions</t>
        </is>
      </c>
      <c r="C124" t="inlineStr">
        <is>
          <t>minError</t>
        </is>
      </c>
      <c r="D124" t="n">
        <v>8</v>
      </c>
      <c r="F124" t="inlineStr">
        <is>
          <t>m</t>
        </is>
      </c>
      <c r="G124" t="inlineStr">
        <is>
          <t>ban_kinh</t>
        </is>
      </c>
      <c r="H124" t="inlineStr">
        <is>
          <t>06</t>
        </is>
      </c>
      <c r="I124" t="inlineStr">
        <is>
          <t>FireMissions.MinError (AI MASTER P3)</t>
        </is>
      </c>
      <c r="J124" t="inlineStr">
        <is>
          <t>Assets/MachineBrigade/Resources/Data/tunables.json: ai.fireMissions.minError</t>
        </is>
      </c>
      <c r="K124" t="inlineStr">
        <is>
          <t>{"value":8.0,"unit":"m","kind":"ban_kinh","linh_vuc":"06","code":"FireMissions.MinError (AI MASTER P3)"}</t>
        </is>
      </c>
    </row>
    <row r="125">
      <c r="A125" t="inlineStr">
        <is>
          <t>ai.fireMissions.missionConfidence</t>
        </is>
      </c>
      <c r="B125" t="inlineStr">
        <is>
          <t>fireMissions</t>
        </is>
      </c>
      <c r="C125" t="inlineStr">
        <is>
          <t>missionConfidence</t>
        </is>
      </c>
      <c r="D125" t="n">
        <v>0.6</v>
      </c>
      <c r="F125" t="inlineStr">
        <is>
          <t>share</t>
        </is>
      </c>
      <c r="G125" t="inlineStr">
        <is>
          <t>nguong</t>
        </is>
      </c>
      <c r="H125" t="inlineStr">
        <is>
          <t>06</t>
        </is>
      </c>
      <c r="I125" t="inlineStr">
        <is>
          <t>FireMissions.MissionConfidence (AI MASTER P3)</t>
        </is>
      </c>
      <c r="J125" t="inlineStr">
        <is>
          <t>Assets/MachineBrigade/Resources/Data/tunables.json: ai.fireMissions.missionConfidence</t>
        </is>
      </c>
      <c r="K125" t="inlineStr">
        <is>
          <t>{"value":0.6,"unit":"share","kind":"nguong","linh_vuc":"06","code":"FireMissions.MissionConfidence (AI MASTER P3)"}</t>
        </is>
      </c>
    </row>
    <row r="126">
      <c r="A126" t="inlineStr">
        <is>
          <t>ai.fireMissions.scootDistance</t>
        </is>
      </c>
      <c r="B126" t="inlineStr">
        <is>
          <t>fireMissions</t>
        </is>
      </c>
      <c r="C126" t="inlineStr">
        <is>
          <t>scootDistance</t>
        </is>
      </c>
      <c r="E126" t="inlineStr">
        <is>
          <t>12.0;30.0</t>
        </is>
      </c>
      <c r="F126" t="inlineStr">
        <is>
          <t>m</t>
        </is>
      </c>
      <c r="G126" t="inlineStr">
        <is>
          <t>ban_kinh</t>
        </is>
      </c>
      <c r="H126" t="inlineStr">
        <is>
          <t>06</t>
        </is>
      </c>
      <c r="I126" t="inlineStr">
        <is>
          <t>FireMissions.ScootDistance (AI MASTER P3)</t>
        </is>
      </c>
      <c r="J126" t="inlineStr">
        <is>
          <t>Assets/MachineBrigade/Resources/Data/tunables.json: ai.fireMissions.scootDistance</t>
        </is>
      </c>
      <c r="K126" t="inlineStr">
        <is>
          <t>{"value":[12.0,30.0],"unit":"m","kind":"ban_kinh","linh_vuc":"06","code":"FireMissions.ScootDistance (AI MASTER P3)"}</t>
        </is>
      </c>
    </row>
    <row r="127">
      <c r="A127" t="inlineStr">
        <is>
          <t>ai.fireMissions.scootSalvos</t>
        </is>
      </c>
      <c r="B127" t="inlineStr">
        <is>
          <t>fireMissions</t>
        </is>
      </c>
      <c r="C127" t="inlineStr">
        <is>
          <t>scootSalvos</t>
        </is>
      </c>
      <c r="E127" t="inlineStr">
        <is>
          <t>2;4</t>
        </is>
      </c>
      <c r="F127" t="inlineStr">
        <is>
          <t>count</t>
        </is>
      </c>
      <c r="G127" t="inlineStr">
        <is>
          <t>gioi_han_thuc_the</t>
        </is>
      </c>
      <c r="H127" t="inlineStr">
        <is>
          <t>06</t>
        </is>
      </c>
      <c r="I127" t="inlineStr">
        <is>
          <t>FireMissions.ScootSalvos (AI MASTER P3)</t>
        </is>
      </c>
      <c r="J127" t="inlineStr">
        <is>
          <t>Assets/MachineBrigade/Resources/Data/tunables.json: ai.fireMissions.scootSalvos</t>
        </is>
      </c>
      <c r="K127" t="inlineStr">
        <is>
          <t>{"value":[2,4],"unit":"count","kind":"gioi_han_thuc_the","linh_vuc":"06","code":"FireMissions.ScootSalvos (AI MASTER P3)"}</t>
        </is>
      </c>
    </row>
    <row r="128">
      <c r="A128" t="inlineStr">
        <is>
          <t>ai.fireMissions.staleSeconds</t>
        </is>
      </c>
      <c r="B128" t="inlineStr">
        <is>
          <t>fireMissions</t>
        </is>
      </c>
      <c r="C128" t="inlineStr">
        <is>
          <t>staleSeconds</t>
        </is>
      </c>
      <c r="D128" t="n">
        <v>4</v>
      </c>
      <c r="F128" t="inlineStr">
        <is>
          <t>s</t>
        </is>
      </c>
      <c r="G128" t="inlineStr">
        <is>
          <t>thoi_gian</t>
        </is>
      </c>
      <c r="H128" t="inlineStr">
        <is>
          <t>06</t>
        </is>
      </c>
      <c r="I128" t="inlineStr">
        <is>
          <t>FireMissions.StaleSeconds (AI MASTER P3)</t>
        </is>
      </c>
      <c r="J128" t="inlineStr">
        <is>
          <t>Assets/MachineBrigade/Resources/Data/tunables.json: ai.fireMissions.staleSeconds</t>
        </is>
      </c>
      <c r="K128" t="inlineStr">
        <is>
          <t>{"value":4.0,"unit":"s","kind":"thoi_gian","linh_vuc":"06","code":"FireMissions.StaleSeconds (AI MASTER P3)"}</t>
        </is>
      </c>
    </row>
    <row r="129">
      <c r="A129" t="inlineStr">
        <is>
          <t>ai.fireMissions.strikeConfidence</t>
        </is>
      </c>
      <c r="B129" t="inlineStr">
        <is>
          <t>fireMissions</t>
        </is>
      </c>
      <c r="C129" t="inlineStr">
        <is>
          <t>strikeConfidence</t>
        </is>
      </c>
      <c r="D129" t="n">
        <v>0.7</v>
      </c>
      <c r="F129" t="inlineStr">
        <is>
          <t>share</t>
        </is>
      </c>
      <c r="G129" t="inlineStr">
        <is>
          <t>nguong</t>
        </is>
      </c>
      <c r="H129" t="inlineStr">
        <is>
          <t>06</t>
        </is>
      </c>
      <c r="I129" t="inlineStr">
        <is>
          <t>FireMissions.StrikeConfidence (AI MASTER P3)</t>
        </is>
      </c>
      <c r="J129" t="inlineStr">
        <is>
          <t>Assets/MachineBrigade/Resources/Data/tunables.json: ai.fireMissions.strikeConfidence</t>
        </is>
      </c>
      <c r="K129" t="inlineStr">
        <is>
          <t>{"value":0.7,"unit":"share","kind":"nguong","linh_vuc":"06","code":"FireMissions.StrikeConfidence (AI MASTER P3)"}</t>
        </is>
      </c>
    </row>
    <row r="130">
      <c r="A130" t="inlineStr">
        <is>
          <t>ai.fireMissions.strikeMaxError</t>
        </is>
      </c>
      <c r="B130" t="inlineStr">
        <is>
          <t>fireMissions</t>
        </is>
      </c>
      <c r="C130" t="inlineStr">
        <is>
          <t>strikeMaxError</t>
        </is>
      </c>
      <c r="D130" t="n">
        <v>25</v>
      </c>
      <c r="F130" t="inlineStr">
        <is>
          <t>m</t>
        </is>
      </c>
      <c r="G130" t="inlineStr">
        <is>
          <t>ban_kinh</t>
        </is>
      </c>
      <c r="H130" t="inlineStr">
        <is>
          <t>06</t>
        </is>
      </c>
      <c r="I130" t="inlineStr">
        <is>
          <t>FireMissions.StrikeMaxError (AI MASTER P3)</t>
        </is>
      </c>
      <c r="J130" t="inlineStr">
        <is>
          <t>Assets/MachineBrigade/Resources/Data/tunables.json: ai.fireMissions.strikeMaxError</t>
        </is>
      </c>
      <c r="K130" t="inlineStr">
        <is>
          <t>{"value":25.0,"unit":"m","kind":"ban_kinh","linh_vuc":"06","code":"FireMissions.StrikeMaxError (AI MASTER P3)"}</t>
        </is>
      </c>
    </row>
    <row r="131">
      <c r="A131" t="inlineStr">
        <is>
          <t>ai.fireMissions.threatRadius</t>
        </is>
      </c>
      <c r="B131" t="inlineStr">
        <is>
          <t>fireMissions</t>
        </is>
      </c>
      <c r="C131" t="inlineStr">
        <is>
          <t>threatRadius</t>
        </is>
      </c>
      <c r="D131" t="n">
        <v>25</v>
      </c>
      <c r="F131" t="inlineStr">
        <is>
          <t>m</t>
        </is>
      </c>
      <c r="G131" t="inlineStr">
        <is>
          <t>ban_kinh</t>
        </is>
      </c>
      <c r="H131" t="inlineStr">
        <is>
          <t>06</t>
        </is>
      </c>
      <c r="I131" t="inlineStr">
        <is>
          <t>FireMissions.ThreatRadius (AI MASTER P3)</t>
        </is>
      </c>
      <c r="J131" t="inlineStr">
        <is>
          <t>Assets/MachineBrigade/Resources/Data/tunables.json: ai.fireMissions.threatRadius</t>
        </is>
      </c>
      <c r="K131" t="inlineStr">
        <is>
          <t>{"value":25.0,"unit":"m","kind":"ban_kinh","linh_vuc":"06","code":"FireMissions.ThreatRadius (AI MASTER P3)"}</t>
        </is>
      </c>
    </row>
    <row r="132">
      <c r="A132" t="inlineStr">
        <is>
          <t>ai.fireSupport.bandSlack</t>
        </is>
      </c>
      <c r="B132" t="inlineStr">
        <is>
          <t>fireSupport</t>
        </is>
      </c>
      <c r="C132" t="inlineStr">
        <is>
          <t>bandSlack</t>
        </is>
      </c>
      <c r="D132" t="n">
        <v>0.08</v>
      </c>
      <c r="F132" t="inlineStr">
        <is>
          <t>share</t>
        </is>
      </c>
      <c r="G132" t="inlineStr">
        <is>
          <t>nguong</t>
        </is>
      </c>
      <c r="H132" t="inlineStr">
        <is>
          <t>06</t>
        </is>
      </c>
      <c r="I132" t="inlineStr">
        <is>
          <t>FireSupport.BandSlack (AI MASTER P2)</t>
        </is>
      </c>
      <c r="J132" t="inlineStr">
        <is>
          <t>Assets/MachineBrigade/Resources/Data/tunables.json: ai.fireSupport.bandSlack</t>
        </is>
      </c>
      <c r="K132" t="inlineStr">
        <is>
          <t>{"value":0.08,"unit":"share","kind":"nguong","linh_vuc":"06","code":"FireSupport.BandSlack (AI MASTER P2)"}</t>
        </is>
      </c>
    </row>
    <row r="133">
      <c r="A133" t="inlineStr">
        <is>
          <t>ai.fireSupport.hqSeparation</t>
        </is>
      </c>
      <c r="B133" t="inlineStr">
        <is>
          <t>fireSupport</t>
        </is>
      </c>
      <c r="C133" t="inlineStr">
        <is>
          <t>hqSeparation</t>
        </is>
      </c>
      <c r="D133" t="n">
        <v>15</v>
      </c>
      <c r="F133" t="inlineStr">
        <is>
          <t>m</t>
        </is>
      </c>
      <c r="G133" t="inlineStr">
        <is>
          <t>ban_kinh</t>
        </is>
      </c>
      <c r="H133" t="inlineStr">
        <is>
          <t>06</t>
        </is>
      </c>
      <c r="I133" t="inlineStr">
        <is>
          <t>FireSupport.HqSeparation (AI MASTER P2)</t>
        </is>
      </c>
      <c r="J133" t="inlineStr">
        <is>
          <t>Assets/MachineBrigade/Resources/Data/tunables.json: ai.fireSupport.hqSeparation</t>
        </is>
      </c>
      <c r="K133" t="inlineStr">
        <is>
          <t>{"value":15.0,"unit":"m","kind":"ban_kinh","linh_vuc":"06","code":"FireSupport.HqSeparation (AI MASTER P2)"}</t>
        </is>
      </c>
    </row>
    <row r="134">
      <c r="A134" t="inlineStr">
        <is>
          <t>ai.fireSupport.interceptConfidence</t>
        </is>
      </c>
      <c r="B134" t="inlineStr">
        <is>
          <t>fireSupport</t>
        </is>
      </c>
      <c r="C134" t="inlineStr">
        <is>
          <t>interceptConfidence</t>
        </is>
      </c>
      <c r="D134" t="n">
        <v>0.5</v>
      </c>
      <c r="F134" t="inlineStr">
        <is>
          <t>share</t>
        </is>
      </c>
      <c r="G134" t="inlineStr">
        <is>
          <t>nguong</t>
        </is>
      </c>
      <c r="H134" t="inlineStr">
        <is>
          <t>06</t>
        </is>
      </c>
      <c r="I134" t="inlineStr">
        <is>
          <t>FireSupport.InterceptConfidence (AI MASTER P2)</t>
        </is>
      </c>
      <c r="J134" t="inlineStr">
        <is>
          <t>Assets/MachineBrigade/Resources/Data/tunables.json: ai.fireSupport.interceptConfidence</t>
        </is>
      </c>
      <c r="K134" t="inlineStr">
        <is>
          <t>{"value":0.5,"unit":"share","kind":"nguong","linh_vuc":"06","code":"FireSupport.InterceptConfidence (AI MASTER P2)"}</t>
        </is>
      </c>
    </row>
    <row r="135">
      <c r="A135" t="inlineStr">
        <is>
          <t>ai.fireSupport.lateralSamples</t>
        </is>
      </c>
      <c r="B135" t="inlineStr">
        <is>
          <t>fireSupport</t>
        </is>
      </c>
      <c r="C135" t="inlineStr">
        <is>
          <t>lateralSamples</t>
        </is>
      </c>
      <c r="D135" t="n">
        <v>2</v>
      </c>
      <c r="F135" t="inlineStr">
        <is>
          <t>count</t>
        </is>
      </c>
      <c r="G135" t="inlineStr">
        <is>
          <t>gioi_han_thuc_the</t>
        </is>
      </c>
      <c r="H135" t="inlineStr">
        <is>
          <t>06</t>
        </is>
      </c>
      <c r="I135" t="inlineStr">
        <is>
          <t>FireSupport.LateralSamples (AI MASTER P2)</t>
        </is>
      </c>
      <c r="J135" t="inlineStr">
        <is>
          <t>Assets/MachineBrigade/Resources/Data/tunables.json: ai.fireSupport.lateralSamples</t>
        </is>
      </c>
      <c r="K135" t="inlineStr">
        <is>
          <t>{"value":2,"unit":"count","kind":"gioi_han_thuc_the","linh_vuc":"06","code":"FireSupport.LateralSamples (AI MASTER P2)"}</t>
        </is>
      </c>
    </row>
    <row r="136">
      <c r="A136" t="inlineStr">
        <is>
          <t>ai.fireSupport.lateralStep</t>
        </is>
      </c>
      <c r="B136" t="inlineStr">
        <is>
          <t>fireSupport</t>
        </is>
      </c>
      <c r="C136" t="inlineStr">
        <is>
          <t>lateralStep</t>
        </is>
      </c>
      <c r="D136" t="n">
        <v>12</v>
      </c>
      <c r="F136" t="inlineStr">
        <is>
          <t>m</t>
        </is>
      </c>
      <c r="G136" t="inlineStr">
        <is>
          <t>ban_kinh</t>
        </is>
      </c>
      <c r="H136" t="inlineStr">
        <is>
          <t>06</t>
        </is>
      </c>
      <c r="I136" t="inlineStr">
        <is>
          <t>FireSupport.LateralStep (AI MASTER P2)</t>
        </is>
      </c>
      <c r="J136" t="inlineStr">
        <is>
          <t>Assets/MachineBrigade/Resources/Data/tunables.json: ai.fireSupport.lateralStep</t>
        </is>
      </c>
      <c r="K136" t="inlineStr">
        <is>
          <t>{"value":12.0,"unit":"m","kind":"ban_kinh","linh_vuc":"06","code":"FireSupport.LateralStep (AI MASTER P2)"}</t>
        </is>
      </c>
    </row>
    <row r="137">
      <c r="A137" t="inlineStr">
        <is>
          <t>ai.fireSupport.minHoldSeconds</t>
        </is>
      </c>
      <c r="B137" t="inlineStr">
        <is>
          <t>fireSupport</t>
        </is>
      </c>
      <c r="C137" t="inlineStr">
        <is>
          <t>minHoldSeconds</t>
        </is>
      </c>
      <c r="D137" t="n">
        <v>8</v>
      </c>
      <c r="F137" t="inlineStr">
        <is>
          <t>s</t>
        </is>
      </c>
      <c r="G137" t="inlineStr">
        <is>
          <t>thoi_gian</t>
        </is>
      </c>
      <c r="H137" t="inlineStr">
        <is>
          <t>06</t>
        </is>
      </c>
      <c r="I137" t="inlineStr">
        <is>
          <t>FireSupport.MinHoldSeconds (AI MASTER P2)</t>
        </is>
      </c>
      <c r="J137" t="inlineStr">
        <is>
          <t>Assets/MachineBrigade/Resources/Data/tunables.json: ai.fireSupport.minHoldSeconds</t>
        </is>
      </c>
      <c r="K137" t="inlineStr">
        <is>
          <t>{"value":8.0,"unit":"s","kind":"thoi_gian","linh_vuc":"06","code":"FireSupport.MinHoldSeconds (AI MASTER P2)"}</t>
        </is>
      </c>
    </row>
    <row r="138">
      <c r="A138" t="inlineStr">
        <is>
          <t>ai.fireSupport.predictSeconds</t>
        </is>
      </c>
      <c r="B138" t="inlineStr">
        <is>
          <t>fireSupport</t>
        </is>
      </c>
      <c r="C138" t="inlineStr">
        <is>
          <t>predictSeconds</t>
        </is>
      </c>
      <c r="D138" t="n">
        <v>6</v>
      </c>
      <c r="F138" t="inlineStr">
        <is>
          <t>s</t>
        </is>
      </c>
      <c r="G138" t="inlineStr">
        <is>
          <t>thoi_gian</t>
        </is>
      </c>
      <c r="H138" t="inlineStr">
        <is>
          <t>06</t>
        </is>
      </c>
      <c r="I138" t="inlineStr">
        <is>
          <t>FireSupport.PredictSeconds (AI MASTER P2)</t>
        </is>
      </c>
      <c r="J138" t="inlineStr">
        <is>
          <t>Assets/MachineBrigade/Resources/Data/tunables.json: ai.fireSupport.predictSeconds</t>
        </is>
      </c>
      <c r="K138" t="inlineStr">
        <is>
          <t>{"value":6.0,"unit":"s","kind":"thoi_gian","linh_vuc":"06","code":"FireSupport.PredictSeconds (AI MASTER P2)"}</t>
        </is>
      </c>
    </row>
    <row r="139">
      <c r="A139" t="inlineStr">
        <is>
          <t>ai.fireSupport.slotSpacing</t>
        </is>
      </c>
      <c r="B139" t="inlineStr">
        <is>
          <t>fireSupport</t>
        </is>
      </c>
      <c r="C139" t="inlineStr">
        <is>
          <t>slotSpacing</t>
        </is>
      </c>
      <c r="D139" t="n">
        <v>10</v>
      </c>
      <c r="F139" t="inlineStr">
        <is>
          <t>m</t>
        </is>
      </c>
      <c r="G139" t="inlineStr">
        <is>
          <t>ban_kinh</t>
        </is>
      </c>
      <c r="H139" t="inlineStr">
        <is>
          <t>06</t>
        </is>
      </c>
      <c r="I139" t="inlineStr">
        <is>
          <t>FireSupport.SlotSpacing (AI MASTER P2)</t>
        </is>
      </c>
      <c r="J139" t="inlineStr">
        <is>
          <t>Assets/MachineBrigade/Resources/Data/tunables.json: ai.fireSupport.slotSpacing</t>
        </is>
      </c>
      <c r="K139" t="inlineStr">
        <is>
          <t>{"value":10.0,"unit":"m","kind":"ban_kinh","linh_vuc":"06","code":"FireSupport.SlotSpacing (AI MASTER P2)"}</t>
        </is>
      </c>
    </row>
    <row r="140">
      <c r="A140" t="inlineStr">
        <is>
          <t>ai.fireSupport.utilizationSeconds</t>
        </is>
      </c>
      <c r="B140" t="inlineStr">
        <is>
          <t>fireSupport</t>
        </is>
      </c>
      <c r="C140" t="inlineStr">
        <is>
          <t>utilizationSeconds</t>
        </is>
      </c>
      <c r="D140" t="n">
        <v>20</v>
      </c>
      <c r="F140" t="inlineStr">
        <is>
          <t>s</t>
        </is>
      </c>
      <c r="G140" t="inlineStr">
        <is>
          <t>thoi_gian</t>
        </is>
      </c>
      <c r="H140" t="inlineStr">
        <is>
          <t>06</t>
        </is>
      </c>
      <c r="I140" t="inlineStr">
        <is>
          <t>FireSupport.UtilizationSeconds (AI MASTER P2)</t>
        </is>
      </c>
      <c r="J140" t="inlineStr">
        <is>
          <t>Assets/MachineBrigade/Resources/Data/tunables.json: ai.fireSupport.utilizationSeconds</t>
        </is>
      </c>
      <c r="K140" t="inlineStr">
        <is>
          <t>{"value":20.0,"unit":"s","kind":"thoi_gian","linh_vuc":"06","code":"FireSupport.UtilizationSeconds (AI MASTER P2)"}</t>
        </is>
      </c>
    </row>
    <row r="141">
      <c r="A141" t="inlineStr">
        <is>
          <t>ai.fireSupport.weights</t>
        </is>
      </c>
      <c r="B141" t="inlineStr">
        <is>
          <t>fireSupport</t>
        </is>
      </c>
      <c r="C141" t="inlineStr">
        <is>
          <t>weights</t>
        </is>
      </c>
      <c r="E141" t="inlineStr">
        <is>
          <t>1.0;0.8;0.8;0.4;0.5;0.8;1.0;0.4;2.0;1.0</t>
        </is>
      </c>
      <c r="F141" t="inlineStr">
        <is>
          <t>x</t>
        </is>
      </c>
      <c r="G141" t="inlineStr">
        <is>
          <t>nguong</t>
        </is>
      </c>
      <c r="H141" t="inlineStr">
        <is>
          <t>06</t>
        </is>
      </c>
      <c r="I141" t="inlineStr">
        <is>
          <t>FireSupport.Weights (AI MASTER P2)</t>
        </is>
      </c>
      <c r="J141" t="inlineStr">
        <is>
          <t>Assets/MachineBrigade/Resources/Data/tunables.json: ai.fireSupport.weights</t>
        </is>
      </c>
      <c r="K141" t="inlineStr">
        <is>
          <t>{"value":[1.0,0.8,0.8,0.4,0.5,0.8,1.0,0.4,2.0,1.0],"unit":"x","kind":"nguong","linh_vuc":"06","code":"FireSupport.Weights (AI MASTER P2)"}</t>
        </is>
      </c>
    </row>
    <row r="142">
      <c r="A142" t="inlineStr">
        <is>
          <t>ai.firingLane.blockerNudgeMetres</t>
        </is>
      </c>
      <c r="B142" t="inlineStr">
        <is>
          <t>firingLane</t>
        </is>
      </c>
      <c r="C142" t="inlineStr">
        <is>
          <t>blockerNudgeMetres</t>
        </is>
      </c>
      <c r="D142" t="n">
        <v>3</v>
      </c>
      <c r="F142" t="inlineStr">
        <is>
          <t>m</t>
        </is>
      </c>
      <c r="G142" t="inlineStr">
        <is>
          <t>ban_kinh</t>
        </is>
      </c>
      <c r="H142" t="inlineStr">
        <is>
          <t>06</t>
        </is>
      </c>
      <c r="I142" t="inlineStr">
        <is>
          <t>FiringLane.BlockerNudgeMetres (AI MASTER P2)</t>
        </is>
      </c>
      <c r="J142" t="inlineStr">
        <is>
          <t>Assets/MachineBrigade/Resources/Data/tunables.json: ai.firingLane.blockerNudgeMetres</t>
        </is>
      </c>
      <c r="K142" t="inlineStr">
        <is>
          <t>{"value":3.0,"unit":"m","kind":"ban_kinh","linh_vuc":"06","code":"FiringLane.BlockerNudgeMetres (AI MASTER P2)"}</t>
        </is>
      </c>
    </row>
    <row r="143">
      <c r="A143" t="inlineStr">
        <is>
          <t>ai.firingLane.cooldownSeconds</t>
        </is>
      </c>
      <c r="B143" t="inlineStr">
        <is>
          <t>firingLane</t>
        </is>
      </c>
      <c r="C143" t="inlineStr">
        <is>
          <t>cooldownSeconds</t>
        </is>
      </c>
      <c r="D143" t="n">
        <v>4</v>
      </c>
      <c r="F143" t="inlineStr">
        <is>
          <t>s</t>
        </is>
      </c>
      <c r="G143" t="inlineStr">
        <is>
          <t>thoi_gian</t>
        </is>
      </c>
      <c r="H143" t="inlineStr">
        <is>
          <t>06</t>
        </is>
      </c>
      <c r="I143" t="inlineStr">
        <is>
          <t>FiringLane.CooldownSeconds (AI MASTER P2)</t>
        </is>
      </c>
      <c r="J143" t="inlineStr">
        <is>
          <t>Assets/MachineBrigade/Resources/Data/tunables.json: ai.firingLane.cooldownSeconds</t>
        </is>
      </c>
      <c r="K143" t="inlineStr">
        <is>
          <t>{"value":4.0,"unit":"s","kind":"thoi_gian","linh_vuc":"06","code":"FiringLane.CooldownSeconds (AI MASTER P2)"}</t>
        </is>
      </c>
    </row>
    <row r="144">
      <c r="A144" t="inlineStr">
        <is>
          <t>ai.firingLane.sidestepMetres</t>
        </is>
      </c>
      <c r="B144" t="inlineStr">
        <is>
          <t>firingLane</t>
        </is>
      </c>
      <c r="C144" t="inlineStr">
        <is>
          <t>sidestepMetres</t>
        </is>
      </c>
      <c r="D144" t="n">
        <v>4</v>
      </c>
      <c r="F144" t="inlineStr">
        <is>
          <t>m</t>
        </is>
      </c>
      <c r="G144" t="inlineStr">
        <is>
          <t>ban_kinh</t>
        </is>
      </c>
      <c r="H144" t="inlineStr">
        <is>
          <t>06</t>
        </is>
      </c>
      <c r="I144" t="inlineStr">
        <is>
          <t>FiringLane.SidestepMetres (AI MASTER P2)</t>
        </is>
      </c>
      <c r="J144" t="inlineStr">
        <is>
          <t>Assets/MachineBrigade/Resources/Data/tunables.json: ai.firingLane.sidestepMetres</t>
        </is>
      </c>
      <c r="K144" t="inlineStr">
        <is>
          <t>{"value":4.0,"unit":"m","kind":"ban_kinh","linh_vuc":"06","code":"FiringLane.SidestepMetres (AI MASTER P2)"}</t>
        </is>
      </c>
    </row>
    <row r="145">
      <c r="A145" t="inlineStr">
        <is>
          <t>ai.firingLane.slotShiftMetres</t>
        </is>
      </c>
      <c r="B145" t="inlineStr">
        <is>
          <t>firingLane</t>
        </is>
      </c>
      <c r="C145" t="inlineStr">
        <is>
          <t>slotShiftMetres</t>
        </is>
      </c>
      <c r="D145" t="n">
        <v>9</v>
      </c>
      <c r="F145" t="inlineStr">
        <is>
          <t>m</t>
        </is>
      </c>
      <c r="G145" t="inlineStr">
        <is>
          <t>ban_kinh</t>
        </is>
      </c>
      <c r="H145" t="inlineStr">
        <is>
          <t>06</t>
        </is>
      </c>
      <c r="I145" t="inlineStr">
        <is>
          <t>FiringLane.SlotShiftMetres (AI MASTER P2)</t>
        </is>
      </c>
      <c r="J145" t="inlineStr">
        <is>
          <t>Assets/MachineBrigade/Resources/Data/tunables.json: ai.firingLane.slotShiftMetres</t>
        </is>
      </c>
      <c r="K145" t="inlineStr">
        <is>
          <t>{"value":9.0,"unit":"m","kind":"ban_kinh","linh_vuc":"06","code":"FiringLane.SlotShiftMetres (AI MASTER P2)"}</t>
        </is>
      </c>
    </row>
    <row r="146">
      <c r="A146" t="inlineStr">
        <is>
          <t>ai.firingLane.waitSeconds</t>
        </is>
      </c>
      <c r="B146" t="inlineStr">
        <is>
          <t>firingLane</t>
        </is>
      </c>
      <c r="C146" t="inlineStr">
        <is>
          <t>waitSeconds</t>
        </is>
      </c>
      <c r="D146" t="n">
        <v>1</v>
      </c>
      <c r="F146" t="inlineStr">
        <is>
          <t>s</t>
        </is>
      </c>
      <c r="G146" t="inlineStr">
        <is>
          <t>thoi_gian</t>
        </is>
      </c>
      <c r="H146" t="inlineStr">
        <is>
          <t>06</t>
        </is>
      </c>
      <c r="I146" t="inlineStr">
        <is>
          <t>FiringLane.WaitSeconds (AI MASTER P2)</t>
        </is>
      </c>
      <c r="J146" t="inlineStr">
        <is>
          <t>Assets/MachineBrigade/Resources/Data/tunables.json: ai.firingLane.waitSeconds</t>
        </is>
      </c>
      <c r="K146" t="inlineStr">
        <is>
          <t>{"value":1.0,"unit":"s","kind":"thoi_gian","linh_vuc":"06","code":"FiringLane.WaitSeconds (AI MASTER P2)"}</t>
        </is>
      </c>
    </row>
    <row r="147">
      <c r="A147" t="inlineStr">
        <is>
          <t>ai.forecast.aoeClusterBonus</t>
        </is>
      </c>
      <c r="B147" t="inlineStr">
        <is>
          <t>forecast</t>
        </is>
      </c>
      <c r="C147" t="inlineStr">
        <is>
          <t>aoeClusterBonus</t>
        </is>
      </c>
      <c r="D147" t="n">
        <v>0.15</v>
      </c>
      <c r="F147" t="inlineStr">
        <is>
          <t>x</t>
        </is>
      </c>
      <c r="G147" t="inlineStr">
        <is>
          <t>nguong</t>
        </is>
      </c>
      <c r="H147" t="inlineStr">
        <is>
          <t>06</t>
        </is>
      </c>
      <c r="I147" t="inlineStr">
        <is>
          <t>Forecast.AoeClusterBonus (AI MASTER P4)</t>
        </is>
      </c>
      <c r="J147" t="inlineStr">
        <is>
          <t>Assets/MachineBrigade/Resources/Data/tunables.json: ai.forecast.aoeClusterBonus</t>
        </is>
      </c>
      <c r="K147" t="inlineStr">
        <is>
          <t>{"value":0.15,"unit":"x","kind":"nguong","linh_vuc":"06","code":"Forecast.AoeClusterBonus (AI MASTER P4)"}</t>
        </is>
      </c>
    </row>
    <row r="148">
      <c r="A148" t="inlineStr">
        <is>
          <t>ai.forecast.aoeMax</t>
        </is>
      </c>
      <c r="B148" t="inlineStr">
        <is>
          <t>forecast</t>
        </is>
      </c>
      <c r="C148" t="inlineStr">
        <is>
          <t>aoeMax</t>
        </is>
      </c>
      <c r="D148" t="n">
        <v>1</v>
      </c>
      <c r="F148" t="inlineStr">
        <is>
          <t>x</t>
        </is>
      </c>
      <c r="G148" t="inlineStr">
        <is>
          <t>nguong</t>
        </is>
      </c>
      <c r="H148" t="inlineStr">
        <is>
          <t>06</t>
        </is>
      </c>
      <c r="I148" t="inlineStr">
        <is>
          <t>Forecast.AoeMax (AI MASTER P4)</t>
        </is>
      </c>
      <c r="J148" t="inlineStr">
        <is>
          <t>Assets/MachineBrigade/Resources/Data/tunables.json: ai.forecast.aoeMax</t>
        </is>
      </c>
      <c r="K148" t="inlineStr">
        <is>
          <t>{"value":1.0,"unit":"x","kind":"nguong","linh_vuc":"06","code":"Forecast.AoeMax (AI MASTER P4)"}</t>
        </is>
      </c>
    </row>
    <row r="149">
      <c r="A149" t="inlineStr">
        <is>
          <t>ai.forecast.cacheS</t>
        </is>
      </c>
      <c r="B149" t="inlineStr">
        <is>
          <t>forecast</t>
        </is>
      </c>
      <c r="C149" t="inlineStr">
        <is>
          <t>cacheS</t>
        </is>
      </c>
      <c r="D149" t="n">
        <v>0.75</v>
      </c>
      <c r="F149" t="inlineStr">
        <is>
          <t>s</t>
        </is>
      </c>
      <c r="G149" t="inlineStr">
        <is>
          <t>thoi_gian</t>
        </is>
      </c>
      <c r="H149" t="inlineStr">
        <is>
          <t>06</t>
        </is>
      </c>
      <c r="I149" t="inlineStr">
        <is>
          <t>Forecast.CacheS (AI MASTER P4)</t>
        </is>
      </c>
      <c r="J149" t="inlineStr">
        <is>
          <t>Assets/MachineBrigade/Resources/Data/tunables.json: ai.forecast.cacheS</t>
        </is>
      </c>
      <c r="K149" t="inlineStr">
        <is>
          <t>{"value":0.75,"unit":"s","kind":"thoi_gian","linh_vuc":"06","code":"Forecast.CacheS (AI MASTER P4)"}</t>
        </is>
      </c>
    </row>
    <row r="150">
      <c r="A150" t="inlineStr">
        <is>
          <t>ai.forecast.depthTwoShare</t>
        </is>
      </c>
      <c r="B150" t="inlineStr">
        <is>
          <t>forecast</t>
        </is>
      </c>
      <c r="C150" t="inlineStr">
        <is>
          <t>depthTwoShare</t>
        </is>
      </c>
      <c r="D150" t="n">
        <v>0.5</v>
      </c>
      <c r="F150" t="inlineStr">
        <is>
          <t>share</t>
        </is>
      </c>
      <c r="G150" t="inlineStr">
        <is>
          <t>nguong</t>
        </is>
      </c>
      <c r="H150" t="inlineStr">
        <is>
          <t>06</t>
        </is>
      </c>
      <c r="I150" t="inlineStr">
        <is>
          <t>Forecast.DepthTwoShare (AI MASTER P4)</t>
        </is>
      </c>
      <c r="J150" t="inlineStr">
        <is>
          <t>Assets/MachineBrigade/Resources/Data/tunables.json: ai.forecast.depthTwoShare</t>
        </is>
      </c>
      <c r="K150" t="inlineStr">
        <is>
          <t>{"value":0.5,"unit":"share","kind":"nguong","linh_vuc":"06","code":"Forecast.DepthTwoShare (AI MASTER P4)"}</t>
        </is>
      </c>
    </row>
    <row r="151">
      <c r="A151" t="inlineStr">
        <is>
          <t>ai.forecast.enoughEnemyAfter</t>
        </is>
      </c>
      <c r="B151" t="inlineStr">
        <is>
          <t>forecast</t>
        </is>
      </c>
      <c r="C151" t="inlineStr">
        <is>
          <t>enoughEnemyAfter</t>
        </is>
      </c>
      <c r="D151" t="n">
        <v>0.3</v>
      </c>
      <c r="F151" t="inlineStr">
        <is>
          <t>share</t>
        </is>
      </c>
      <c r="G151" t="inlineStr">
        <is>
          <t>nguong</t>
        </is>
      </c>
      <c r="H151" t="inlineStr">
        <is>
          <t>06</t>
        </is>
      </c>
      <c r="I151" t="inlineStr">
        <is>
          <t>Forecast.EnoughEnemyAfter (AI MASTER P4)</t>
        </is>
      </c>
      <c r="J151" t="inlineStr">
        <is>
          <t>Assets/MachineBrigade/Resources/Data/tunables.json: ai.forecast.enoughEnemyAfter</t>
        </is>
      </c>
      <c r="K151" t="inlineStr">
        <is>
          <t>{"value":0.3,"unit":"share","kind":"nguong","linh_vuc":"06","code":"Forecast.EnoughEnemyAfter (AI MASTER P4)"}</t>
        </is>
      </c>
    </row>
    <row r="152">
      <c r="A152" t="inlineStr">
        <is>
          <t>ai.forecast.enoughMaxHoldS</t>
        </is>
      </c>
      <c r="B152" t="inlineStr">
        <is>
          <t>forecast</t>
        </is>
      </c>
      <c r="C152" t="inlineStr">
        <is>
          <t>enoughMaxHoldS</t>
        </is>
      </c>
      <c r="D152" t="n">
        <v>30</v>
      </c>
      <c r="F152" t="inlineStr">
        <is>
          <t>s</t>
        </is>
      </c>
      <c r="G152" t="inlineStr">
        <is>
          <t>thoi_gian</t>
        </is>
      </c>
      <c r="H152" t="inlineStr">
        <is>
          <t>06</t>
        </is>
      </c>
      <c r="I152" t="inlineStr">
        <is>
          <t>Forecast.EnoughMaxHoldS (AI MASTER P4)</t>
        </is>
      </c>
      <c r="J152" t="inlineStr">
        <is>
          <t>Assets/MachineBrigade/Resources/Data/tunables.json: ai.forecast.enoughMaxHoldS</t>
        </is>
      </c>
      <c r="K152" t="inlineStr">
        <is>
          <t>{"value":30.0,"unit":"s","kind":"thoi_gian","linh_vuc":"06","code":"Forecast.EnoughMaxHoldS (AI MASTER P4)"}</t>
        </is>
      </c>
    </row>
    <row r="153">
      <c r="A153" t="inlineStr">
        <is>
          <t>ai.forecast.enoughMinKnown</t>
        </is>
      </c>
      <c r="B153" t="inlineStr">
        <is>
          <t>forecast</t>
        </is>
      </c>
      <c r="C153" t="inlineStr">
        <is>
          <t>enoughMinKnown</t>
        </is>
      </c>
      <c r="D153" t="n">
        <v>3</v>
      </c>
      <c r="F153" t="inlineStr">
        <is>
          <t>count</t>
        </is>
      </c>
      <c r="G153" t="inlineStr">
        <is>
          <t>nguong</t>
        </is>
      </c>
      <c r="H153" t="inlineStr">
        <is>
          <t>06</t>
        </is>
      </c>
      <c r="I153" t="inlineStr">
        <is>
          <t>Forecast.EnoughMinKnown (AI MASTER P4)</t>
        </is>
      </c>
      <c r="J153" t="inlineStr">
        <is>
          <t>Assets/MachineBrigade/Resources/Data/tunables.json: ai.forecast.enoughMinKnown</t>
        </is>
      </c>
      <c r="K153" t="inlineStr">
        <is>
          <t>{"value":3,"unit":"count","kind":"nguong","linh_vuc":"06","code":"Forecast.EnoughMinKnown (AI MASTER P4)"}</t>
        </is>
      </c>
    </row>
    <row r="154">
      <c r="A154" t="inlineStr">
        <is>
          <t>ai.forecast.enoughRatio</t>
        </is>
      </c>
      <c r="B154" t="inlineStr">
        <is>
          <t>forecast</t>
        </is>
      </c>
      <c r="C154" t="inlineStr">
        <is>
          <t>enoughRatio</t>
        </is>
      </c>
      <c r="D154" t="n">
        <v>2</v>
      </c>
      <c r="F154" t="inlineStr">
        <is>
          <t>x</t>
        </is>
      </c>
      <c r="G154" t="inlineStr">
        <is>
          <t>nguong</t>
        </is>
      </c>
      <c r="H154" t="inlineStr">
        <is>
          <t>06</t>
        </is>
      </c>
      <c r="I154" t="inlineStr">
        <is>
          <t>Forecast.EnoughRatio (AI MASTER P4)</t>
        </is>
      </c>
      <c r="J154" t="inlineStr">
        <is>
          <t>Assets/MachineBrigade/Resources/Data/tunables.json: ai.forecast.enoughRatio</t>
        </is>
      </c>
      <c r="K154" t="inlineStr">
        <is>
          <t>{"value":2.0,"unit":"x","kind":"nguong","linh_vuc":"06","code":"Forecast.EnoughRatio (AI MASTER P4)"}</t>
        </is>
      </c>
    </row>
    <row r="155">
      <c r="A155" t="inlineStr">
        <is>
          <t>ai.forecast.reinforceRadius</t>
        </is>
      </c>
      <c r="B155" t="inlineStr">
        <is>
          <t>forecast</t>
        </is>
      </c>
      <c r="C155" t="inlineStr">
        <is>
          <t>reinforceRadius</t>
        </is>
      </c>
      <c r="D155" t="n">
        <v>80</v>
      </c>
      <c r="F155" t="inlineStr">
        <is>
          <t>m</t>
        </is>
      </c>
      <c r="G155" t="inlineStr">
        <is>
          <t>ban_kinh</t>
        </is>
      </c>
      <c r="H155" t="inlineStr">
        <is>
          <t>06</t>
        </is>
      </c>
      <c r="I155" t="inlineStr">
        <is>
          <t>Forecast.ReinforceRadius (AI MASTER P4)</t>
        </is>
      </c>
      <c r="J155" t="inlineStr">
        <is>
          <t>Assets/MachineBrigade/Resources/Data/tunables.json: ai.forecast.reinforceRadius</t>
        </is>
      </c>
      <c r="K155" t="inlineStr">
        <is>
          <t>{"value":80.0,"unit":"m","kind":"ban_kinh","linh_vuc":"06","code":"Forecast.ReinforceRadius (AI MASTER P4)"}</t>
        </is>
      </c>
    </row>
    <row r="156">
      <c r="A156" t="inlineStr">
        <is>
          <t>ai.forecast.seconds</t>
        </is>
      </c>
      <c r="B156" t="inlineStr">
        <is>
          <t>forecast</t>
        </is>
      </c>
      <c r="C156" t="inlineStr">
        <is>
          <t>seconds</t>
        </is>
      </c>
      <c r="D156" t="n">
        <v>6</v>
      </c>
      <c r="F156" t="inlineStr">
        <is>
          <t>s</t>
        </is>
      </c>
      <c r="G156" t="inlineStr">
        <is>
          <t>thoi_gian</t>
        </is>
      </c>
      <c r="H156" t="inlineStr">
        <is>
          <t>06</t>
        </is>
      </c>
      <c r="I156" t="inlineStr">
        <is>
          <t>Forecast.Seconds (AI MASTER P4)</t>
        </is>
      </c>
      <c r="J156" t="inlineStr">
        <is>
          <t>Assets/MachineBrigade/Resources/Data/tunables.json: ai.forecast.seconds</t>
        </is>
      </c>
      <c r="K156" t="inlineStr">
        <is>
          <t>{"value":6.0,"unit":"s","kind":"thoi_gian","linh_vuc":"06","code":"Forecast.Seconds (AI MASTER P4)"}</t>
        </is>
      </c>
    </row>
    <row r="157">
      <c r="A157" t="inlineStr">
        <is>
          <t>ai.forecast.unknownMargin</t>
        </is>
      </c>
      <c r="B157" t="inlineStr">
        <is>
          <t>forecast</t>
        </is>
      </c>
      <c r="C157" t="inlineStr">
        <is>
          <t>unknownMargin</t>
        </is>
      </c>
      <c r="D157" t="n">
        <v>1.25</v>
      </c>
      <c r="F157" t="inlineStr">
        <is>
          <t>x</t>
        </is>
      </c>
      <c r="G157" t="inlineStr">
        <is>
          <t>nguong</t>
        </is>
      </c>
      <c r="H157" t="inlineStr">
        <is>
          <t>06</t>
        </is>
      </c>
      <c r="I157" t="inlineStr">
        <is>
          <t>Forecast.UnknownMargin (AI MASTER P4)</t>
        </is>
      </c>
      <c r="J157" t="inlineStr">
        <is>
          <t>Assets/MachineBrigade/Resources/Data/tunables.json: ai.forecast.unknownMargin</t>
        </is>
      </c>
      <c r="K157" t="inlineStr">
        <is>
          <t>{"value":1.25,"unit":"x","kind":"nguong","linh_vuc":"06","code":"Forecast.UnknownMargin (AI MASTER P4)"}</t>
        </is>
      </c>
    </row>
    <row r="158">
      <c r="A158" t="inlineStr">
        <is>
          <t>ai.forecast.uptimeFloor</t>
        </is>
      </c>
      <c r="B158" t="inlineStr">
        <is>
          <t>forecast</t>
        </is>
      </c>
      <c r="C158" t="inlineStr">
        <is>
          <t>uptimeFloor</t>
        </is>
      </c>
      <c r="D158" t="n">
        <v>0.15</v>
      </c>
      <c r="F158" t="inlineStr">
        <is>
          <t>share</t>
        </is>
      </c>
      <c r="G158" t="inlineStr">
        <is>
          <t>nguong</t>
        </is>
      </c>
      <c r="H158" t="inlineStr">
        <is>
          <t>06</t>
        </is>
      </c>
      <c r="I158" t="inlineStr">
        <is>
          <t>Forecast.UptimeFloor (AI MASTER P4)</t>
        </is>
      </c>
      <c r="J158" t="inlineStr">
        <is>
          <t>Assets/MachineBrigade/Resources/Data/tunables.json: ai.forecast.uptimeFloor</t>
        </is>
      </c>
      <c r="K158" t="inlineStr">
        <is>
          <t>{"value":0.15,"unit":"share","kind":"nguong","linh_vuc":"06","code":"Forecast.UptimeFloor (AI MASTER P4)"}</t>
        </is>
      </c>
    </row>
    <row r="159">
      <c r="A159" t="inlineStr">
        <is>
          <t>ai.formation.chokeLookahead</t>
        </is>
      </c>
      <c r="B159" t="inlineStr">
        <is>
          <t>formation</t>
        </is>
      </c>
      <c r="C159" t="inlineStr">
        <is>
          <t>chokeLookahead</t>
        </is>
      </c>
      <c r="D159" t="n">
        <v>40</v>
      </c>
      <c r="F159" t="inlineStr">
        <is>
          <t>m</t>
        </is>
      </c>
      <c r="G159" t="inlineStr">
        <is>
          <t>ban_kinh</t>
        </is>
      </c>
      <c r="H159" t="inlineStr">
        <is>
          <t>06</t>
        </is>
      </c>
      <c r="I159" t="inlineStr">
        <is>
          <t>Formation.ChokeLookahead (AI MASTER P2)</t>
        </is>
      </c>
      <c r="J159" t="inlineStr">
        <is>
          <t>Assets/MachineBrigade/Resources/Data/tunables.json: ai.formation.chokeLookahead</t>
        </is>
      </c>
      <c r="K159" t="inlineStr">
        <is>
          <t>{"value":40.0,"unit":"m","kind":"ban_kinh","linh_vuc":"06","code":"Formation.ChokeLookahead (AI MASTER P2)"}</t>
        </is>
      </c>
    </row>
    <row r="160">
      <c r="A160" t="inlineStr">
        <is>
          <t>ai.formation.chokeShare</t>
        </is>
      </c>
      <c r="B160" t="inlineStr">
        <is>
          <t>formation</t>
        </is>
      </c>
      <c r="C160" t="inlineStr">
        <is>
          <t>chokeShare</t>
        </is>
      </c>
      <c r="D160" t="n">
        <v>0.75</v>
      </c>
      <c r="F160" t="inlineStr">
        <is>
          <t>share</t>
        </is>
      </c>
      <c r="G160" t="inlineStr">
        <is>
          <t>nguong</t>
        </is>
      </c>
      <c r="H160" t="inlineStr">
        <is>
          <t>06</t>
        </is>
      </c>
      <c r="I160" t="inlineStr">
        <is>
          <t>Formation.ChokeShare (AI MASTER P2)</t>
        </is>
      </c>
      <c r="J160" t="inlineStr">
        <is>
          <t>Assets/MachineBrigade/Resources/Data/tunables.json: ai.formation.chokeShare</t>
        </is>
      </c>
      <c r="K160" t="inlineStr">
        <is>
          <t>{"value":0.75,"unit":"share","kind":"nguong","linh_vuc":"06","code":"Formation.ChokeShare (AI MASTER P2)"}</t>
        </is>
      </c>
    </row>
    <row r="161">
      <c r="A161" t="inlineStr">
        <is>
          <t>ai.formation.commitSeconds</t>
        </is>
      </c>
      <c r="B161" t="inlineStr">
        <is>
          <t>formation</t>
        </is>
      </c>
      <c r="C161" t="inlineStr">
        <is>
          <t>commitSeconds</t>
        </is>
      </c>
      <c r="D161" t="n">
        <v>3</v>
      </c>
      <c r="F161" t="inlineStr">
        <is>
          <t>s</t>
        </is>
      </c>
      <c r="G161" t="inlineStr">
        <is>
          <t>thoi_gian</t>
        </is>
      </c>
      <c r="H161" t="inlineStr">
        <is>
          <t>06</t>
        </is>
      </c>
      <c r="I161" t="inlineStr">
        <is>
          <t>Formation.CommitSeconds (AI MASTER P2)</t>
        </is>
      </c>
      <c r="J161" t="inlineStr">
        <is>
          <t>Assets/MachineBrigade/Resources/Data/tunables.json: ai.formation.commitSeconds</t>
        </is>
      </c>
      <c r="K161" t="inlineStr">
        <is>
          <t>{"value":3.0,"unit":"s","kind":"thoi_gian","linh_vuc":"06","code":"Formation.CommitSeconds (AI MASTER P2)"}</t>
        </is>
      </c>
    </row>
    <row r="162">
      <c r="A162" t="inlineStr">
        <is>
          <t>ai.formation.directAtMaxSpread</t>
        </is>
      </c>
      <c r="B162" t="inlineStr">
        <is>
          <t>formation</t>
        </is>
      </c>
      <c r="C162" t="inlineStr">
        <is>
          <t>directAtMaxSpread</t>
        </is>
      </c>
      <c r="D162" t="n">
        <v>8</v>
      </c>
      <c r="F162" t="inlineStr">
        <is>
          <t>m</t>
        </is>
      </c>
      <c r="G162" t="inlineStr">
        <is>
          <t>ban_kinh</t>
        </is>
      </c>
      <c r="H162" t="inlineStr">
        <is>
          <t>06</t>
        </is>
      </c>
      <c r="I162" t="inlineStr">
        <is>
          <t>Formation.DirectAtMaxSpread (AI MASTER P2)</t>
        </is>
      </c>
      <c r="J162" t="inlineStr">
        <is>
          <t>Assets/MachineBrigade/Resources/Data/tunables.json: ai.formation.directAtMaxSpread</t>
        </is>
      </c>
      <c r="K162" t="inlineStr">
        <is>
          <t>{"value":8.0,"unit":"m","kind":"ban_kinh","linh_vuc":"06","code":"Formation.DirectAtMaxSpread (AI MASTER P2)"}</t>
        </is>
      </c>
    </row>
    <row r="163">
      <c r="A163" t="inlineStr">
        <is>
          <t>ai.formation.morphSeconds</t>
        </is>
      </c>
      <c r="B163" t="inlineStr">
        <is>
          <t>formation</t>
        </is>
      </c>
      <c r="C163" t="inlineStr">
        <is>
          <t>morphSeconds</t>
        </is>
      </c>
      <c r="D163" t="n">
        <v>1.5</v>
      </c>
      <c r="F163" t="inlineStr">
        <is>
          <t>s</t>
        </is>
      </c>
      <c r="G163" t="inlineStr">
        <is>
          <t>thoi_gian</t>
        </is>
      </c>
      <c r="H163" t="inlineStr">
        <is>
          <t>06</t>
        </is>
      </c>
      <c r="I163" t="inlineStr">
        <is>
          <t>Formation.MorphSeconds (AI MASTER P2)</t>
        </is>
      </c>
      <c r="J163" t="inlineStr">
        <is>
          <t>Assets/MachineBrigade/Resources/Data/tunables.json: ai.formation.morphSeconds</t>
        </is>
      </c>
      <c r="K163" t="inlineStr">
        <is>
          <t>{"value":1.5,"unit":"s","kind":"thoi_gian","linh_vuc":"06","code":"Formation.MorphSeconds (AI MASTER P2)"}</t>
        </is>
      </c>
    </row>
    <row r="164">
      <c r="A164" t="inlineStr">
        <is>
          <t>ai.formation.packetDelay</t>
        </is>
      </c>
      <c r="B164" t="inlineStr">
        <is>
          <t>formation</t>
        </is>
      </c>
      <c r="C164" t="inlineStr">
        <is>
          <t>packetDelay</t>
        </is>
      </c>
      <c r="D164" t="n">
        <v>3</v>
      </c>
      <c r="F164" t="inlineStr">
        <is>
          <t>s</t>
        </is>
      </c>
      <c r="G164" t="inlineStr">
        <is>
          <t>thoi_gian</t>
        </is>
      </c>
      <c r="H164" t="inlineStr">
        <is>
          <t>06</t>
        </is>
      </c>
      <c r="I164" t="inlineStr">
        <is>
          <t>Formation.PacketDelay (AI MASTER P2)</t>
        </is>
      </c>
      <c r="J164" t="inlineStr">
        <is>
          <t>Assets/MachineBrigade/Resources/Data/tunables.json: ai.formation.packetDelay</t>
        </is>
      </c>
      <c r="K164" t="inlineStr">
        <is>
          <t>{"value":3.0,"unit":"s","kind":"thoi_gian","linh_vuc":"06","code":"Formation.PacketDelay (AI MASTER P2)"}</t>
        </is>
      </c>
    </row>
    <row r="165">
      <c r="A165" t="inlineStr">
        <is>
          <t>ai.formation.rearRow</t>
        </is>
      </c>
      <c r="B165" t="inlineStr">
        <is>
          <t>formation</t>
        </is>
      </c>
      <c r="C165" t="inlineStr">
        <is>
          <t>rearRow</t>
        </is>
      </c>
      <c r="D165" t="n">
        <v>10</v>
      </c>
      <c r="F165" t="inlineStr">
        <is>
          <t>m</t>
        </is>
      </c>
      <c r="G165" t="inlineStr">
        <is>
          <t>ban_kinh</t>
        </is>
      </c>
      <c r="H165" t="inlineStr">
        <is>
          <t>06</t>
        </is>
      </c>
      <c r="I165" t="inlineStr">
        <is>
          <t>Formation.RearRow (AI MASTER P2)</t>
        </is>
      </c>
      <c r="J165" t="inlineStr">
        <is>
          <t>Assets/MachineBrigade/Resources/Data/tunables.json: ai.formation.rearRow</t>
        </is>
      </c>
      <c r="K165" t="inlineStr">
        <is>
          <t>{"value":10.0,"unit":"m","kind":"ban_kinh","linh_vuc":"06","code":"Formation.RearRow (AI MASTER P2)"}</t>
        </is>
      </c>
    </row>
    <row r="166">
      <c r="A166" t="inlineStr">
        <is>
          <t>ai.formation.splashPacket</t>
        </is>
      </c>
      <c r="B166" t="inlineStr">
        <is>
          <t>formation</t>
        </is>
      </c>
      <c r="C166" t="inlineStr">
        <is>
          <t>splashPacket</t>
        </is>
      </c>
      <c r="D166" t="n">
        <v>3</v>
      </c>
      <c r="F166" t="inlineStr">
        <is>
          <t>count</t>
        </is>
      </c>
      <c r="G166" t="inlineStr">
        <is>
          <t>gioi_han_thuc_the</t>
        </is>
      </c>
      <c r="H166" t="inlineStr">
        <is>
          <t>06</t>
        </is>
      </c>
      <c r="I166" t="inlineStr">
        <is>
          <t>Formation.SplashPacket (AI MASTER P2)</t>
        </is>
      </c>
      <c r="J166" t="inlineStr">
        <is>
          <t>Assets/MachineBrigade/Resources/Data/tunables.json: ai.formation.splashPacket</t>
        </is>
      </c>
      <c r="K166" t="inlineStr">
        <is>
          <t>{"value":3,"unit":"count","kind":"gioi_han_thuc_the","linh_vuc":"06","code":"Formation.SplashPacket (AI MASTER P2)"}</t>
        </is>
      </c>
    </row>
    <row r="167">
      <c r="A167" t="inlineStr">
        <is>
          <t>ai.gating.adaptationLevel</t>
        </is>
      </c>
      <c r="B167" t="inlineStr">
        <is>
          <t>gating</t>
        </is>
      </c>
      <c r="C167" t="inlineStr">
        <is>
          <t>adaptationLevel</t>
        </is>
      </c>
      <c r="D167" t="n">
        <v>2</v>
      </c>
      <c r="F167" t="inlineStr">
        <is>
          <t>count</t>
        </is>
      </c>
      <c r="G167" t="inlineStr">
        <is>
          <t>nguong</t>
        </is>
      </c>
      <c r="H167" t="inlineStr">
        <is>
          <t>06</t>
        </is>
      </c>
      <c r="I167" t="inlineStr">
        <is>
          <t>Gating.AdaptationLevel (AI MASTER P4)</t>
        </is>
      </c>
      <c r="J167" t="inlineStr">
        <is>
          <t>Assets/MachineBrigade/Resources/Data/tunables.json: ai.gating.adaptationLevel</t>
        </is>
      </c>
      <c r="K167" t="inlineStr">
        <is>
          <t>{"value":2,"unit":"count","kind":"nguong","linh_vuc":"06","code":"Gating.AdaptationLevel (AI MASTER P4)"}</t>
        </is>
      </c>
    </row>
    <row r="168">
      <c r="A168" t="inlineStr">
        <is>
          <t>ai.gating.bomberLevel</t>
        </is>
      </c>
      <c r="B168" t="inlineStr">
        <is>
          <t>gating</t>
        </is>
      </c>
      <c r="C168" t="inlineStr">
        <is>
          <t>bomberLevel</t>
        </is>
      </c>
      <c r="D168" t="n">
        <v>1</v>
      </c>
      <c r="F168" t="inlineStr">
        <is>
          <t>count</t>
        </is>
      </c>
      <c r="G168" t="inlineStr">
        <is>
          <t>nguong</t>
        </is>
      </c>
      <c r="H168" t="inlineStr">
        <is>
          <t>06</t>
        </is>
      </c>
      <c r="I168" t="inlineStr">
        <is>
          <t>Gating.BomberLevel (AI MASTER P4)</t>
        </is>
      </c>
      <c r="J168" t="inlineStr">
        <is>
          <t>Assets/MachineBrigade/Resources/Data/tunables.json: ai.gating.bomberLevel</t>
        </is>
      </c>
      <c r="K168" t="inlineStr">
        <is>
          <t>{"value":1,"unit":"count","kind":"nguong","linh_vuc":"06","code":"Gating.BomberLevel (AI MASTER P4)"}</t>
        </is>
      </c>
    </row>
    <row r="169">
      <c r="A169" t="inlineStr">
        <is>
          <t>ai.gating.feintLevel</t>
        </is>
      </c>
      <c r="B169" t="inlineStr">
        <is>
          <t>gating</t>
        </is>
      </c>
      <c r="C169" t="inlineStr">
        <is>
          <t>feintLevel</t>
        </is>
      </c>
      <c r="D169" t="n">
        <v>2</v>
      </c>
      <c r="F169" t="inlineStr">
        <is>
          <t>count</t>
        </is>
      </c>
      <c r="G169" t="inlineStr">
        <is>
          <t>nguong</t>
        </is>
      </c>
      <c r="H169" t="inlineStr">
        <is>
          <t>06</t>
        </is>
      </c>
      <c r="I169" t="inlineStr">
        <is>
          <t>Gating.FeintLevel (AI MASTER P4)</t>
        </is>
      </c>
      <c r="J169" t="inlineStr">
        <is>
          <t>Assets/MachineBrigade/Resources/Data/tunables.json: ai.gating.feintLevel</t>
        </is>
      </c>
      <c r="K169" t="inlineStr">
        <is>
          <t>{"value":2,"unit":"count","kind":"nguong","linh_vuc":"06","code":"Gating.FeintLevel (AI MASTER P4)"}</t>
        </is>
      </c>
    </row>
    <row r="170">
      <c r="A170" t="inlineStr">
        <is>
          <t>ai.gating.patternLevel</t>
        </is>
      </c>
      <c r="B170" t="inlineStr">
        <is>
          <t>gating</t>
        </is>
      </c>
      <c r="C170" t="inlineStr">
        <is>
          <t>patternLevel</t>
        </is>
      </c>
      <c r="D170" t="n">
        <v>2</v>
      </c>
      <c r="F170" t="inlineStr">
        <is>
          <t>count</t>
        </is>
      </c>
      <c r="G170" t="inlineStr">
        <is>
          <t>nguong</t>
        </is>
      </c>
      <c r="H170" t="inlineStr">
        <is>
          <t>06</t>
        </is>
      </c>
      <c r="I170" t="inlineStr">
        <is>
          <t>Gating.PatternLevel (AI MASTER P4)</t>
        </is>
      </c>
      <c r="J170" t="inlineStr">
        <is>
          <t>Assets/MachineBrigade/Resources/Data/tunables.json: ai.gating.patternLevel</t>
        </is>
      </c>
      <c r="K170" t="inlineStr">
        <is>
          <t>{"value":2,"unit":"count","kind":"nguong","linh_vuc":"06","code":"Gating.PatternLevel (AI MASTER P4)"}</t>
        </is>
      </c>
    </row>
    <row r="171">
      <c r="A171" t="inlineStr">
        <is>
          <t>ai.gating.probeLevel</t>
        </is>
      </c>
      <c r="B171" t="inlineStr">
        <is>
          <t>gating</t>
        </is>
      </c>
      <c r="C171" t="inlineStr">
        <is>
          <t>probeLevel</t>
        </is>
      </c>
      <c r="D171" t="n">
        <v>2</v>
      </c>
      <c r="F171" t="inlineStr">
        <is>
          <t>count</t>
        </is>
      </c>
      <c r="G171" t="inlineStr">
        <is>
          <t>nguong</t>
        </is>
      </c>
      <c r="H171" t="inlineStr">
        <is>
          <t>06</t>
        </is>
      </c>
      <c r="I171" t="inlineStr">
        <is>
          <t>Gating.ProbeLevel (AI MASTER P4)</t>
        </is>
      </c>
      <c r="J171" t="inlineStr">
        <is>
          <t>Assets/MachineBrigade/Resources/Data/tunables.json: ai.gating.probeLevel</t>
        </is>
      </c>
      <c r="K171" t="inlineStr">
        <is>
          <t>{"value":2,"unit":"count","kind":"nguong","linh_vuc":"06","code":"Gating.ProbeLevel (AI MASTER P4)"}</t>
        </is>
      </c>
    </row>
    <row r="172">
      <c r="A172" t="inlineStr">
        <is>
          <t>ai.gating.seadLevel</t>
        </is>
      </c>
      <c r="B172" t="inlineStr">
        <is>
          <t>gating</t>
        </is>
      </c>
      <c r="C172" t="inlineStr">
        <is>
          <t>seadLevel</t>
        </is>
      </c>
      <c r="D172" t="n">
        <v>2</v>
      </c>
      <c r="F172" t="inlineStr">
        <is>
          <t>count</t>
        </is>
      </c>
      <c r="G172" t="inlineStr">
        <is>
          <t>nguong</t>
        </is>
      </c>
      <c r="H172" t="inlineStr">
        <is>
          <t>06</t>
        </is>
      </c>
      <c r="I172" t="inlineStr">
        <is>
          <t>Gating.SeadLevel (AI MASTER P4)</t>
        </is>
      </c>
      <c r="J172" t="inlineStr">
        <is>
          <t>Assets/MachineBrigade/Resources/Data/tunables.json: ai.gating.seadLevel</t>
        </is>
      </c>
      <c r="K172" t="inlineStr">
        <is>
          <t>{"value":2,"unit":"count","kind":"nguong","linh_vuc":"06","code":"Gating.SeadLevel (AI MASTER P4)"}</t>
        </is>
      </c>
    </row>
    <row r="173">
      <c r="A173" t="inlineStr">
        <is>
          <t>ai.health.arriveRadius</t>
        </is>
      </c>
      <c r="B173" t="inlineStr">
        <is>
          <t>health</t>
        </is>
      </c>
      <c r="C173" t="inlineStr">
        <is>
          <t>arriveRadius</t>
        </is>
      </c>
      <c r="D173" t="n">
        <v>15</v>
      </c>
      <c r="F173" t="inlineStr">
        <is>
          <t>m</t>
        </is>
      </c>
      <c r="G173" t="inlineStr">
        <is>
          <t>ban_kinh</t>
        </is>
      </c>
      <c r="H173" t="inlineStr">
        <is>
          <t>06</t>
        </is>
      </c>
      <c r="I173" t="inlineStr">
        <is>
          <t>Health.ArriveRadius (AI MASTER P5)</t>
        </is>
      </c>
      <c r="J173" t="inlineStr">
        <is>
          <t>Assets/MachineBrigade/Resources/Data/tunables.json: ai.health.arriveRadius</t>
        </is>
      </c>
      <c r="K173" t="inlineStr">
        <is>
          <t>{"value":15.0,"unit":"m","kind":"ban_kinh","linh_vuc":"06","code":"Health.ArriveRadius (AI MASTER P5)"}</t>
        </is>
      </c>
    </row>
    <row r="174">
      <c r="A174" t="inlineStr">
        <is>
          <t>ai.health.blockedMinUnits</t>
        </is>
      </c>
      <c r="B174" t="inlineStr">
        <is>
          <t>health</t>
        </is>
      </c>
      <c r="C174" t="inlineStr">
        <is>
          <t>blockedMinUnits</t>
        </is>
      </c>
      <c r="D174" t="n">
        <v>4</v>
      </c>
      <c r="F174" t="inlineStr">
        <is>
          <t>count</t>
        </is>
      </c>
      <c r="G174" t="inlineStr">
        <is>
          <t>nguong</t>
        </is>
      </c>
      <c r="H174" t="inlineStr">
        <is>
          <t>06</t>
        </is>
      </c>
      <c r="I174" t="inlineStr">
        <is>
          <t>Health.BlockedMinUnits (AI MASTER P5)</t>
        </is>
      </c>
      <c r="J174" t="inlineStr">
        <is>
          <t>Assets/MachineBrigade/Resources/Data/tunables.json: ai.health.blockedMinUnits</t>
        </is>
      </c>
      <c r="K174" t="inlineStr">
        <is>
          <t>{"value":4,"unit":"count","kind":"nguong","linh_vuc":"06","code":"Health.BlockedMinUnits (AI MASTER P5)"}</t>
        </is>
      </c>
    </row>
    <row r="175">
      <c r="A175" t="inlineStr">
        <is>
          <t>ai.health.blockedTripShare</t>
        </is>
      </c>
      <c r="B175" t="inlineStr">
        <is>
          <t>health</t>
        </is>
      </c>
      <c r="C175" t="inlineStr">
        <is>
          <t>blockedTripShare</t>
        </is>
      </c>
      <c r="D175" t="n">
        <v>0.25</v>
      </c>
      <c r="F175" t="inlineStr">
        <is>
          <t>share</t>
        </is>
      </c>
      <c r="G175" t="inlineStr">
        <is>
          <t>nguong</t>
        </is>
      </c>
      <c r="H175" t="inlineStr">
        <is>
          <t>06</t>
        </is>
      </c>
      <c r="I175" t="inlineStr">
        <is>
          <t>Health.BlockedTripShare (AI MASTER P5)</t>
        </is>
      </c>
      <c r="J175" t="inlineStr">
        <is>
          <t>Assets/MachineBrigade/Resources/Data/tunables.json: ai.health.blockedTripShare</t>
        </is>
      </c>
      <c r="K175" t="inlineStr">
        <is>
          <t>{"value":0.25,"unit":"share","kind":"nguong","linh_vuc":"06","code":"Health.BlockedTripShare (AI MASTER P5)"}</t>
        </is>
      </c>
    </row>
    <row r="176">
      <c r="A176" t="inlineStr">
        <is>
          <t>ai.health.churnCommitScale</t>
        </is>
      </c>
      <c r="B176" t="inlineStr">
        <is>
          <t>health</t>
        </is>
      </c>
      <c r="C176" t="inlineStr">
        <is>
          <t>churnCommitScale</t>
        </is>
      </c>
      <c r="D176" t="n">
        <v>1.5</v>
      </c>
      <c r="F176" t="inlineStr">
        <is>
          <t>x</t>
        </is>
      </c>
      <c r="G176" t="inlineStr">
        <is>
          <t>nguong</t>
        </is>
      </c>
      <c r="H176" t="inlineStr">
        <is>
          <t>06</t>
        </is>
      </c>
      <c r="I176" t="inlineStr">
        <is>
          <t>Health.ChurnCommitScale (AI MASTER P5)</t>
        </is>
      </c>
      <c r="J176" t="inlineStr">
        <is>
          <t>Assets/MachineBrigade/Resources/Data/tunables.json: ai.health.churnCommitScale</t>
        </is>
      </c>
      <c r="K176" t="inlineStr">
        <is>
          <t>{"value":1.5,"unit":"x","kind":"nguong","linh_vuc":"06","code":"Health.ChurnCommitScale (AI MASTER P5)"}</t>
        </is>
      </c>
    </row>
    <row r="177">
      <c r="A177" t="inlineStr">
        <is>
          <t>ai.health.churnDampS</t>
        </is>
      </c>
      <c r="B177" t="inlineStr">
        <is>
          <t>health</t>
        </is>
      </c>
      <c r="C177" t="inlineStr">
        <is>
          <t>churnDampS</t>
        </is>
      </c>
      <c r="D177" t="n">
        <v>30</v>
      </c>
      <c r="F177" t="inlineStr">
        <is>
          <t>s</t>
        </is>
      </c>
      <c r="G177" t="inlineStr">
        <is>
          <t>thoi_gian</t>
        </is>
      </c>
      <c r="H177" t="inlineStr">
        <is>
          <t>06</t>
        </is>
      </c>
      <c r="I177" t="inlineStr">
        <is>
          <t>Health.ChurnDampS (AI MASTER P5)</t>
        </is>
      </c>
      <c r="J177" t="inlineStr">
        <is>
          <t>Assets/MachineBrigade/Resources/Data/tunables.json: ai.health.churnDampS</t>
        </is>
      </c>
      <c r="K177" t="inlineStr">
        <is>
          <t>{"value":30.0,"unit":"s","kind":"thoi_gian","linh_vuc":"06","code":"Health.ChurnDampS (AI MASTER P5)"}</t>
        </is>
      </c>
    </row>
    <row r="178">
      <c r="A178" t="inlineStr">
        <is>
          <t>ai.health.contactMargin</t>
        </is>
      </c>
      <c r="B178" t="inlineStr">
        <is>
          <t>health</t>
        </is>
      </c>
      <c r="C178" t="inlineStr">
        <is>
          <t>contactMargin</t>
        </is>
      </c>
      <c r="D178" t="n">
        <v>15</v>
      </c>
      <c r="F178" t="inlineStr">
        <is>
          <t>m</t>
        </is>
      </c>
      <c r="G178" t="inlineStr">
        <is>
          <t>ban_kinh</t>
        </is>
      </c>
      <c r="H178" t="inlineStr">
        <is>
          <t>06</t>
        </is>
      </c>
      <c r="I178" t="inlineStr">
        <is>
          <t>Health.ContactMargin (AI MASTER P5)</t>
        </is>
      </c>
      <c r="J178" t="inlineStr">
        <is>
          <t>Assets/MachineBrigade/Resources/Data/tunables.json: ai.health.contactMargin</t>
        </is>
      </c>
      <c r="K178" t="inlineStr">
        <is>
          <t>{"value":15.0,"unit":"m","kind":"ban_kinh","linh_vuc":"06","code":"Health.ContactMargin (AI MASTER P5)"}</t>
        </is>
      </c>
    </row>
    <row r="179">
      <c r="A179" t="inlineStr">
        <is>
          <t>ai.health.enabled</t>
        </is>
      </c>
      <c r="B179" t="inlineStr">
        <is>
          <t>health</t>
        </is>
      </c>
      <c r="C179" t="inlineStr">
        <is>
          <t>enabled</t>
        </is>
      </c>
      <c r="D179" t="b">
        <v>1</v>
      </c>
      <c r="F179" t="inlineStr">
        <is>
          <t>flag</t>
        </is>
      </c>
      <c r="G179" t="inlineStr">
        <is>
          <t>khac</t>
        </is>
      </c>
      <c r="H179" t="inlineStr">
        <is>
          <t>06</t>
        </is>
      </c>
      <c r="I179" t="inlineStr">
        <is>
          <t>Health.Enabled (AI MASTER P5)</t>
        </is>
      </c>
      <c r="J179" t="inlineStr">
        <is>
          <t>Assets/MachineBrigade/Resources/Data/tunables.json: ai.health.enabled</t>
        </is>
      </c>
      <c r="K179" t="inlineStr">
        <is>
          <t>{"value":true,"unit":"flag","kind":"khac","linh_vuc":"06","code":"Health.Enabled (AI MASTER P5)"}</t>
        </is>
      </c>
    </row>
    <row r="180">
      <c r="A180" t="inlineStr">
        <is>
          <t>ai.health.idleTripShare</t>
        </is>
      </c>
      <c r="B180" t="inlineStr">
        <is>
          <t>health</t>
        </is>
      </c>
      <c r="C180" t="inlineStr">
        <is>
          <t>idleTripShare</t>
        </is>
      </c>
      <c r="D180" t="n">
        <v>0.1</v>
      </c>
      <c r="F180" t="inlineStr">
        <is>
          <t>share</t>
        </is>
      </c>
      <c r="G180" t="inlineStr">
        <is>
          <t>nguong</t>
        </is>
      </c>
      <c r="H180" t="inlineStr">
        <is>
          <t>06</t>
        </is>
      </c>
      <c r="I180" t="inlineStr">
        <is>
          <t>Health.IdleTripShare (AI MASTER P5)</t>
        </is>
      </c>
      <c r="J180" t="inlineStr">
        <is>
          <t>Assets/MachineBrigade/Resources/Data/tunables.json: ai.health.idleTripShare</t>
        </is>
      </c>
      <c r="K180" t="inlineStr">
        <is>
          <t>{"value":0.1,"unit":"share","kind":"nguong","linh_vuc":"06","code":"Health.IdleTripShare (AI MASTER P5)"}</t>
        </is>
      </c>
    </row>
    <row r="181">
      <c r="A181" t="inlineStr">
        <is>
          <t>ai.health.periodS</t>
        </is>
      </c>
      <c r="B181" t="inlineStr">
        <is>
          <t>health</t>
        </is>
      </c>
      <c r="C181" t="inlineStr">
        <is>
          <t>periodS</t>
        </is>
      </c>
      <c r="D181" t="n">
        <v>1</v>
      </c>
      <c r="F181" t="inlineStr">
        <is>
          <t>s</t>
        </is>
      </c>
      <c r="G181" t="inlineStr">
        <is>
          <t>thoi_gian</t>
        </is>
      </c>
      <c r="H181" t="inlineStr">
        <is>
          <t>06</t>
        </is>
      </c>
      <c r="I181" t="inlineStr">
        <is>
          <t>Health.PeriodS (AI MASTER P5)</t>
        </is>
      </c>
      <c r="J181" t="inlineStr">
        <is>
          <t>Assets/MachineBrigade/Resources/Data/tunables.json: ai.health.periodS</t>
        </is>
      </c>
      <c r="K181" t="inlineStr">
        <is>
          <t>{"value":1.0,"unit":"s","kind":"thoi_gian","linh_vuc":"06","code":"Health.PeriodS (AI MASTER P5)"}</t>
        </is>
      </c>
    </row>
    <row r="182">
      <c r="A182" t="inlineStr">
        <is>
          <t>ai.health.progressM</t>
        </is>
      </c>
      <c r="B182" t="inlineStr">
        <is>
          <t>health</t>
        </is>
      </c>
      <c r="C182" t="inlineStr">
        <is>
          <t>progressM</t>
        </is>
      </c>
      <c r="D182" t="n">
        <v>5</v>
      </c>
      <c r="F182" t="inlineStr">
        <is>
          <t>m</t>
        </is>
      </c>
      <c r="G182" t="inlineStr">
        <is>
          <t>ban_kinh</t>
        </is>
      </c>
      <c r="H182" t="inlineStr">
        <is>
          <t>06</t>
        </is>
      </c>
      <c r="I182" t="inlineStr">
        <is>
          <t>Health.ProgressM (AI MASTER P5)</t>
        </is>
      </c>
      <c r="J182" t="inlineStr">
        <is>
          <t>Assets/MachineBrigade/Resources/Data/tunables.json: ai.health.progressM</t>
        </is>
      </c>
      <c r="K182" t="inlineStr">
        <is>
          <t>{"value":5.0,"unit":"m","kind":"ban_kinh","linh_vuc":"06","code":"Health.ProgressM (AI MASTER P5)"}</t>
        </is>
      </c>
    </row>
    <row r="183">
      <c r="A183" t="inlineStr">
        <is>
          <t>ai.health.recoveryCooldownS</t>
        </is>
      </c>
      <c r="B183" t="inlineStr">
        <is>
          <t>health</t>
        </is>
      </c>
      <c r="C183" t="inlineStr">
        <is>
          <t>recoveryCooldownS</t>
        </is>
      </c>
      <c r="D183" t="n">
        <v>20</v>
      </c>
      <c r="F183" t="inlineStr">
        <is>
          <t>s</t>
        </is>
      </c>
      <c r="G183" t="inlineStr">
        <is>
          <t>thoi_gian</t>
        </is>
      </c>
      <c r="H183" t="inlineStr">
        <is>
          <t>06</t>
        </is>
      </c>
      <c r="I183" t="inlineStr">
        <is>
          <t>Health.RecoveryCooldownS (AI MASTER P5)</t>
        </is>
      </c>
      <c r="J183" t="inlineStr">
        <is>
          <t>Assets/MachineBrigade/Resources/Data/tunables.json: ai.health.recoveryCooldownS</t>
        </is>
      </c>
      <c r="K183" t="inlineStr">
        <is>
          <t>{"value":20.0,"unit":"s","kind":"thoi_gian","linh_vuc":"06","code":"Health.RecoveryCooldownS (AI MASTER P5)"}</t>
        </is>
      </c>
    </row>
    <row r="184">
      <c r="A184" t="inlineStr">
        <is>
          <t>ai.health.squadNoDamageS</t>
        </is>
      </c>
      <c r="B184" t="inlineStr">
        <is>
          <t>health</t>
        </is>
      </c>
      <c r="C184" t="inlineStr">
        <is>
          <t>squadNoDamageS</t>
        </is>
      </c>
      <c r="D184" t="n">
        <v>15</v>
      </c>
      <c r="F184" t="inlineStr">
        <is>
          <t>s</t>
        </is>
      </c>
      <c r="G184" t="inlineStr">
        <is>
          <t>thoi_gian</t>
        </is>
      </c>
      <c r="H184" t="inlineStr">
        <is>
          <t>06</t>
        </is>
      </c>
      <c r="I184" t="inlineStr">
        <is>
          <t>Health.SquadNoDamageS (AI MASTER P5)</t>
        </is>
      </c>
      <c r="J184" t="inlineStr">
        <is>
          <t>Assets/MachineBrigade/Resources/Data/tunables.json: ai.health.squadNoDamageS</t>
        </is>
      </c>
      <c r="K184" t="inlineStr">
        <is>
          <t>{"value":15.0,"unit":"s","kind":"thoi_gian","linh_vuc":"06","code":"Health.SquadNoDamageS (AI MASTER P5)"}</t>
        </is>
      </c>
    </row>
    <row r="185">
      <c r="A185" t="inlineStr">
        <is>
          <t>ai.health.stallS</t>
        </is>
      </c>
      <c r="B185" t="inlineStr">
        <is>
          <t>health</t>
        </is>
      </c>
      <c r="C185" t="inlineStr">
        <is>
          <t>stallS</t>
        </is>
      </c>
      <c r="D185" t="n">
        <v>20</v>
      </c>
      <c r="F185" t="inlineStr">
        <is>
          <t>s</t>
        </is>
      </c>
      <c r="G185" t="inlineStr">
        <is>
          <t>thoi_gian</t>
        </is>
      </c>
      <c r="H185" t="inlineStr">
        <is>
          <t>06</t>
        </is>
      </c>
      <c r="I185" t="inlineStr">
        <is>
          <t>Health.StallS (AI MASTER P5)</t>
        </is>
      </c>
      <c r="J185" t="inlineStr">
        <is>
          <t>Assets/MachineBrigade/Resources/Data/tunables.json: ai.health.stallS</t>
        </is>
      </c>
      <c r="K185" t="inlineStr">
        <is>
          <t>{"value":20.0,"unit":"s","kind":"thoi_gian","linh_vuc":"06","code":"Health.StallS (AI MASTER P5)"}</t>
        </is>
      </c>
    </row>
    <row r="186">
      <c r="A186" t="inlineStr">
        <is>
          <t>ai.health.strictAssertions</t>
        </is>
      </c>
      <c r="B186" t="inlineStr">
        <is>
          <t>health</t>
        </is>
      </c>
      <c r="C186" t="inlineStr">
        <is>
          <t>strictAssertions</t>
        </is>
      </c>
      <c r="D186" t="b">
        <v>0</v>
      </c>
      <c r="F186" t="inlineStr">
        <is>
          <t>flag</t>
        </is>
      </c>
      <c r="G186" t="inlineStr">
        <is>
          <t>khac</t>
        </is>
      </c>
      <c r="H186" t="inlineStr">
        <is>
          <t>06</t>
        </is>
      </c>
      <c r="I186" t="inlineStr">
        <is>
          <t>Health.StrictAssertions (AI MASTER P5)</t>
        </is>
      </c>
      <c r="J186" t="inlineStr">
        <is>
          <t>Assets/MachineBrigade/Resources/Data/tunables.json: ai.health.strictAssertions</t>
        </is>
      </c>
      <c r="K186" t="inlineStr">
        <is>
          <t>{"value":false,"unit":"flag","kind":"khac","linh_vuc":"06","code":"Health.StrictAssertions (AI MASTER P5)"}</t>
        </is>
      </c>
    </row>
    <row r="187">
      <c r="A187" t="inlineStr">
        <is>
          <t>ai.memory.absentDecay</t>
        </is>
      </c>
      <c r="B187" t="inlineStr">
        <is>
          <t>memory</t>
        </is>
      </c>
      <c r="C187" t="inlineStr">
        <is>
          <t>absentDecay</t>
        </is>
      </c>
      <c r="D187" t="n">
        <v>0.25</v>
      </c>
      <c r="F187" t="inlineStr">
        <is>
          <t>x</t>
        </is>
      </c>
      <c r="G187" t="inlineStr">
        <is>
          <t>nguong</t>
        </is>
      </c>
      <c r="H187" t="inlineStr">
        <is>
          <t>06</t>
        </is>
      </c>
      <c r="I187" t="inlineStr">
        <is>
          <t>Memory.AbsentDecay (AI MASTER P3)</t>
        </is>
      </c>
      <c r="J187" t="inlineStr">
        <is>
          <t>Assets/MachineBrigade/Resources/Data/tunables.json: ai.memory.absentDecay</t>
        </is>
      </c>
      <c r="K187" t="inlineStr">
        <is>
          <t>{"value":0.25,"unit":"x","kind":"nguong","linh_vuc":"06","code":"Memory.AbsentDecay (AI MASTER P3)"}</t>
        </is>
      </c>
    </row>
    <row r="188">
      <c r="A188" t="inlineStr">
        <is>
          <t>ai.memory.artilleryHalfLifeS</t>
        </is>
      </c>
      <c r="B188" t="inlineStr">
        <is>
          <t>memory</t>
        </is>
      </c>
      <c r="C188" t="inlineStr">
        <is>
          <t>artilleryHalfLifeS</t>
        </is>
      </c>
      <c r="D188" t="n">
        <v>20</v>
      </c>
      <c r="F188" t="inlineStr">
        <is>
          <t>s</t>
        </is>
      </c>
      <c r="G188" t="inlineStr">
        <is>
          <t>thoi_gian</t>
        </is>
      </c>
      <c r="H188" t="inlineStr">
        <is>
          <t>06</t>
        </is>
      </c>
      <c r="I188" t="inlineStr">
        <is>
          <t>Memory.ArtilleryHalfLifeS (AI MASTER P3)</t>
        </is>
      </c>
      <c r="J188" t="inlineStr">
        <is>
          <t>Assets/MachineBrigade/Resources/Data/tunables.json: ai.memory.artilleryHalfLifeS</t>
        </is>
      </c>
      <c r="K188" t="inlineStr">
        <is>
          <t>{"value":20.0,"unit":"s","kind":"thoi_gian","linh_vuc":"06","code":"Memory.ArtilleryHalfLifeS (AI MASTER P3)"}</t>
        </is>
      </c>
    </row>
    <row r="189">
      <c r="A189" t="inlineStr">
        <is>
          <t>ai.memory.deathHalfLifeS</t>
        </is>
      </c>
      <c r="B189" t="inlineStr">
        <is>
          <t>memory</t>
        </is>
      </c>
      <c r="C189" t="inlineStr">
        <is>
          <t>deathHalfLifeS</t>
        </is>
      </c>
      <c r="D189" t="n">
        <v>18</v>
      </c>
      <c r="F189" t="inlineStr">
        <is>
          <t>s</t>
        </is>
      </c>
      <c r="G189" t="inlineStr">
        <is>
          <t>thoi_gian</t>
        </is>
      </c>
      <c r="H189" t="inlineStr">
        <is>
          <t>06</t>
        </is>
      </c>
      <c r="I189" t="inlineStr">
        <is>
          <t>Memory.DeathHalfLifeS (AI MASTER P3)</t>
        </is>
      </c>
      <c r="J189" t="inlineStr">
        <is>
          <t>Assets/MachineBrigade/Resources/Data/tunables.json: ai.memory.deathHalfLifeS</t>
        </is>
      </c>
      <c r="K189" t="inlineStr">
        <is>
          <t>{"value":18.0,"unit":"s","kind":"thoi_gian","linh_vuc":"06","code":"Memory.DeathHalfLifeS (AI MASTER P3)"}</t>
        </is>
      </c>
    </row>
    <row r="190">
      <c r="A190" t="inlineStr">
        <is>
          <t>ai.memory.deathRadius</t>
        </is>
      </c>
      <c r="B190" t="inlineStr">
        <is>
          <t>memory</t>
        </is>
      </c>
      <c r="C190" t="inlineStr">
        <is>
          <t>deathRadius</t>
        </is>
      </c>
      <c r="D190" t="n">
        <v>20</v>
      </c>
      <c r="F190" t="inlineStr">
        <is>
          <t>m</t>
        </is>
      </c>
      <c r="G190" t="inlineStr">
        <is>
          <t>ban_kinh</t>
        </is>
      </c>
      <c r="H190" t="inlineStr">
        <is>
          <t>06</t>
        </is>
      </c>
      <c r="I190" t="inlineStr">
        <is>
          <t>Memory.DeathRadius (AI MASTER P3)</t>
        </is>
      </c>
      <c r="J190" t="inlineStr">
        <is>
          <t>Assets/MachineBrigade/Resources/Data/tunables.json: ai.memory.deathRadius</t>
        </is>
      </c>
      <c r="K190" t="inlineStr">
        <is>
          <t>{"value":20.0,"unit":"m","kind":"ban_kinh","linh_vuc":"06","code":"Memory.DeathRadius (AI MASTER P3)"}</t>
        </is>
      </c>
    </row>
    <row r="191">
      <c r="A191" t="inlineStr">
        <is>
          <t>ai.memory.mobileHalfLifeS</t>
        </is>
      </c>
      <c r="B191" t="inlineStr">
        <is>
          <t>memory</t>
        </is>
      </c>
      <c r="C191" t="inlineStr">
        <is>
          <t>mobileHalfLifeS</t>
        </is>
      </c>
      <c r="D191" t="n">
        <v>10</v>
      </c>
      <c r="F191" t="inlineStr">
        <is>
          <t>s</t>
        </is>
      </c>
      <c r="G191" t="inlineStr">
        <is>
          <t>thoi_gian</t>
        </is>
      </c>
      <c r="H191" t="inlineStr">
        <is>
          <t>06</t>
        </is>
      </c>
      <c r="I191" t="inlineStr">
        <is>
          <t>Memory.MobileHalfLifeS (AI MASTER P3)</t>
        </is>
      </c>
      <c r="J191" t="inlineStr">
        <is>
          <t>Assets/MachineBrigade/Resources/Data/tunables.json: ai.memory.mobileHalfLifeS</t>
        </is>
      </c>
      <c r="K191" t="inlineStr">
        <is>
          <t>{"value":10.0,"unit":"s","kind":"thoi_gian","linh_vuc":"06","code":"Memory.MobileHalfLifeS (AI MASTER P3)"}</t>
        </is>
      </c>
    </row>
    <row r="192">
      <c r="A192" t="inlineStr">
        <is>
          <t>ai.memory.repeatPlanHalfLifeS</t>
        </is>
      </c>
      <c r="B192" t="inlineStr">
        <is>
          <t>memory</t>
        </is>
      </c>
      <c r="C192" t="inlineStr">
        <is>
          <t>repeatPlanHalfLifeS</t>
        </is>
      </c>
      <c r="D192" t="n">
        <v>45</v>
      </c>
      <c r="F192" t="inlineStr">
        <is>
          <t>s</t>
        </is>
      </c>
      <c r="G192" t="inlineStr">
        <is>
          <t>thoi_gian</t>
        </is>
      </c>
      <c r="H192" t="inlineStr">
        <is>
          <t>06</t>
        </is>
      </c>
      <c r="I192" t="inlineStr">
        <is>
          <t>Memory.RepeatPlanHalfLifeS (AI MASTER P3)</t>
        </is>
      </c>
      <c r="J192" t="inlineStr">
        <is>
          <t>Assets/MachineBrigade/Resources/Data/tunables.json: ai.memory.repeatPlanHalfLifeS</t>
        </is>
      </c>
      <c r="K192" t="inlineStr">
        <is>
          <t>{"value":45.0,"unit":"s","kind":"thoi_gian","linh_vuc":"06","code":"Memory.RepeatPlanHalfLifeS (AI MASTER P3)"}</t>
        </is>
      </c>
    </row>
    <row r="193">
      <c r="A193" t="inlineStr">
        <is>
          <t>ai.memory.repeatPlanPenalty</t>
        </is>
      </c>
      <c r="B193" t="inlineStr">
        <is>
          <t>memory</t>
        </is>
      </c>
      <c r="C193" t="inlineStr">
        <is>
          <t>repeatPlanPenalty</t>
        </is>
      </c>
      <c r="D193" t="n">
        <v>0.35</v>
      </c>
      <c r="F193" t="inlineStr">
        <is>
          <t>x</t>
        </is>
      </c>
      <c r="G193" t="inlineStr">
        <is>
          <t>nguong</t>
        </is>
      </c>
      <c r="H193" t="inlineStr">
        <is>
          <t>06</t>
        </is>
      </c>
      <c r="I193" t="inlineStr">
        <is>
          <t>Memory.RepeatPlanPenalty (AI MASTER P3)</t>
        </is>
      </c>
      <c r="J193" t="inlineStr">
        <is>
          <t>Assets/MachineBrigade/Resources/Data/tunables.json: ai.memory.repeatPlanPenalty</t>
        </is>
      </c>
      <c r="K193" t="inlineStr">
        <is>
          <t>{"value":0.35,"unit":"x","kind":"nguong","linh_vuc":"06","code":"Memory.RepeatPlanPenalty (AI MASTER P3)"}</t>
        </is>
      </c>
    </row>
    <row r="194">
      <c r="A194" t="inlineStr">
        <is>
          <t>ai.memory.routeFailShare</t>
        </is>
      </c>
      <c r="B194" t="inlineStr">
        <is>
          <t>memory</t>
        </is>
      </c>
      <c r="C194" t="inlineStr">
        <is>
          <t>routeFailShare</t>
        </is>
      </c>
      <c r="D194" t="n">
        <v>0.4</v>
      </c>
      <c r="F194" t="inlineStr">
        <is>
          <t>share</t>
        </is>
      </c>
      <c r="G194" t="inlineStr">
        <is>
          <t>nguong</t>
        </is>
      </c>
      <c r="H194" t="inlineStr">
        <is>
          <t>06</t>
        </is>
      </c>
      <c r="I194" t="inlineStr">
        <is>
          <t>Memory.RouteFailShare (AI MASTER P3)</t>
        </is>
      </c>
      <c r="J194" t="inlineStr">
        <is>
          <t>Assets/MachineBrigade/Resources/Data/tunables.json: ai.memory.routeFailShare</t>
        </is>
      </c>
      <c r="K194" t="inlineStr">
        <is>
          <t>{"value":0.4,"unit":"share","kind":"nguong","linh_vuc":"06","code":"Memory.RouteFailShare (AI MASTER P3)"}</t>
        </is>
      </c>
    </row>
    <row r="195">
      <c r="A195" t="inlineStr">
        <is>
          <t>ai.memory.staticHalfLifeS</t>
        </is>
      </c>
      <c r="B195" t="inlineStr">
        <is>
          <t>memory</t>
        </is>
      </c>
      <c r="C195" t="inlineStr">
        <is>
          <t>staticHalfLifeS</t>
        </is>
      </c>
      <c r="D195" t="n">
        <v>45</v>
      </c>
      <c r="F195" t="inlineStr">
        <is>
          <t>s</t>
        </is>
      </c>
      <c r="G195" t="inlineStr">
        <is>
          <t>thoi_gian</t>
        </is>
      </c>
      <c r="H195" t="inlineStr">
        <is>
          <t>06</t>
        </is>
      </c>
      <c r="I195" t="inlineStr">
        <is>
          <t>Memory.StaticHalfLifeS (AI MASTER P3)</t>
        </is>
      </c>
      <c r="J195" t="inlineStr">
        <is>
          <t>Assets/MachineBrigade/Resources/Data/tunables.json: ai.memory.staticHalfLifeS</t>
        </is>
      </c>
      <c r="K195" t="inlineStr">
        <is>
          <t>{"value":45.0,"unit":"s","kind":"thoi_gian","linh_vuc":"06","code":"Memory.StaticHalfLifeS (AI MASTER P3)"}</t>
        </is>
      </c>
    </row>
    <row r="196">
      <c r="A196" t="inlineStr">
        <is>
          <t>ai.memory.unknownRisk</t>
        </is>
      </c>
      <c r="B196" t="inlineStr">
        <is>
          <t>memory</t>
        </is>
      </c>
      <c r="C196" t="inlineStr">
        <is>
          <t>unknownRisk</t>
        </is>
      </c>
      <c r="E196" t="inlineStr">
        <is>
          <t>0.3;0.6;1.0;1.0</t>
        </is>
      </c>
      <c r="F196" t="inlineStr">
        <is>
          <t>x</t>
        </is>
      </c>
      <c r="G196" t="inlineStr">
        <is>
          <t>nguong</t>
        </is>
      </c>
      <c r="H196" t="inlineStr">
        <is>
          <t>06</t>
        </is>
      </c>
      <c r="I196" t="inlineStr">
        <is>
          <t>Memory.UnknownRisk (AI MASTER P3)</t>
        </is>
      </c>
      <c r="J196" t="inlineStr">
        <is>
          <t>Assets/MachineBrigade/Resources/Data/tunables.json: ai.memory.unknownRisk</t>
        </is>
      </c>
      <c r="K196" t="inlineStr">
        <is>
          <t>{"value":[0.3,0.6,1.0,1.0],"unit":"x","kind":"nguong","linh_vuc":"06","code":"Memory.UnknownRisk (AI MASTER P3)"}</t>
        </is>
      </c>
    </row>
    <row r="197">
      <c r="A197" t="inlineStr">
        <is>
          <t>ai.memory.unknownSeconds</t>
        </is>
      </c>
      <c r="B197" t="inlineStr">
        <is>
          <t>memory</t>
        </is>
      </c>
      <c r="C197" t="inlineStr">
        <is>
          <t>unknownSeconds</t>
        </is>
      </c>
      <c r="D197" t="n">
        <v>20</v>
      </c>
      <c r="F197" t="inlineStr">
        <is>
          <t>s</t>
        </is>
      </c>
      <c r="G197" t="inlineStr">
        <is>
          <t>thoi_gian</t>
        </is>
      </c>
      <c r="H197" t="inlineStr">
        <is>
          <t>06</t>
        </is>
      </c>
      <c r="I197" t="inlineStr">
        <is>
          <t>Memory.UnknownSeconds (AI MASTER P3)</t>
        </is>
      </c>
      <c r="J197" t="inlineStr">
        <is>
          <t>Assets/MachineBrigade/Resources/Data/tunables.json: ai.memory.unknownSeconds</t>
        </is>
      </c>
      <c r="K197" t="inlineStr">
        <is>
          <t>{"value":20.0,"unit":"s","kind":"thoi_gian","linh_vuc":"06","code":"Memory.UnknownSeconds (AI MASTER P3)"}</t>
        </is>
      </c>
    </row>
    <row r="198">
      <c r="A198" t="inlineStr">
        <is>
          <t>ai.modeDoctrine.artilleryBand</t>
        </is>
      </c>
      <c r="B198" t="inlineStr">
        <is>
          <t>modeDoctrine</t>
        </is>
      </c>
      <c r="C198" t="inlineStr">
        <is>
          <t>artilleryBand</t>
        </is>
      </c>
      <c r="E198" t="inlineStr">
        <is>
          <t>0.65;0.85</t>
        </is>
      </c>
      <c r="F198" t="inlineStr">
        <is>
          <t>share</t>
        </is>
      </c>
      <c r="G198" t="inlineStr">
        <is>
          <t>nguong</t>
        </is>
      </c>
      <c r="H198" t="inlineStr">
        <is>
          <t>06</t>
        </is>
      </c>
      <c r="I198" t="inlineStr">
        <is>
          <t>ModeDoctrine.ArtilleryBand (AI MASTER P2)</t>
        </is>
      </c>
      <c r="J198" t="inlineStr">
        <is>
          <t>Assets/MachineBrigade/Resources/Data/tunables.json: ai.modeDoctrine.artilleryBand</t>
        </is>
      </c>
      <c r="K198" t="inlineStr">
        <is>
          <t>{"value":[0.65,0.85],"unit":"share","kind":"nguong","linh_vuc":"06","code":"ModeDoctrine.ArtilleryBand (AI MASTER P2)"}</t>
        </is>
      </c>
    </row>
    <row r="199">
      <c r="A199" t="inlineStr">
        <is>
          <t>ai.modeDoctrine.defendLeash</t>
        </is>
      </c>
      <c r="B199" t="inlineStr">
        <is>
          <t>modeDoctrine</t>
        </is>
      </c>
      <c r="C199" t="inlineStr">
        <is>
          <t>defendLeash</t>
        </is>
      </c>
      <c r="D199" t="n">
        <v>35</v>
      </c>
      <c r="F199" t="inlineStr">
        <is>
          <t>m</t>
        </is>
      </c>
      <c r="G199" t="inlineStr">
        <is>
          <t>ban_kinh</t>
        </is>
      </c>
      <c r="H199" t="inlineStr">
        <is>
          <t>06</t>
        </is>
      </c>
      <c r="I199" t="inlineStr">
        <is>
          <t>ModeDoctrine.DefendLeash (AI MASTER P2)</t>
        </is>
      </c>
      <c r="J199" t="inlineStr">
        <is>
          <t>Assets/MachineBrigade/Resources/Data/tunables.json: ai.modeDoctrine.defendLeash</t>
        </is>
      </c>
      <c r="K199" t="inlineStr">
        <is>
          <t>{"value":35.0,"unit":"m","kind":"ban_kinh","linh_vuc":"06","code":"ModeDoctrine.DefendLeash (AI MASTER P2)"}</t>
        </is>
      </c>
    </row>
    <row r="200">
      <c r="A200" t="inlineStr">
        <is>
          <t>ai.modeDoctrine.finalReserveShare</t>
        </is>
      </c>
      <c r="B200" t="inlineStr">
        <is>
          <t>modeDoctrine</t>
        </is>
      </c>
      <c r="C200" t="inlineStr">
        <is>
          <t>finalReserveShare</t>
        </is>
      </c>
      <c r="D200" t="n">
        <v>0.05</v>
      </c>
      <c r="F200" t="inlineStr">
        <is>
          <t>share</t>
        </is>
      </c>
      <c r="G200" t="inlineStr">
        <is>
          <t>nguong</t>
        </is>
      </c>
      <c r="H200" t="inlineStr">
        <is>
          <t>06</t>
        </is>
      </c>
      <c r="I200" t="inlineStr">
        <is>
          <t>ModeDoctrine.FinalReserveShare (AI MASTER P2)</t>
        </is>
      </c>
      <c r="J200" t="inlineStr">
        <is>
          <t>Assets/MachineBrigade/Resources/Data/tunables.json: ai.modeDoctrine.finalReserveShare</t>
        </is>
      </c>
      <c r="K200" t="inlineStr">
        <is>
          <t>{"value":0.05,"unit":"share","kind":"nguong","linh_vuc":"06","code":"ModeDoctrine.FinalReserveShare (AI MASTER P2)"}</t>
        </is>
      </c>
    </row>
    <row r="201">
      <c r="A201" t="inlineStr">
        <is>
          <t>ai.modeDoctrine.longBand</t>
        </is>
      </c>
      <c r="B201" t="inlineStr">
        <is>
          <t>modeDoctrine</t>
        </is>
      </c>
      <c r="C201" t="inlineStr">
        <is>
          <t>longBand</t>
        </is>
      </c>
      <c r="E201" t="inlineStr">
        <is>
          <t>0.85;0.95</t>
        </is>
      </c>
      <c r="F201" t="inlineStr">
        <is>
          <t>share</t>
        </is>
      </c>
      <c r="G201" t="inlineStr">
        <is>
          <t>nguong</t>
        </is>
      </c>
      <c r="H201" t="inlineStr">
        <is>
          <t>06</t>
        </is>
      </c>
      <c r="I201" t="inlineStr">
        <is>
          <t>ModeDoctrine.LongBand (AI MASTER P2)</t>
        </is>
      </c>
      <c r="J201" t="inlineStr">
        <is>
          <t>Assets/MachineBrigade/Resources/Data/tunables.json: ai.modeDoctrine.longBand</t>
        </is>
      </c>
      <c r="K201" t="inlineStr">
        <is>
          <t>{"value":[0.85,0.95],"unit":"share","kind":"nguong","linh_vuc":"06","code":"ModeDoctrine.LongBand (AI MASTER P2)"}</t>
        </is>
      </c>
    </row>
    <row r="202">
      <c r="A202" t="inlineStr">
        <is>
          <t>ai.modeDoctrine.longRangeMin</t>
        </is>
      </c>
      <c r="B202" t="inlineStr">
        <is>
          <t>modeDoctrine</t>
        </is>
      </c>
      <c r="C202" t="inlineStr">
        <is>
          <t>longRangeMin</t>
        </is>
      </c>
      <c r="D202" t="n">
        <v>140</v>
      </c>
      <c r="F202" t="inlineStr">
        <is>
          <t>m</t>
        </is>
      </c>
      <c r="G202" t="inlineStr">
        <is>
          <t>ban_kinh</t>
        </is>
      </c>
      <c r="H202" t="inlineStr">
        <is>
          <t>06</t>
        </is>
      </c>
      <c r="I202" t="inlineStr">
        <is>
          <t>ModeDoctrine.LongRangeMin (AI MASTER P2)</t>
        </is>
      </c>
      <c r="J202" t="inlineStr">
        <is>
          <t>Assets/MachineBrigade/Resources/Data/tunables.json: ai.modeDoctrine.longRangeMin</t>
        </is>
      </c>
      <c r="K202" t="inlineStr">
        <is>
          <t>{"value":140.0,"unit":"m","kind":"ban_kinh","linh_vuc":"06","code":"ModeDoctrine.LongRangeMin (AI MASTER P2)"}</t>
        </is>
      </c>
    </row>
    <row r="203">
      <c r="A203" t="inlineStr">
        <is>
          <t>ai.modeDoctrine.missionTargetWeight</t>
        </is>
      </c>
      <c r="B203" t="inlineStr">
        <is>
          <t>modeDoctrine</t>
        </is>
      </c>
      <c r="C203" t="inlineStr">
        <is>
          <t>missionTargetWeight</t>
        </is>
      </c>
      <c r="D203" t="n">
        <v>2.5</v>
      </c>
      <c r="F203" t="inlineStr">
        <is>
          <t>x</t>
        </is>
      </c>
      <c r="G203" t="inlineStr">
        <is>
          <t>nguong</t>
        </is>
      </c>
      <c r="H203" t="inlineStr">
        <is>
          <t>06</t>
        </is>
      </c>
      <c r="I203" t="inlineStr">
        <is>
          <t>ModeDoctrine.MissionTargetWeight (AI MASTER P2)</t>
        </is>
      </c>
      <c r="J203" t="inlineStr">
        <is>
          <t>Assets/MachineBrigade/Resources/Data/tunables.json: ai.modeDoctrine.missionTargetWeight</t>
        </is>
      </c>
      <c r="K203" t="inlineStr">
        <is>
          <t>{"value":2.5,"unit":"x","kind":"nguong","linh_vuc":"06","code":"ModeDoctrine.MissionTargetWeight (AI MASTER P2)"}</t>
        </is>
      </c>
    </row>
    <row r="204">
      <c r="A204" t="inlineStr">
        <is>
          <t>ai.modeDoctrine.mlrsBand</t>
        </is>
      </c>
      <c r="B204" t="inlineStr">
        <is>
          <t>modeDoctrine</t>
        </is>
      </c>
      <c r="C204" t="inlineStr">
        <is>
          <t>mlrsBand</t>
        </is>
      </c>
      <c r="E204" t="inlineStr">
        <is>
          <t>0.75;0.9</t>
        </is>
      </c>
      <c r="F204" t="inlineStr">
        <is>
          <t>share</t>
        </is>
      </c>
      <c r="G204" t="inlineStr">
        <is>
          <t>nguong</t>
        </is>
      </c>
      <c r="H204" t="inlineStr">
        <is>
          <t>06</t>
        </is>
      </c>
      <c r="I204" t="inlineStr">
        <is>
          <t>ModeDoctrine.MlrsBand (AI MASTER P2)</t>
        </is>
      </c>
      <c r="J204" t="inlineStr">
        <is>
          <t>Assets/MachineBrigade/Resources/Data/tunables.json: ai.modeDoctrine.mlrsBand</t>
        </is>
      </c>
      <c r="K204" t="inlineStr">
        <is>
          <t>{"value":[0.75,0.9],"unit":"share","kind":"nguong","linh_vuc":"06","code":"ModeDoctrine.MlrsBand (AI MASTER P2)"}</t>
        </is>
      </c>
    </row>
    <row r="205">
      <c r="A205" t="inlineStr">
        <is>
          <t>ai.modeDoctrine.mortarBand</t>
        </is>
      </c>
      <c r="B205" t="inlineStr">
        <is>
          <t>modeDoctrine</t>
        </is>
      </c>
      <c r="C205" t="inlineStr">
        <is>
          <t>mortarBand</t>
        </is>
      </c>
      <c r="E205" t="inlineStr">
        <is>
          <t>0.55;0.75</t>
        </is>
      </c>
      <c r="F205" t="inlineStr">
        <is>
          <t>share</t>
        </is>
      </c>
      <c r="G205" t="inlineStr">
        <is>
          <t>nguong</t>
        </is>
      </c>
      <c r="H205" t="inlineStr">
        <is>
          <t>06</t>
        </is>
      </c>
      <c r="I205" t="inlineStr">
        <is>
          <t>ModeDoctrine.MortarBand (AI MASTER P2)</t>
        </is>
      </c>
      <c r="J205" t="inlineStr">
        <is>
          <t>Assets/MachineBrigade/Resources/Data/tunables.json: ai.modeDoctrine.mortarBand</t>
        </is>
      </c>
      <c r="K205" t="inlineStr">
        <is>
          <t>{"value":[0.55,0.75],"unit":"share","kind":"nguong","linh_vuc":"06","code":"ModeDoctrine.MortarBand (AI MASTER P2)"}</t>
        </is>
      </c>
    </row>
    <row r="206">
      <c r="A206" t="inlineStr">
        <is>
          <t>ai.modeDoctrine.mortarMaxRange</t>
        </is>
      </c>
      <c r="B206" t="inlineStr">
        <is>
          <t>modeDoctrine</t>
        </is>
      </c>
      <c r="C206" t="inlineStr">
        <is>
          <t>mortarMaxRange</t>
        </is>
      </c>
      <c r="D206" t="n">
        <v>60</v>
      </c>
      <c r="F206" t="inlineStr">
        <is>
          <t>m</t>
        </is>
      </c>
      <c r="G206" t="inlineStr">
        <is>
          <t>ban_kinh</t>
        </is>
      </c>
      <c r="H206" t="inlineStr">
        <is>
          <t>06</t>
        </is>
      </c>
      <c r="I206" t="inlineStr">
        <is>
          <t>ModeDoctrine.MortarMaxRange (AI MASTER P2)</t>
        </is>
      </c>
      <c r="J206" t="inlineStr">
        <is>
          <t>Assets/MachineBrigade/Resources/Data/tunables.json: ai.modeDoctrine.mortarMaxRange</t>
        </is>
      </c>
      <c r="K206" t="inlineStr">
        <is>
          <t>{"value":60.0,"unit":"m","kind":"ban_kinh","linh_vuc":"06","code":"ModeDoctrine.MortarMaxRange (AI MASTER P2)"}</t>
        </is>
      </c>
    </row>
    <row r="207">
      <c r="A207" t="inlineStr">
        <is>
          <t>ai.modeDoctrine.offMissionGround</t>
        </is>
      </c>
      <c r="B207" t="inlineStr">
        <is>
          <t>modeDoctrine</t>
        </is>
      </c>
      <c r="C207" t="inlineStr">
        <is>
          <t>offMissionGround</t>
        </is>
      </c>
      <c r="D207" t="n">
        <v>0.5</v>
      </c>
      <c r="F207" t="inlineStr">
        <is>
          <t>x</t>
        </is>
      </c>
      <c r="G207" t="inlineStr">
        <is>
          <t>nguong</t>
        </is>
      </c>
      <c r="H207" t="inlineStr">
        <is>
          <t>06</t>
        </is>
      </c>
      <c r="I207" t="inlineStr">
        <is>
          <t>ModeDoctrine.OffMissionGround (AI MASTER P2)</t>
        </is>
      </c>
      <c r="J207" t="inlineStr">
        <is>
          <t>Assets/MachineBrigade/Resources/Data/tunables.json: ai.modeDoctrine.offMissionGround</t>
        </is>
      </c>
      <c r="K207" t="inlineStr">
        <is>
          <t>{"value":0.5,"unit":"x","kind":"nguong","linh_vuc":"06","code":"ModeDoctrine.OffMissionGround (AI MASTER P2)"}</t>
        </is>
      </c>
    </row>
    <row r="208">
      <c r="A208" t="inlineStr">
        <is>
          <t>ai.modeDoctrine.pockets</t>
        </is>
      </c>
      <c r="B208" t="inlineStr">
        <is>
          <t>modeDoctrine</t>
        </is>
      </c>
      <c r="C208" t="inlineStr">
        <is>
          <t>pockets</t>
        </is>
      </c>
      <c r="D208" t="n">
        <v>3</v>
      </c>
      <c r="F208" t="inlineStr">
        <is>
          <t>count</t>
        </is>
      </c>
      <c r="G208" t="inlineStr">
        <is>
          <t>gioi_han_thuc_the</t>
        </is>
      </c>
      <c r="H208" t="inlineStr">
        <is>
          <t>06</t>
        </is>
      </c>
      <c r="I208" t="inlineStr">
        <is>
          <t>ModeDoctrine.Pockets (AI MASTER P2)</t>
        </is>
      </c>
      <c r="J208" t="inlineStr">
        <is>
          <t>Assets/MachineBrigade/Resources/Data/tunables.json: ai.modeDoctrine.pockets</t>
        </is>
      </c>
      <c r="K208" t="inlineStr">
        <is>
          <t>{"value":3,"unit":"count","kind":"gioi_han_thuc_the","linh_vuc":"06","code":"ModeDoctrine.Pockets (AI MASTER P2)"}</t>
        </is>
      </c>
    </row>
    <row r="209">
      <c r="A209" t="inlineStr">
        <is>
          <t>ai.modeDoctrine.quietStrikeWorth</t>
        </is>
      </c>
      <c r="B209" t="inlineStr">
        <is>
          <t>modeDoctrine</t>
        </is>
      </c>
      <c r="C209" t="inlineStr">
        <is>
          <t>quietStrikeWorth</t>
        </is>
      </c>
      <c r="D209" t="n">
        <v>12</v>
      </c>
      <c r="F209" t="inlineStr">
        <is>
          <t>CP</t>
        </is>
      </c>
      <c r="G209" t="inlineStr">
        <is>
          <t>nguong</t>
        </is>
      </c>
      <c r="H209" t="inlineStr">
        <is>
          <t>06</t>
        </is>
      </c>
      <c r="I209" t="inlineStr">
        <is>
          <t>ModeDoctrine.QuietStrikeWorth (AI MASTER P2)</t>
        </is>
      </c>
      <c r="J209" t="inlineStr">
        <is>
          <t>Assets/MachineBrigade/Resources/Data/tunables.json: ai.modeDoctrine.quietStrikeWorth</t>
        </is>
      </c>
      <c r="K209" t="inlineStr">
        <is>
          <t>{"value":12.0,"unit":"CP","kind":"nguong","linh_vuc":"06","code":"ModeDoctrine.QuietStrikeWorth (AI MASTER P2)"}</t>
        </is>
      </c>
    </row>
    <row r="210">
      <c r="A210" t="inlineStr">
        <is>
          <t>ai.modeDoctrine.reserveCommitSeconds</t>
        </is>
      </c>
      <c r="B210" t="inlineStr">
        <is>
          <t>modeDoctrine</t>
        </is>
      </c>
      <c r="C210" t="inlineStr">
        <is>
          <t>reserveCommitSeconds</t>
        </is>
      </c>
      <c r="D210" t="n">
        <v>20</v>
      </c>
      <c r="F210" t="inlineStr">
        <is>
          <t>s</t>
        </is>
      </c>
      <c r="G210" t="inlineStr">
        <is>
          <t>thoi_gian</t>
        </is>
      </c>
      <c r="H210" t="inlineStr">
        <is>
          <t>06</t>
        </is>
      </c>
      <c r="I210" t="inlineStr">
        <is>
          <t>ModeDoctrine.ReserveCommitSeconds (AI MASTER P2)</t>
        </is>
      </c>
      <c r="J210" t="inlineStr">
        <is>
          <t>Assets/MachineBrigade/Resources/Data/tunables.json: ai.modeDoctrine.reserveCommitSeconds</t>
        </is>
      </c>
      <c r="K210" t="inlineStr">
        <is>
          <t>{"value":20.0,"unit":"s","kind":"thoi_gian","linh_vuc":"06","code":"ModeDoctrine.ReserveCommitSeconds (AI MASTER P2)"}</t>
        </is>
      </c>
    </row>
    <row r="211">
      <c r="A211" t="inlineStr">
        <is>
          <t>ai.modeDoctrine.reserveShare</t>
        </is>
      </c>
      <c r="B211" t="inlineStr">
        <is>
          <t>modeDoctrine</t>
        </is>
      </c>
      <c r="C211" t="inlineStr">
        <is>
          <t>reserveShare</t>
        </is>
      </c>
      <c r="E211" t="inlineStr">
        <is>
          <t>0.15;0.25</t>
        </is>
      </c>
      <c r="F211" t="inlineStr">
        <is>
          <t>share</t>
        </is>
      </c>
      <c r="G211" t="inlineStr">
        <is>
          <t>nguong</t>
        </is>
      </c>
      <c r="H211" t="inlineStr">
        <is>
          <t>06</t>
        </is>
      </c>
      <c r="I211" t="inlineStr">
        <is>
          <t>ModeDoctrine.ReserveShare (AI MASTER P2)</t>
        </is>
      </c>
      <c r="J211" t="inlineStr">
        <is>
          <t>Assets/MachineBrigade/Resources/Data/tunables.json: ai.modeDoctrine.reserveShare</t>
        </is>
      </c>
      <c r="K211" t="inlineStr">
        <is>
          <t>{"value":[0.15,0.25],"unit":"share","kind":"nguong","linh_vuc":"06","code":"ModeDoctrine.ReserveShare (AI MASTER P2)"}</t>
        </is>
      </c>
    </row>
    <row r="212">
      <c r="A212" t="inlineStr">
        <is>
          <t>ai.modeDoctrine.rotateSeconds</t>
        </is>
      </c>
      <c r="B212" t="inlineStr">
        <is>
          <t>modeDoctrine</t>
        </is>
      </c>
      <c r="C212" t="inlineStr">
        <is>
          <t>rotateSeconds</t>
        </is>
      </c>
      <c r="D212" t="n">
        <v>60</v>
      </c>
      <c r="F212" t="inlineStr">
        <is>
          <t>s</t>
        </is>
      </c>
      <c r="G212" t="inlineStr">
        <is>
          <t>thoi_gian</t>
        </is>
      </c>
      <c r="H212" t="inlineStr">
        <is>
          <t>06</t>
        </is>
      </c>
      <c r="I212" t="inlineStr">
        <is>
          <t>ModeDoctrine.RotateSeconds (AI MASTER P2)</t>
        </is>
      </c>
      <c r="J212" t="inlineStr">
        <is>
          <t>Assets/MachineBrigade/Resources/Data/tunables.json: ai.modeDoctrine.rotateSeconds</t>
        </is>
      </c>
      <c r="K212" t="inlineStr">
        <is>
          <t>{"value":60.0,"unit":"s","kind":"thoi_gian","linh_vuc":"06","code":"ModeDoctrine.RotateSeconds (AI MASTER P2)"}</t>
        </is>
      </c>
    </row>
    <row r="213">
      <c r="A213" t="inlineStr">
        <is>
          <t>ai.modeDoctrine.urgencyEndSeconds</t>
        </is>
      </c>
      <c r="B213" t="inlineStr">
        <is>
          <t>modeDoctrine</t>
        </is>
      </c>
      <c r="C213" t="inlineStr">
        <is>
          <t>urgencyEndSeconds</t>
        </is>
      </c>
      <c r="D213" t="n">
        <v>120</v>
      </c>
      <c r="F213" t="inlineStr">
        <is>
          <t>s</t>
        </is>
      </c>
      <c r="G213" t="inlineStr">
        <is>
          <t>thoi_gian</t>
        </is>
      </c>
      <c r="H213" t="inlineStr">
        <is>
          <t>06</t>
        </is>
      </c>
      <c r="I213" t="inlineStr">
        <is>
          <t>ModeDoctrine.UrgencyEndSeconds (AI MASTER P2)</t>
        </is>
      </c>
      <c r="J213" t="inlineStr">
        <is>
          <t>Assets/MachineBrigade/Resources/Data/tunables.json: ai.modeDoctrine.urgencyEndSeconds</t>
        </is>
      </c>
      <c r="K213" t="inlineStr">
        <is>
          <t>{"value":120.0,"unit":"s","kind":"thoi_gian","linh_vuc":"06","code":"ModeDoctrine.UrgencyEndSeconds (AI MASTER P2)"}</t>
        </is>
      </c>
    </row>
    <row r="214">
      <c r="A214" t="inlineStr">
        <is>
          <t>ai.modeDoctrine.urgencyFloor</t>
        </is>
      </c>
      <c r="B214" t="inlineStr">
        <is>
          <t>modeDoctrine</t>
        </is>
      </c>
      <c r="C214" t="inlineStr">
        <is>
          <t>urgencyFloor</t>
        </is>
      </c>
      <c r="D214" t="n">
        <v>0.75</v>
      </c>
      <c r="F214" t="inlineStr">
        <is>
          <t>x</t>
        </is>
      </c>
      <c r="G214" t="inlineStr">
        <is>
          <t>nguong</t>
        </is>
      </c>
      <c r="H214" t="inlineStr">
        <is>
          <t>06</t>
        </is>
      </c>
      <c r="I214" t="inlineStr">
        <is>
          <t>ModeDoctrine.UrgencyFloor (AI MASTER P2)</t>
        </is>
      </c>
      <c r="J214" t="inlineStr">
        <is>
          <t>Assets/MachineBrigade/Resources/Data/tunables.json: ai.modeDoctrine.urgencyFloor</t>
        </is>
      </c>
      <c r="K214" t="inlineStr">
        <is>
          <t>{"value":0.75,"unit":"x","kind":"nguong","linh_vuc":"06","code":"ModeDoctrine.UrgencyFloor (AI MASTER P2)"}</t>
        </is>
      </c>
    </row>
    <row r="215">
      <c r="A215" t="inlineStr">
        <is>
          <t>ai.navigation.anomalyAccelS</t>
        </is>
      </c>
      <c r="B215" t="inlineStr">
        <is>
          <t>navigation</t>
        </is>
      </c>
      <c r="C215" t="inlineStr">
        <is>
          <t>anomalyAccelS</t>
        </is>
      </c>
      <c r="D215" t="n">
        <v>0.5</v>
      </c>
      <c r="F215" t="inlineStr">
        <is>
          <t>s</t>
        </is>
      </c>
      <c r="G215" t="inlineStr">
        <is>
          <t>thoi_gian</t>
        </is>
      </c>
      <c r="H215" t="inlineStr">
        <is>
          <t>06</t>
        </is>
      </c>
      <c r="I215" t="inlineStr">
        <is>
          <t>MovementSystem.CheckAnomaly (spec 185)</t>
        </is>
      </c>
      <c r="J215" t="inlineStr">
        <is>
          <t>Assets/MachineBrigade/Resources/Data/tunables.json: ai.navigation.anomalyAccelS</t>
        </is>
      </c>
      <c r="K215" t="inlineStr">
        <is>
          <t>{"value":0.5,"unit":"s","kind":"thoi_gian","linh_vuc":"06","code":"MovementSystem.CheckAnomaly (spec 185)"}</t>
        </is>
      </c>
    </row>
    <row r="216">
      <c r="A216" t="inlineStr">
        <is>
          <t>ai.navigation.avoidanceHorizonGroundS</t>
        </is>
      </c>
      <c r="B216" t="inlineStr">
        <is>
          <t>navigation</t>
        </is>
      </c>
      <c r="C216" t="inlineStr">
        <is>
          <t>avoidanceHorizonGroundS</t>
        </is>
      </c>
      <c r="D216" t="n">
        <v>1.5</v>
      </c>
      <c r="F216" t="inlineStr">
        <is>
          <t>s</t>
        </is>
      </c>
      <c r="G216" t="inlineStr">
        <is>
          <t>thoi_gian</t>
        </is>
      </c>
      <c r="H216" t="inlineStr">
        <is>
          <t>06</t>
        </is>
      </c>
      <c r="I216" t="inlineStr">
        <is>
          <t>MovementSystem.OrcaTurn</t>
        </is>
      </c>
      <c r="J216" t="inlineStr">
        <is>
          <t>Assets/MachineBrigade/Resources/Data/tunables.json: ai.navigation.avoidanceHorizonGroundS</t>
        </is>
      </c>
      <c r="K216" t="inlineStr">
        <is>
          <t>{"value":1.5,"unit":"s","kind":"thoi_gian","linh_vuc":"06","code":"MovementSystem.OrcaTurn"}</t>
        </is>
      </c>
    </row>
    <row r="217">
      <c r="A217" t="inlineStr">
        <is>
          <t>ai.navigation.avoidanceHorizonNavalS</t>
        </is>
      </c>
      <c r="B217" t="inlineStr">
        <is>
          <t>navigation</t>
        </is>
      </c>
      <c r="C217" t="inlineStr">
        <is>
          <t>avoidanceHorizonNavalS</t>
        </is>
      </c>
      <c r="D217" t="n">
        <v>8</v>
      </c>
      <c r="F217" t="inlineStr">
        <is>
          <t>s</t>
        </is>
      </c>
      <c r="G217" t="inlineStr">
        <is>
          <t>thoi_gian</t>
        </is>
      </c>
      <c r="H217" t="inlineStr">
        <is>
          <t>06</t>
        </is>
      </c>
      <c r="I217" t="inlineStr">
        <is>
          <t>TrafficSteering (naval, for the P0-C controller)</t>
        </is>
      </c>
      <c r="J217" t="inlineStr">
        <is>
          <t>Assets/MachineBrigade/Resources/Data/tunables.json: ai.navigation.avoidanceHorizonNavalS</t>
        </is>
      </c>
      <c r="K217" t="inlineStr">
        <is>
          <t>{"value":8.0,"unit":"s","kind":"thoi_gian","linh_vuc":"06","code":"TrafficSteering (naval, for the P0-C controller)"}</t>
        </is>
      </c>
    </row>
    <row r="218">
      <c r="A218" t="inlineStr">
        <is>
          <t>ai.navigation.congestionCost</t>
        </is>
      </c>
      <c r="B218" t="inlineStr">
        <is>
          <t>navigation</t>
        </is>
      </c>
      <c r="C218" t="inlineStr">
        <is>
          <t>congestionCost</t>
        </is>
      </c>
      <c r="D218" t="n">
        <v>60</v>
      </c>
      <c r="F218" t="inlineStr">
        <is>
          <t>cost</t>
        </is>
      </c>
      <c r="G218" t="inlineStr">
        <is>
          <t>nguong</t>
        </is>
      </c>
      <c r="H218" t="inlineStr">
        <is>
          <t>06</t>
        </is>
      </c>
      <c r="I218" t="inlineStr">
        <is>
          <t>TrafficCoordinator.StampCosts (stage 4)</t>
        </is>
      </c>
      <c r="J218" t="inlineStr">
        <is>
          <t>Assets/MachineBrigade/Resources/Data/tunables.json: ai.navigation.congestionCost</t>
        </is>
      </c>
      <c r="K218" t="inlineStr">
        <is>
          <t>{"value":60,"unit":"cost","kind":"nguong","linh_vuc":"06","code":"TrafficCoordinator.StampCosts (stage 4)"}</t>
        </is>
      </c>
    </row>
    <row r="219">
      <c r="A219" t="inlineStr">
        <is>
          <t>ai.navigation.congestionRadius</t>
        </is>
      </c>
      <c r="B219" t="inlineStr">
        <is>
          <t>navigation</t>
        </is>
      </c>
      <c r="C219" t="inlineStr">
        <is>
          <t>congestionRadius</t>
        </is>
      </c>
      <c r="D219" t="n">
        <v>6</v>
      </c>
      <c r="F219" t="inlineStr">
        <is>
          <t>m</t>
        </is>
      </c>
      <c r="G219" t="inlineStr">
        <is>
          <t>ban_kinh</t>
        </is>
      </c>
      <c r="H219" t="inlineStr">
        <is>
          <t>06</t>
        </is>
      </c>
      <c r="I219" t="inlineStr">
        <is>
          <t>TrafficCoordinator.AddCongestion</t>
        </is>
      </c>
      <c r="J219" t="inlineStr">
        <is>
          <t>Assets/MachineBrigade/Resources/Data/tunables.json: ai.navigation.congestionRadius</t>
        </is>
      </c>
      <c r="K219" t="inlineStr">
        <is>
          <t>{"value":6.0,"unit":"m","kind":"ban_kinh","linh_vuc":"06","code":"TrafficCoordinator.AddCongestion"}</t>
        </is>
      </c>
    </row>
    <row r="220">
      <c r="A220" t="inlineStr">
        <is>
          <t>ai.navigation.congestionSeconds</t>
        </is>
      </c>
      <c r="B220" t="inlineStr">
        <is>
          <t>navigation</t>
        </is>
      </c>
      <c r="C220" t="inlineStr">
        <is>
          <t>congestionSeconds</t>
        </is>
      </c>
      <c r="D220" t="n">
        <v>12</v>
      </c>
      <c r="F220" t="inlineStr">
        <is>
          <t>s</t>
        </is>
      </c>
      <c r="G220" t="inlineStr">
        <is>
          <t>thoi_gian</t>
        </is>
      </c>
      <c r="H220" t="inlineStr">
        <is>
          <t>06</t>
        </is>
      </c>
      <c r="I220" t="inlineStr">
        <is>
          <t>TrafficCoordinator.AddCongestion</t>
        </is>
      </c>
      <c r="J220" t="inlineStr">
        <is>
          <t>Assets/MachineBrigade/Resources/Data/tunables.json: ai.navigation.congestionSeconds</t>
        </is>
      </c>
      <c r="K220" t="inlineStr">
        <is>
          <t>{"value":12.0,"unit":"s","kind":"thoi_gian","linh_vuc":"06","code":"TrafficCoordinator.AddCongestion"}</t>
        </is>
      </c>
    </row>
    <row r="221">
      <c r="A221" t="inlineStr">
        <is>
          <t>ai.navigation.corridorAltMax</t>
        </is>
      </c>
      <c r="B221" t="inlineStr">
        <is>
          <t>navigation</t>
        </is>
      </c>
      <c r="C221" t="inlineStr">
        <is>
          <t>corridorAltMax</t>
        </is>
      </c>
      <c r="D221" t="n">
        <v>1.5</v>
      </c>
      <c r="F221" t="inlineStr">
        <is>
          <t>x</t>
        </is>
      </c>
      <c r="G221" t="inlineStr">
        <is>
          <t>nguong</t>
        </is>
      </c>
      <c r="H221" t="inlineStr">
        <is>
          <t>06</t>
        </is>
      </c>
      <c r="I221" t="inlineStr">
        <is>
          <t>stage 4 / spec 188 alternative route cap</t>
        </is>
      </c>
      <c r="J221" t="inlineStr">
        <is>
          <t>Assets/MachineBrigade/Resources/Data/tunables.json: ai.navigation.corridorAltMax</t>
        </is>
      </c>
      <c r="K221" t="inlineStr">
        <is>
          <t>{"value":1.5,"unit":"x","kind":"nguong","linh_vuc":"06","code":"stage 4 / spec 188 alternative route cap"}</t>
        </is>
      </c>
    </row>
    <row r="222">
      <c r="A222" t="inlineStr">
        <is>
          <t>ai.navigation.emergencyReverseM</t>
        </is>
      </c>
      <c r="B222" t="inlineStr">
        <is>
          <t>navigation</t>
        </is>
      </c>
      <c r="C222" t="inlineStr">
        <is>
          <t>emergencyReverseM</t>
        </is>
      </c>
      <c r="D222" t="n">
        <v>3</v>
      </c>
      <c r="F222" t="inlineStr">
        <is>
          <t>m</t>
        </is>
      </c>
      <c r="G222" t="inlineStr">
        <is>
          <t>ban_kinh</t>
        </is>
      </c>
      <c r="H222" t="inlineStr">
        <is>
          <t>06</t>
        </is>
      </c>
      <c r="I222" t="inlineStr">
        <is>
          <t>MovementSystem.EmergencyStage (only a vehicle that may reverse)</t>
        </is>
      </c>
      <c r="J222" t="inlineStr">
        <is>
          <t>Assets/MachineBrigade/Resources/Data/tunables.json: ai.navigation.emergencyReverseM</t>
        </is>
      </c>
      <c r="K222" t="inlineStr">
        <is>
          <t>{"value":3.0,"unit":"m","kind":"ban_kinh","linh_vuc":"06","code":"MovementSystem.EmergencyStage (only a vehicle that may reverse)"}</t>
        </is>
      </c>
    </row>
    <row r="223">
      <c r="A223" t="inlineStr">
        <is>
          <t>ai.navigation.failSafeS</t>
        </is>
      </c>
      <c r="B223" t="inlineStr">
        <is>
          <t>navigation</t>
        </is>
      </c>
      <c r="C223" t="inlineStr">
        <is>
          <t>failSafeS</t>
        </is>
      </c>
      <c r="D223" t="n">
        <v>14</v>
      </c>
      <c r="F223" t="inlineStr">
        <is>
          <t>s</t>
        </is>
      </c>
      <c r="G223" t="inlineStr">
        <is>
          <t>thoi_gian</t>
        </is>
      </c>
      <c r="H223" t="inlineStr">
        <is>
          <t>06</t>
        </is>
      </c>
      <c r="I223" t="inlineStr">
        <is>
          <t>MovementSystem.Rescue (ghost, then SEVERE_UNSTUCK relocation)</t>
        </is>
      </c>
      <c r="J223" t="inlineStr">
        <is>
          <t>Assets/MachineBrigade/Resources/Data/tunables.json: ai.navigation.failSafeS</t>
        </is>
      </c>
      <c r="K223" t="inlineStr">
        <is>
          <t>{"value":14.0,"unit":"s","kind":"thoi_gian","linh_vuc":"06","code":"MovementSystem.Rescue (ghost, then SEVERE_UNSTUCK relocation)"}</t>
        </is>
      </c>
    </row>
    <row r="224">
      <c r="A224" t="inlineStr">
        <is>
          <t>ai.navigation.giveUpAfterEmergencyS</t>
        </is>
      </c>
      <c r="B224" t="inlineStr">
        <is>
          <t>navigation</t>
        </is>
      </c>
      <c r="C224" t="inlineStr">
        <is>
          <t>giveUpAfterEmergencyS</t>
        </is>
      </c>
      <c r="D224" t="n">
        <v>3</v>
      </c>
      <c r="F224" t="inlineStr">
        <is>
          <t>s</t>
        </is>
      </c>
      <c r="G224" t="inlineStr">
        <is>
          <t>thoi_gian</t>
        </is>
      </c>
      <c r="H224" t="inlineStr">
        <is>
          <t>06</t>
        </is>
      </c>
      <c r="I224" t="inlineStr">
        <is>
          <t>MovementSystem.OnNoProgress (give-up after stage 5)</t>
        </is>
      </c>
      <c r="J224" t="inlineStr">
        <is>
          <t>Assets/MachineBrigade/Resources/Data/tunables.json: ai.navigation.giveUpAfterEmergencyS</t>
        </is>
      </c>
      <c r="K224" t="inlineStr">
        <is>
          <t>{"value":3.0,"unit":"s","kind":"thoi_gian","linh_vuc":"06","code":"MovementSystem.OnNoProgress (give-up after stage 5)"}</t>
        </is>
      </c>
    </row>
    <row r="225">
      <c r="A225" t="inlineStr">
        <is>
          <t>ai.navigation.jamCorridorS</t>
        </is>
      </c>
      <c r="B225" t="inlineStr">
        <is>
          <t>navigation</t>
        </is>
      </c>
      <c r="C225" t="inlineStr">
        <is>
          <t>jamCorridorS</t>
        </is>
      </c>
      <c r="D225" t="n">
        <v>8</v>
      </c>
      <c r="F225" t="inlineStr">
        <is>
          <t>s</t>
        </is>
      </c>
      <c r="G225" t="inlineStr">
        <is>
          <t>thoi_gian</t>
        </is>
      </c>
      <c r="H225" t="inlineStr">
        <is>
          <t>06</t>
        </is>
      </c>
      <c r="I225" t="inlineStr">
        <is>
          <t>JamTracker stage 4 corridor replan</t>
        </is>
      </c>
      <c r="J225" t="inlineStr">
        <is>
          <t>Assets/MachineBrigade/Resources/Data/tunables.json: ai.navigation.jamCorridorS</t>
        </is>
      </c>
      <c r="K225" t="inlineStr">
        <is>
          <t>{"value":8.0,"unit":"s","kind":"thoi_gian","linh_vuc":"06","code":"JamTracker stage 4 corridor replan"}</t>
        </is>
      </c>
    </row>
    <row r="226">
      <c r="A226" t="inlineStr">
        <is>
          <t>ai.navigation.jamDecay</t>
        </is>
      </c>
      <c r="B226" t="inlineStr">
        <is>
          <t>navigation</t>
        </is>
      </c>
      <c r="C226" t="inlineStr">
        <is>
          <t>jamDecay</t>
        </is>
      </c>
      <c r="D226" t="n">
        <v>2</v>
      </c>
      <c r="F226" t="inlineStr">
        <is>
          <t>x</t>
        </is>
      </c>
      <c r="G226" t="inlineStr">
        <is>
          <t>nguong</t>
        </is>
      </c>
      <c r="H226" t="inlineStr">
        <is>
          <t>06</t>
        </is>
      </c>
      <c r="I226" t="inlineStr">
        <is>
          <t>JamTracker.Tick (progress drains low time)</t>
        </is>
      </c>
      <c r="J226" t="inlineStr">
        <is>
          <t>Assets/MachineBrigade/Resources/Data/tunables.json: ai.navigation.jamDecay</t>
        </is>
      </c>
      <c r="K226" t="inlineStr">
        <is>
          <t>{"value":2.0,"unit":"x","kind":"nguong","linh_vuc":"06","code":"JamTracker.Tick (progress drains low time)"}</t>
        </is>
      </c>
    </row>
    <row r="227">
      <c r="A227" t="inlineStr">
        <is>
          <t>ai.navigation.jamEmergencyS</t>
        </is>
      </c>
      <c r="B227" t="inlineStr">
        <is>
          <t>navigation</t>
        </is>
      </c>
      <c r="C227" t="inlineStr">
        <is>
          <t>jamEmergencyS</t>
        </is>
      </c>
      <c r="D227" t="n">
        <v>12</v>
      </c>
      <c r="F227" t="inlineStr">
        <is>
          <t>s</t>
        </is>
      </c>
      <c r="G227" t="inlineStr">
        <is>
          <t>thoi_gian</t>
        </is>
      </c>
      <c r="H227" t="inlineStr">
        <is>
          <t>06</t>
        </is>
      </c>
      <c r="I227" t="inlineStr">
        <is>
          <t>JamTracker stage 5 emergency unjam</t>
        </is>
      </c>
      <c r="J227" t="inlineStr">
        <is>
          <t>Assets/MachineBrigade/Resources/Data/tunables.json: ai.navigation.jamEmergencyS</t>
        </is>
      </c>
      <c r="K227" t="inlineStr">
        <is>
          <t>{"value":12.0,"unit":"s","kind":"thoi_gian","linh_vuc":"06","code":"JamTracker stage 5 emergency unjam"}</t>
        </is>
      </c>
    </row>
    <row r="228">
      <c r="A228" t="inlineStr">
        <is>
          <t>ai.navigation.jamEvalTicks</t>
        </is>
      </c>
      <c r="B228" t="inlineStr">
        <is>
          <t>navigation</t>
        </is>
      </c>
      <c r="C228" t="inlineStr">
        <is>
          <t>jamEvalTicks</t>
        </is>
      </c>
      <c r="D228" t="n">
        <v>5</v>
      </c>
      <c r="F228" t="inlineStr">
        <is>
          <t>steps</t>
        </is>
      </c>
      <c r="G228" t="inlineStr">
        <is>
          <t>tan_suat</t>
        </is>
      </c>
      <c r="H228" t="inlineStr">
        <is>
          <t>06</t>
        </is>
      </c>
      <c r="I228" t="inlineStr">
        <is>
          <t>MovementSystem.TrackJam (4 Hz)</t>
        </is>
      </c>
      <c r="J228" t="inlineStr">
        <is>
          <t>Assets/MachineBrigade/Resources/Data/tunables.json: ai.navigation.jamEvalTicks</t>
        </is>
      </c>
      <c r="K228" t="inlineStr">
        <is>
          <t>{"value":5,"unit":"steps","kind":"tan_suat","linh_vuc":"06","code":"MovementSystem.TrackJam (4 Hz)"}</t>
        </is>
      </c>
    </row>
    <row r="229">
      <c r="A229" t="inlineStr">
        <is>
          <t>ai.navigation.jamLowSpeedShare</t>
        </is>
      </c>
      <c r="B229" t="inlineStr">
        <is>
          <t>navigation</t>
        </is>
      </c>
      <c r="C229" t="inlineStr">
        <is>
          <t>jamLowSpeedShare</t>
        </is>
      </c>
      <c r="D229" t="n">
        <v>0.25</v>
      </c>
      <c r="F229" t="inlineStr">
        <is>
          <t>share</t>
        </is>
      </c>
      <c r="G229" t="inlineStr">
        <is>
          <t>nguong</t>
        </is>
      </c>
      <c r="H229" t="inlineStr">
        <is>
          <t>06</t>
        </is>
      </c>
      <c r="I229" t="inlineStr">
        <is>
          <t>JamTracker.IsLow (spec 102)</t>
        </is>
      </c>
      <c r="J229" t="inlineStr">
        <is>
          <t>Assets/MachineBrigade/Resources/Data/tunables.json: ai.navigation.jamLowSpeedShare</t>
        </is>
      </c>
      <c r="K229" t="inlineStr">
        <is>
          <t>{"value":0.25,"unit":"share","kind":"nguong","linh_vuc":"06","code":"JamTracker.IsLow (spec 102)"}</t>
        </is>
      </c>
    </row>
    <row r="230">
      <c r="A230" t="inlineStr">
        <is>
          <t>ai.navigation.jamProgressPerSecond</t>
        </is>
      </c>
      <c r="B230" t="inlineStr">
        <is>
          <t>navigation</t>
        </is>
      </c>
      <c r="C230" t="inlineStr">
        <is>
          <t>jamProgressPerSecond</t>
        </is>
      </c>
      <c r="D230" t="n">
        <v>0.25</v>
      </c>
      <c r="F230" t="inlineStr">
        <is>
          <t>m/s</t>
        </is>
      </c>
      <c r="G230" t="inlineStr">
        <is>
          <t>nguong</t>
        </is>
      </c>
      <c r="H230" t="inlineStr">
        <is>
          <t>06</t>
        </is>
      </c>
      <c r="I230" t="inlineStr">
        <is>
          <t>JamTracker.IsLow (spec 102)</t>
        </is>
      </c>
      <c r="J230" t="inlineStr">
        <is>
          <t>Assets/MachineBrigade/Resources/Data/tunables.json: ai.navigation.jamProgressPerSecond</t>
        </is>
      </c>
      <c r="K230" t="inlineStr">
        <is>
          <t>{"value":0.25,"unit":"m/s","kind":"nguong","linh_vuc":"06","code":"JamTracker.IsLow (spec 102)"}</t>
        </is>
      </c>
    </row>
    <row r="231">
      <c r="A231" t="inlineStr">
        <is>
          <t>ai.navigation.jamReplanS</t>
        </is>
      </c>
      <c r="B231" t="inlineStr">
        <is>
          <t>navigation</t>
        </is>
      </c>
      <c r="C231" t="inlineStr">
        <is>
          <t>jamReplanS</t>
        </is>
      </c>
      <c r="D231" t="n">
        <v>3</v>
      </c>
      <c r="F231" t="inlineStr">
        <is>
          <t>s</t>
        </is>
      </c>
      <c r="G231" t="inlineStr">
        <is>
          <t>thoi_gian</t>
        </is>
      </c>
      <c r="H231" t="inlineStr">
        <is>
          <t>06</t>
        </is>
      </c>
      <c r="I231" t="inlineStr">
        <is>
          <t>JamTracker stage 2 local replan</t>
        </is>
      </c>
      <c r="J231" t="inlineStr">
        <is>
          <t>Assets/MachineBrigade/Resources/Data/tunables.json: ai.navigation.jamReplanS</t>
        </is>
      </c>
      <c r="K231" t="inlineStr">
        <is>
          <t>{"value":3.0,"unit":"s","kind":"thoi_gian","linh_vuc":"06","code":"JamTracker stage 2 local replan"}</t>
        </is>
      </c>
    </row>
    <row r="232">
      <c r="A232" t="inlineStr">
        <is>
          <t>ai.navigation.jamSoftS</t>
        </is>
      </c>
      <c r="B232" t="inlineStr">
        <is>
          <t>navigation</t>
        </is>
      </c>
      <c r="C232" t="inlineStr">
        <is>
          <t>jamSoftS</t>
        </is>
      </c>
      <c r="D232" t="n">
        <v>1.5</v>
      </c>
      <c r="F232" t="inlineStr">
        <is>
          <t>s</t>
        </is>
      </c>
      <c r="G232" t="inlineStr">
        <is>
          <t>thoi_gian</t>
        </is>
      </c>
      <c r="H232" t="inlineStr">
        <is>
          <t>06</t>
        </is>
      </c>
      <c r="I232" t="inlineStr">
        <is>
          <t>JamTracker stage 1 soft jam</t>
        </is>
      </c>
      <c r="J232" t="inlineStr">
        <is>
          <t>Assets/MachineBrigade/Resources/Data/tunables.json: ai.navigation.jamSoftS</t>
        </is>
      </c>
      <c r="K232" t="inlineStr">
        <is>
          <t>{"value":1.5,"unit":"s","kind":"thoi_gian","linh_vuc":"06","code":"JamTracker stage 1 soft jam"}</t>
        </is>
      </c>
    </row>
    <row r="233">
      <c r="A233" t="inlineStr">
        <is>
          <t>ai.navigation.jamStages</t>
        </is>
      </c>
      <c r="B233" t="inlineStr">
        <is>
          <t>navigation</t>
        </is>
      </c>
      <c r="C233" t="inlineStr">
        <is>
          <t>jamStages</t>
        </is>
      </c>
      <c r="D233" t="b">
        <v>1</v>
      </c>
      <c r="F233" t="inlineStr">
        <is>
          <t>flag</t>
        </is>
      </c>
      <c r="G233" t="inlineStr">
        <is>
          <t>khac</t>
        </is>
      </c>
      <c r="H233" t="inlineStr">
        <is>
          <t>06</t>
        </is>
      </c>
      <c r="I233" t="inlineStr">
        <is>
          <t>MovementSystem.TrackJam (spec 37-38; false: the old stuck ladder alone)</t>
        </is>
      </c>
      <c r="J233" t="inlineStr">
        <is>
          <t>Assets/MachineBrigade/Resources/Data/tunables.json: ai.navigation.jamStages</t>
        </is>
      </c>
      <c r="K233" t="inlineStr">
        <is>
          <t>{"value":true,"unit":"flag","kind":"khac","linh_vuc":"06","code":"MovementSystem.TrackJam (spec 37-38; false: the old stuck ladder alone)"}</t>
        </is>
      </c>
    </row>
    <row r="234">
      <c r="A234" t="inlineStr">
        <is>
          <t>ai.navigation.jamYieldS</t>
        </is>
      </c>
      <c r="B234" t="inlineStr">
        <is>
          <t>navigation</t>
        </is>
      </c>
      <c r="C234" t="inlineStr">
        <is>
          <t>jamYieldS</t>
        </is>
      </c>
      <c r="D234" t="n">
        <v>5</v>
      </c>
      <c r="F234" t="inlineStr">
        <is>
          <t>s</t>
        </is>
      </c>
      <c r="G234" t="inlineStr">
        <is>
          <t>thoi_gian</t>
        </is>
      </c>
      <c r="H234" t="inlineStr">
        <is>
          <t>06</t>
        </is>
      </c>
      <c r="I234" t="inlineStr">
        <is>
          <t>JamTracker stage 3 yield</t>
        </is>
      </c>
      <c r="J234" t="inlineStr">
        <is>
          <t>Assets/MachineBrigade/Resources/Data/tunables.json: ai.navigation.jamYieldS</t>
        </is>
      </c>
      <c r="K234" t="inlineStr">
        <is>
          <t>{"value":5.0,"unit":"s","kind":"thoi_gian","linh_vuc":"06","code":"JamTracker stage 3 yield"}</t>
        </is>
      </c>
    </row>
    <row r="235">
      <c r="A235" t="inlineStr">
        <is>
          <t>ai.navigation.localReplanMax</t>
        </is>
      </c>
      <c r="B235" t="inlineStr">
        <is>
          <t>navigation</t>
        </is>
      </c>
      <c r="C235" t="inlineStr">
        <is>
          <t>localReplanMax</t>
        </is>
      </c>
      <c r="D235" t="n">
        <v>6</v>
      </c>
      <c r="F235" t="inlineStr">
        <is>
          <t>m</t>
        </is>
      </c>
      <c r="G235" t="inlineStr">
        <is>
          <t>ban_kinh</t>
        </is>
      </c>
      <c r="H235" t="inlineStr">
        <is>
          <t>06</t>
        </is>
      </c>
      <c r="I235" t="inlineStr">
        <is>
          <t>MovementSystem.TryLocalWaypoint (stage 2)</t>
        </is>
      </c>
      <c r="J235" t="inlineStr">
        <is>
          <t>Assets/MachineBrigade/Resources/Data/tunables.json: ai.navigation.localReplanMax</t>
        </is>
      </c>
      <c r="K235" t="inlineStr">
        <is>
          <t>{"value":6.0,"unit":"m","kind":"ban_kinh","linh_vuc":"06","code":"MovementSystem.TryLocalWaypoint (stage 2)"}</t>
        </is>
      </c>
    </row>
    <row r="236">
      <c r="A236" t="inlineStr">
        <is>
          <t>ai.navigation.localReplanMin</t>
        </is>
      </c>
      <c r="B236" t="inlineStr">
        <is>
          <t>navigation</t>
        </is>
      </c>
      <c r="C236" t="inlineStr">
        <is>
          <t>localReplanMin</t>
        </is>
      </c>
      <c r="D236" t="n">
        <v>3</v>
      </c>
      <c r="F236" t="inlineStr">
        <is>
          <t>m</t>
        </is>
      </c>
      <c r="G236" t="inlineStr">
        <is>
          <t>ban_kinh</t>
        </is>
      </c>
      <c r="H236" t="inlineStr">
        <is>
          <t>06</t>
        </is>
      </c>
      <c r="I236" t="inlineStr">
        <is>
          <t>MovementSystem.TryLocalWaypoint (stage 2)</t>
        </is>
      </c>
      <c r="J236" t="inlineStr">
        <is>
          <t>Assets/MachineBrigade/Resources/Data/tunables.json: ai.navigation.localReplanMin</t>
        </is>
      </c>
      <c r="K236" t="inlineStr">
        <is>
          <t>{"value":3.0,"unit":"m","kind":"ban_kinh","linh_vuc":"06","code":"MovementSystem.TryLocalWaypoint (stage 2)"}</t>
        </is>
      </c>
    </row>
    <row r="237">
      <c r="A237" t="inlineStr">
        <is>
          <t>ai.navigation.orcaHighShare</t>
        </is>
      </c>
      <c r="B237" t="inlineStr">
        <is>
          <t>navigation</t>
        </is>
      </c>
      <c r="C237" t="inlineStr">
        <is>
          <t>orcaHighShare</t>
        </is>
      </c>
      <c r="D237" t="n">
        <v>0.15</v>
      </c>
      <c r="F237" t="inlineStr">
        <is>
          <t>share</t>
        </is>
      </c>
      <c r="G237" t="inlineStr">
        <is>
          <t>nguong</t>
        </is>
      </c>
      <c r="H237" t="inlineStr">
        <is>
          <t>06</t>
        </is>
      </c>
      <c r="I237" t="inlineStr">
        <is>
          <t>TrafficSteering.Responsibility (higher right of way)</t>
        </is>
      </c>
      <c r="J237" t="inlineStr">
        <is>
          <t>Assets/MachineBrigade/Resources/Data/tunables.json: ai.navigation.orcaHighShare</t>
        </is>
      </c>
      <c r="K237" t="inlineStr">
        <is>
          <t>{"value":0.15,"unit":"share","kind":"nguong","linh_vuc":"06","code":"TrafficSteering.Responsibility (higher right of way)"}</t>
        </is>
      </c>
    </row>
    <row r="238">
      <c r="A238" t="inlineStr">
        <is>
          <t>ai.navigation.orcaLite</t>
        </is>
      </c>
      <c r="B238" t="inlineStr">
        <is>
          <t>navigation</t>
        </is>
      </c>
      <c r="C238" t="inlineStr">
        <is>
          <t>orcaLite</t>
        </is>
      </c>
      <c r="D238" t="b">
        <v>1</v>
      </c>
      <c r="F238" t="inlineStr">
        <is>
          <t>flag</t>
        </is>
      </c>
      <c r="G238" t="inlineStr">
        <is>
          <t>khac</t>
        </is>
      </c>
      <c r="H238" t="inlineStr">
        <is>
          <t>06</t>
        </is>
      </c>
      <c r="I238" t="inlineStr">
        <is>
          <t>MovementSystem.OrcaTurn (spec 34-35)</t>
        </is>
      </c>
      <c r="J238" t="inlineStr">
        <is>
          <t>Assets/MachineBrigade/Resources/Data/tunables.json: ai.navigation.orcaLite</t>
        </is>
      </c>
      <c r="K238" t="inlineStr">
        <is>
          <t>{"value":true,"unit":"flag","kind":"khac","linh_vuc":"06","code":"MovementSystem.OrcaTurn (spec 34-35)"}</t>
        </is>
      </c>
    </row>
    <row r="239">
      <c r="A239" t="inlineStr">
        <is>
          <t>ai.navigation.orcaLowShare</t>
        </is>
      </c>
      <c r="B239" t="inlineStr">
        <is>
          <t>navigation</t>
        </is>
      </c>
      <c r="C239" t="inlineStr">
        <is>
          <t>orcaLowShare</t>
        </is>
      </c>
      <c r="D239" t="n">
        <v>0.85</v>
      </c>
      <c r="F239" t="inlineStr">
        <is>
          <t>share</t>
        </is>
      </c>
      <c r="G239" t="inlineStr">
        <is>
          <t>nguong</t>
        </is>
      </c>
      <c r="H239" t="inlineStr">
        <is>
          <t>06</t>
        </is>
      </c>
      <c r="I239" t="inlineStr">
        <is>
          <t>TrafficSteering.Responsibility (lower right of way)</t>
        </is>
      </c>
      <c r="J239" t="inlineStr">
        <is>
          <t>Assets/MachineBrigade/Resources/Data/tunables.json: ai.navigation.orcaLowShare</t>
        </is>
      </c>
      <c r="K239" t="inlineStr">
        <is>
          <t>{"value":0.85,"unit":"share","kind":"nguong","linh_vuc":"06","code":"TrafficSteering.Responsibility (lower right of way)"}</t>
        </is>
      </c>
    </row>
    <row r="240">
      <c r="A240" t="inlineStr">
        <is>
          <t>ai.navigation.orcaNeighbours</t>
        </is>
      </c>
      <c r="B240" t="inlineStr">
        <is>
          <t>navigation</t>
        </is>
      </c>
      <c r="C240" t="inlineStr">
        <is>
          <t>orcaNeighbours</t>
        </is>
      </c>
      <c r="D240" t="n">
        <v>10</v>
      </c>
      <c r="F240" t="inlineStr">
        <is>
          <t>count</t>
        </is>
      </c>
      <c r="G240" t="inlineStr">
        <is>
          <t>gioi_han_thuc_the</t>
        </is>
      </c>
      <c r="H240" t="inlineStr">
        <is>
          <t>06</t>
        </is>
      </c>
      <c r="I240" t="inlineStr">
        <is>
          <t>MovementSystem.OrcaTurn (nearest 8-12)</t>
        </is>
      </c>
      <c r="J240" t="inlineStr">
        <is>
          <t>Assets/MachineBrigade/Resources/Data/tunables.json: ai.navigation.orcaNeighbours</t>
        </is>
      </c>
      <c r="K240" t="inlineStr">
        <is>
          <t>{"value":10,"unit":"count","kind":"gioi_han_thuc_the","linh_vuc":"06","code":"MovementSystem.OrcaTurn (nearest 8-12)"}</t>
        </is>
      </c>
    </row>
    <row r="241">
      <c r="A241" t="inlineStr">
        <is>
          <t>ai.navigation.passingRelease</t>
        </is>
      </c>
      <c r="B241" t="inlineStr">
        <is>
          <t>navigation</t>
        </is>
      </c>
      <c r="C241" t="inlineStr">
        <is>
          <t>passingRelease</t>
        </is>
      </c>
      <c r="D241" t="n">
        <v>2</v>
      </c>
      <c r="F241" t="inlineStr">
        <is>
          <t>x</t>
        </is>
      </c>
      <c r="G241" t="inlineStr">
        <is>
          <t>nguong</t>
        </is>
      </c>
      <c r="H241" t="inlineStr">
        <is>
          <t>06</t>
        </is>
      </c>
      <c r="I241" t="inlineStr">
        <is>
          <t>TrafficCoordinator.PassingSide (spec 36)</t>
        </is>
      </c>
      <c r="J241" t="inlineStr">
        <is>
          <t>Assets/MachineBrigade/Resources/Data/tunables.json: ai.navigation.passingRelease</t>
        </is>
      </c>
      <c r="K241" t="inlineStr">
        <is>
          <t>{"value":2.0,"unit":"x","kind":"nguong","linh_vuc":"06","code":"TrafficCoordinator.PassingSide (spec 36)"}</t>
        </is>
      </c>
    </row>
    <row r="242">
      <c r="A242" t="inlineStr">
        <is>
          <t>ai.navigation.separationColumn</t>
        </is>
      </c>
      <c r="B242" t="inlineStr">
        <is>
          <t>navigation</t>
        </is>
      </c>
      <c r="C242" t="inlineStr">
        <is>
          <t>separationColumn</t>
        </is>
      </c>
      <c r="D242" t="n">
        <v>0.85</v>
      </c>
      <c r="F242" t="inlineStr">
        <is>
          <t>x</t>
        </is>
      </c>
      <c r="G242" t="inlineStr">
        <is>
          <t>nguong</t>
        </is>
      </c>
      <c r="H242" t="inlineStr">
        <is>
          <t>06</t>
        </is>
      </c>
      <c r="I242" t="inlineStr">
        <is>
          <t>TrafficSteering.MinSeparation (spec 87)</t>
        </is>
      </c>
      <c r="J242" t="inlineStr">
        <is>
          <t>Assets/MachineBrigade/Resources/Data/tunables.json: ai.navigation.separationColumn</t>
        </is>
      </c>
      <c r="K242" t="inlineStr">
        <is>
          <t>{"value":0.85,"unit":"x","kind":"nguong","linh_vuc":"06","code":"TrafficSteering.MinSeparation (spec 87)"}</t>
        </is>
      </c>
    </row>
    <row r="243">
      <c r="A243" t="inlineStr">
        <is>
          <t>ai.navigation.separationPad</t>
        </is>
      </c>
      <c r="B243" t="inlineStr">
        <is>
          <t>navigation</t>
        </is>
      </c>
      <c r="C243" t="inlineStr">
        <is>
          <t>separationPad</t>
        </is>
      </c>
      <c r="D243" t="n">
        <v>0.5</v>
      </c>
      <c r="F243" t="inlineStr">
        <is>
          <t>m</t>
        </is>
      </c>
      <c r="G243" t="inlineStr">
        <is>
          <t>ban_kinh</t>
        </is>
      </c>
      <c r="H243" t="inlineStr">
        <is>
          <t>06</t>
        </is>
      </c>
      <c r="I243" t="inlineStr">
        <is>
          <t>TrafficSteering.MinSeparation (spec 87)</t>
        </is>
      </c>
      <c r="J243" t="inlineStr">
        <is>
          <t>Assets/MachineBrigade/Resources/Data/tunables.json: ai.navigation.separationPad</t>
        </is>
      </c>
      <c r="K243" t="inlineStr">
        <is>
          <t>{"value":0.5,"unit":"m","kind":"ban_kinh","linh_vuc":"06","code":"TrafficSteering.MinSeparation (spec 87)"}</t>
        </is>
      </c>
    </row>
    <row r="244">
      <c r="A244" t="inlineStr">
        <is>
          <t>ai.navigation.separationSplash</t>
        </is>
      </c>
      <c r="B244" t="inlineStr">
        <is>
          <t>navigation</t>
        </is>
      </c>
      <c r="C244" t="inlineStr">
        <is>
          <t>separationSplash</t>
        </is>
      </c>
      <c r="D244" t="n">
        <v>1.5</v>
      </c>
      <c r="F244" t="inlineStr">
        <is>
          <t>x</t>
        </is>
      </c>
      <c r="G244" t="inlineStr">
        <is>
          <t>nguong</t>
        </is>
      </c>
      <c r="H244" t="inlineStr">
        <is>
          <t>06</t>
        </is>
      </c>
      <c r="I244" t="inlineStr">
        <is>
          <t>TrafficSteering.MinSeparation (spec 87)</t>
        </is>
      </c>
      <c r="J244" t="inlineStr">
        <is>
          <t>Assets/MachineBrigade/Resources/Data/tunables.json: ai.navigation.separationSplash</t>
        </is>
      </c>
      <c r="K244" t="inlineStr">
        <is>
          <t>{"value":1.5,"unit":"x","kind":"nguong","linh_vuc":"06","code":"TrafficSteering.MinSeparation (spec 87)"}</t>
        </is>
      </c>
    </row>
    <row r="245">
      <c r="A245" t="inlineStr">
        <is>
          <t>ai.navigation.splashThreat</t>
        </is>
      </c>
      <c r="B245" t="inlineStr">
        <is>
          <t>navigation</t>
        </is>
      </c>
      <c r="C245" t="inlineStr">
        <is>
          <t>splashThreat</t>
        </is>
      </c>
      <c r="D245" t="n">
        <v>3</v>
      </c>
      <c r="F245" t="inlineStr">
        <is>
          <t>m</t>
        </is>
      </c>
      <c r="G245" t="inlineStr">
        <is>
          <t>ban_kinh</t>
        </is>
      </c>
      <c r="H245" t="inlineStr">
        <is>
          <t>06</t>
        </is>
      </c>
      <c r="I245" t="inlineStr">
        <is>
          <t>TrafficCoordinator.SplashThreat</t>
        </is>
      </c>
      <c r="J245" t="inlineStr">
        <is>
          <t>Assets/MachineBrigade/Resources/Data/tunables.json: ai.navigation.splashThreat</t>
        </is>
      </c>
      <c r="K245" t="inlineStr">
        <is>
          <t>{"value":3.0,"unit":"m","kind":"ban_kinh","linh_vuc":"06","code":"TrafficCoordinator.SplashThreat"}</t>
        </is>
      </c>
    </row>
    <row r="246">
      <c r="A246" t="inlineStr">
        <is>
          <t>ai.navigation.wreckLookAhead</t>
        </is>
      </c>
      <c r="B246" t="inlineStr">
        <is>
          <t>navigation</t>
        </is>
      </c>
      <c r="C246" t="inlineStr">
        <is>
          <t>wreckLookAhead</t>
        </is>
      </c>
      <c r="D246" t="n">
        <v>40</v>
      </c>
      <c r="F246" t="inlineStr">
        <is>
          <t>m</t>
        </is>
      </c>
      <c r="G246" t="inlineStr">
        <is>
          <t>ban_kinh</t>
        </is>
      </c>
      <c r="H246" t="inlineStr">
        <is>
          <t>06</t>
        </is>
      </c>
      <c r="I246" t="inlineStr">
        <is>
          <t>MovementSystem.OnWreckChanges (spec 39)</t>
        </is>
      </c>
      <c r="J246" t="inlineStr">
        <is>
          <t>Assets/MachineBrigade/Resources/Data/tunables.json: ai.navigation.wreckLookAhead</t>
        </is>
      </c>
      <c r="K246" t="inlineStr">
        <is>
          <t>{"value":40.0,"unit":"m","kind":"ban_kinh","linh_vuc":"06","code":"MovementSystem.OnWreckChanges (spec 39)"}</t>
        </is>
      </c>
    </row>
    <row r="247">
      <c r="A247" t="inlineStr">
        <is>
          <t>ai.navigation.wreckSettleS</t>
        </is>
      </c>
      <c r="B247" t="inlineStr">
        <is>
          <t>navigation</t>
        </is>
      </c>
      <c r="C247" t="inlineStr">
        <is>
          <t>wreckSettleS</t>
        </is>
      </c>
      <c r="D247" t="n">
        <v>1.5</v>
      </c>
      <c r="F247" t="inlineStr">
        <is>
          <t>s</t>
        </is>
      </c>
      <c r="G247" t="inlineStr">
        <is>
          <t>thoi_gian</t>
        </is>
      </c>
      <c r="H247" t="inlineStr">
        <is>
          <t>06</t>
        </is>
      </c>
      <c r="I247" t="inlineStr">
        <is>
          <t>UnitCostField (fresh wreck dear before a wall, spec 39)</t>
        </is>
      </c>
      <c r="J247" t="inlineStr">
        <is>
          <t>Assets/MachineBrigade/Resources/Data/tunables.json: ai.navigation.wreckSettleS</t>
        </is>
      </c>
      <c r="K247" t="inlineStr">
        <is>
          <t>{"value":1.5,"unit":"s","kind":"thoi_gian","linh_vuc":"06","code":"UnitCostField (fresh wreck dear before a wall, spec 39)"}</t>
        </is>
      </c>
    </row>
    <row r="248">
      <c r="A248" t="inlineStr">
        <is>
          <t>ai.objectives.counterLookS</t>
        </is>
      </c>
      <c r="B248" t="inlineStr">
        <is>
          <t>objectives</t>
        </is>
      </c>
      <c r="C248" t="inlineStr">
        <is>
          <t>counterLookS</t>
        </is>
      </c>
      <c r="D248" t="n">
        <v>6</v>
      </c>
      <c r="F248" t="inlineStr">
        <is>
          <t>s</t>
        </is>
      </c>
      <c r="G248" t="inlineStr">
        <is>
          <t>thoi_gian</t>
        </is>
      </c>
      <c r="H248" t="inlineStr">
        <is>
          <t>06</t>
        </is>
      </c>
      <c r="I248" t="inlineStr">
        <is>
          <t>Objectives.CounterLookS (AI MASTER P3)</t>
        </is>
      </c>
      <c r="J248" t="inlineStr">
        <is>
          <t>Assets/MachineBrigade/Resources/Data/tunables.json: ai.objectives.counterLookS</t>
        </is>
      </c>
      <c r="K248" t="inlineStr">
        <is>
          <t>{"value":6.0,"unit":"s","kind":"thoi_gian","linh_vuc":"06","code":"Objectives.CounterLookS (AI MASTER P3)"}</t>
        </is>
      </c>
    </row>
    <row r="249">
      <c r="A249" t="inlineStr">
        <is>
          <t>ai.objectives.counterLossShare</t>
        </is>
      </c>
      <c r="B249" t="inlineStr">
        <is>
          <t>objectives</t>
        </is>
      </c>
      <c r="C249" t="inlineStr">
        <is>
          <t>counterLossShare</t>
        </is>
      </c>
      <c r="D249" t="n">
        <v>0.35</v>
      </c>
      <c r="F249" t="inlineStr">
        <is>
          <t>share</t>
        </is>
      </c>
      <c r="G249" t="inlineStr">
        <is>
          <t>nguong</t>
        </is>
      </c>
      <c r="H249" t="inlineStr">
        <is>
          <t>06</t>
        </is>
      </c>
      <c r="I249" t="inlineStr">
        <is>
          <t>Objectives.CounterLossShare (AI MASTER P3)</t>
        </is>
      </c>
      <c r="J249" t="inlineStr">
        <is>
          <t>Assets/MachineBrigade/Resources/Data/tunables.json: ai.objectives.counterLossShare</t>
        </is>
      </c>
      <c r="K249" t="inlineStr">
        <is>
          <t>{"value":0.35,"unit":"share","kind":"nguong","linh_vuc":"06","code":"Objectives.CounterLossShare (AI MASTER P3)"}</t>
        </is>
      </c>
    </row>
    <row r="250">
      <c r="A250" t="inlineStr">
        <is>
          <t>ai.objectives.counterRadius</t>
        </is>
      </c>
      <c r="B250" t="inlineStr">
        <is>
          <t>objectives</t>
        </is>
      </c>
      <c r="C250" t="inlineStr">
        <is>
          <t>counterRadius</t>
        </is>
      </c>
      <c r="D250" t="n">
        <v>40</v>
      </c>
      <c r="F250" t="inlineStr">
        <is>
          <t>m</t>
        </is>
      </c>
      <c r="G250" t="inlineStr">
        <is>
          <t>ban_kinh</t>
        </is>
      </c>
      <c r="H250" t="inlineStr">
        <is>
          <t>06</t>
        </is>
      </c>
      <c r="I250" t="inlineStr">
        <is>
          <t>Objectives.CounterRadius (AI MASTER P3)</t>
        </is>
      </c>
      <c r="J250" t="inlineStr">
        <is>
          <t>Assets/MachineBrigade/Resources/Data/tunables.json: ai.objectives.counterRadius</t>
        </is>
      </c>
      <c r="K250" t="inlineStr">
        <is>
          <t>{"value":40.0,"unit":"m","kind":"ban_kinh","linh_vuc":"06","code":"Objectives.CounterRadius (AI MASTER P3)"}</t>
        </is>
      </c>
    </row>
    <row r="251">
      <c r="A251" t="inlineStr">
        <is>
          <t>ai.objectives.counterWindowS</t>
        </is>
      </c>
      <c r="B251" t="inlineStr">
        <is>
          <t>objectives</t>
        </is>
      </c>
      <c r="C251" t="inlineStr">
        <is>
          <t>counterWindowS</t>
        </is>
      </c>
      <c r="D251" t="n">
        <v>8</v>
      </c>
      <c r="F251" t="inlineStr">
        <is>
          <t>s</t>
        </is>
      </c>
      <c r="G251" t="inlineStr">
        <is>
          <t>thoi_gian</t>
        </is>
      </c>
      <c r="H251" t="inlineStr">
        <is>
          <t>06</t>
        </is>
      </c>
      <c r="I251" t="inlineStr">
        <is>
          <t>Objectives.CounterWindowS (AI MASTER P3)</t>
        </is>
      </c>
      <c r="J251" t="inlineStr">
        <is>
          <t>Assets/MachineBrigade/Resources/Data/tunables.json: ai.objectives.counterWindowS</t>
        </is>
      </c>
      <c r="K251" t="inlineStr">
        <is>
          <t>{"value":8.0,"unit":"s","kind":"thoi_gian","linh_vuc":"06","code":"Objectives.CounterWindowS (AI MASTER P3)"}</t>
        </is>
      </c>
    </row>
    <row r="252">
      <c r="A252" t="inlineStr">
        <is>
          <t>ai.objectives.deadlineSlack</t>
        </is>
      </c>
      <c r="B252" t="inlineStr">
        <is>
          <t>objectives</t>
        </is>
      </c>
      <c r="C252" t="inlineStr">
        <is>
          <t>deadlineSlack</t>
        </is>
      </c>
      <c r="D252" t="n">
        <v>1.1</v>
      </c>
      <c r="F252" t="inlineStr">
        <is>
          <t>x</t>
        </is>
      </c>
      <c r="G252" t="inlineStr">
        <is>
          <t>nguong</t>
        </is>
      </c>
      <c r="H252" t="inlineStr">
        <is>
          <t>06</t>
        </is>
      </c>
      <c r="I252" t="inlineStr">
        <is>
          <t>Objectives.DeadlineSlack (AI MASTER P3)</t>
        </is>
      </c>
      <c r="J252" t="inlineStr">
        <is>
          <t>Assets/MachineBrigade/Resources/Data/tunables.json: ai.objectives.deadlineSlack</t>
        </is>
      </c>
      <c r="K252" t="inlineStr">
        <is>
          <t>{"value":1.1,"unit":"x","kind":"nguong","linh_vuc":"06","code":"Objectives.DeadlineSlack (AI MASTER P3)"}</t>
        </is>
      </c>
    </row>
    <row r="253">
      <c r="A253" t="inlineStr">
        <is>
          <t>ai.objectives.depthLines</t>
        </is>
      </c>
      <c r="B253" t="inlineStr">
        <is>
          <t>objectives</t>
        </is>
      </c>
      <c r="C253" t="inlineStr">
        <is>
          <t>depthLines</t>
        </is>
      </c>
      <c r="D253" t="n">
        <v>3</v>
      </c>
      <c r="F253" t="inlineStr">
        <is>
          <t>count</t>
        </is>
      </c>
      <c r="G253" t="inlineStr">
        <is>
          <t>gioi_han_thuc_the</t>
        </is>
      </c>
      <c r="H253" t="inlineStr">
        <is>
          <t>06</t>
        </is>
      </c>
      <c r="I253" t="inlineStr">
        <is>
          <t>Objectives.DepthLines (AI MASTER P3)</t>
        </is>
      </c>
      <c r="J253" t="inlineStr">
        <is>
          <t>Assets/MachineBrigade/Resources/Data/tunables.json: ai.objectives.depthLines</t>
        </is>
      </c>
      <c r="K253" t="inlineStr">
        <is>
          <t>{"value":3,"unit":"count","kind":"gioi_han_thuc_the","linh_vuc":"06","code":"Objectives.DepthLines (AI MASTER P3)"}</t>
        </is>
      </c>
    </row>
    <row r="254">
      <c r="A254" t="inlineStr">
        <is>
          <t>ai.objectives.depthLostS</t>
        </is>
      </c>
      <c r="B254" t="inlineStr">
        <is>
          <t>objectives</t>
        </is>
      </c>
      <c r="C254" t="inlineStr">
        <is>
          <t>depthLostS</t>
        </is>
      </c>
      <c r="D254" t="n">
        <v>5</v>
      </c>
      <c r="F254" t="inlineStr">
        <is>
          <t>s</t>
        </is>
      </c>
      <c r="G254" t="inlineStr">
        <is>
          <t>thoi_gian</t>
        </is>
      </c>
      <c r="H254" t="inlineStr">
        <is>
          <t>06</t>
        </is>
      </c>
      <c r="I254" t="inlineStr">
        <is>
          <t>Objectives.DepthLostS (AI MASTER P3)</t>
        </is>
      </c>
      <c r="J254" t="inlineStr">
        <is>
          <t>Assets/MachineBrigade/Resources/Data/tunables.json: ai.objectives.depthLostS</t>
        </is>
      </c>
      <c r="K254" t="inlineStr">
        <is>
          <t>{"value":5.0,"unit":"s","kind":"thoi_gian","linh_vuc":"06","code":"Objectives.DepthLostS (AI MASTER P3)"}</t>
        </is>
      </c>
    </row>
    <row r="255">
      <c r="A255" t="inlineStr">
        <is>
          <t>ai.objectives.depthStep</t>
        </is>
      </c>
      <c r="B255" t="inlineStr">
        <is>
          <t>objectives</t>
        </is>
      </c>
      <c r="C255" t="inlineStr">
        <is>
          <t>depthStep</t>
        </is>
      </c>
      <c r="D255" t="n">
        <v>0.3</v>
      </c>
      <c r="F255" t="inlineStr">
        <is>
          <t>share</t>
        </is>
      </c>
      <c r="G255" t="inlineStr">
        <is>
          <t>nguong</t>
        </is>
      </c>
      <c r="H255" t="inlineStr">
        <is>
          <t>06</t>
        </is>
      </c>
      <c r="I255" t="inlineStr">
        <is>
          <t>Objectives.DepthStep (AI MASTER P3)</t>
        </is>
      </c>
      <c r="J255" t="inlineStr">
        <is>
          <t>Assets/MachineBrigade/Resources/Data/tunables.json: ai.objectives.depthStep</t>
        </is>
      </c>
      <c r="K255" t="inlineStr">
        <is>
          <t>{"value":0.3,"unit":"share","kind":"nguong","linh_vuc":"06","code":"Objectives.DepthStep (AI MASTER P3)"}</t>
        </is>
      </c>
    </row>
    <row r="256">
      <c r="A256" t="inlineStr">
        <is>
          <t>ai.objectives.economyDelayShare</t>
        </is>
      </c>
      <c r="B256" t="inlineStr">
        <is>
          <t>objectives</t>
        </is>
      </c>
      <c r="C256" t="inlineStr">
        <is>
          <t>economyDelayShare</t>
        </is>
      </c>
      <c r="D256" t="n">
        <v>0.8</v>
      </c>
      <c r="F256" t="inlineStr">
        <is>
          <t>x</t>
        </is>
      </c>
      <c r="G256" t="inlineStr">
        <is>
          <t>nguong</t>
        </is>
      </c>
      <c r="H256" t="inlineStr">
        <is>
          <t>06</t>
        </is>
      </c>
      <c r="I256" t="inlineStr">
        <is>
          <t>Objectives.EconomyDelayShare (AI MASTER P3)</t>
        </is>
      </c>
      <c r="J256" t="inlineStr">
        <is>
          <t>Assets/MachineBrigade/Resources/Data/tunables.json: ai.objectives.economyDelayShare</t>
        </is>
      </c>
      <c r="K256" t="inlineStr">
        <is>
          <t>{"value":0.8,"unit":"x","kind":"nguong","linh_vuc":"06","code":"Objectives.EconomyDelayShare (AI MASTER P3)"}</t>
        </is>
      </c>
    </row>
    <row r="257">
      <c r="A257" t="inlineStr">
        <is>
          <t>ai.objectives.economyMaxShare</t>
        </is>
      </c>
      <c r="B257" t="inlineStr">
        <is>
          <t>objectives</t>
        </is>
      </c>
      <c r="C257" t="inlineStr">
        <is>
          <t>economyMaxShare</t>
        </is>
      </c>
      <c r="D257" t="n">
        <v>0.3</v>
      </c>
      <c r="F257" t="inlineStr">
        <is>
          <t>share</t>
        </is>
      </c>
      <c r="G257" t="inlineStr">
        <is>
          <t>nguong</t>
        </is>
      </c>
      <c r="H257" t="inlineStr">
        <is>
          <t>06</t>
        </is>
      </c>
      <c r="I257" t="inlineStr">
        <is>
          <t>Objectives.EconomyMaxShare (AI MASTER P3)</t>
        </is>
      </c>
      <c r="J257" t="inlineStr">
        <is>
          <t>Assets/MachineBrigade/Resources/Data/tunables.json: ai.objectives.economyMaxShare</t>
        </is>
      </c>
      <c r="K257" t="inlineStr">
        <is>
          <t>{"value":0.3,"unit":"share","kind":"nguong","linh_vuc":"06","code":"Objectives.EconomyMaxShare (AI MASTER P3)"}</t>
        </is>
      </c>
    </row>
    <row r="258">
      <c r="A258" t="inlineStr">
        <is>
          <t>ai.objectives.splitMinMembers</t>
        </is>
      </c>
      <c r="B258" t="inlineStr">
        <is>
          <t>objectives</t>
        </is>
      </c>
      <c r="C258" t="inlineStr">
        <is>
          <t>splitMinMembers</t>
        </is>
      </c>
      <c r="D258" t="n">
        <v>6</v>
      </c>
      <c r="F258" t="inlineStr">
        <is>
          <t>count</t>
        </is>
      </c>
      <c r="G258" t="inlineStr">
        <is>
          <t>gioi_han_thuc_the</t>
        </is>
      </c>
      <c r="H258" t="inlineStr">
        <is>
          <t>06</t>
        </is>
      </c>
      <c r="I258" t="inlineStr">
        <is>
          <t>Objectives.SplitMinMembers (AI MASTER P3)</t>
        </is>
      </c>
      <c r="J258" t="inlineStr">
        <is>
          <t>Assets/MachineBrigade/Resources/Data/tunables.json: ai.objectives.splitMinMembers</t>
        </is>
      </c>
      <c r="K258" t="inlineStr">
        <is>
          <t>{"value":6,"unit":"count","kind":"gioi_han_thuc_the","linh_vuc":"06","code":"Objectives.SplitMinMembers (AI MASTER P3)"}</t>
        </is>
      </c>
    </row>
    <row r="259">
      <c r="A259" t="inlineStr">
        <is>
          <t>ai.objectives.sunkHalfLifeS</t>
        </is>
      </c>
      <c r="B259" t="inlineStr">
        <is>
          <t>objectives</t>
        </is>
      </c>
      <c r="C259" t="inlineStr">
        <is>
          <t>sunkHalfLifeS</t>
        </is>
      </c>
      <c r="D259" t="n">
        <v>90</v>
      </c>
      <c r="F259" t="inlineStr">
        <is>
          <t>s</t>
        </is>
      </c>
      <c r="G259" t="inlineStr">
        <is>
          <t>thoi_gian</t>
        </is>
      </c>
      <c r="H259" t="inlineStr">
        <is>
          <t>06</t>
        </is>
      </c>
      <c r="I259" t="inlineStr">
        <is>
          <t>Objectives.SunkHalfLifeS (AI MASTER P3)</t>
        </is>
      </c>
      <c r="J259" t="inlineStr">
        <is>
          <t>Assets/MachineBrigade/Resources/Data/tunables.json: ai.objectives.sunkHalfLifeS</t>
        </is>
      </c>
      <c r="K259" t="inlineStr">
        <is>
          <t>{"value":90.0,"unit":"s","kind":"thoi_gian","linh_vuc":"06","code":"Objectives.SunkHalfLifeS (AI MASTER P3)"}</t>
        </is>
      </c>
    </row>
    <row r="260">
      <c r="A260" t="inlineStr">
        <is>
          <t>ai.objectives.sunkResetS</t>
        </is>
      </c>
      <c r="B260" t="inlineStr">
        <is>
          <t>objectives</t>
        </is>
      </c>
      <c r="C260" t="inlineStr">
        <is>
          <t>sunkResetS</t>
        </is>
      </c>
      <c r="D260" t="n">
        <v>30</v>
      </c>
      <c r="F260" t="inlineStr">
        <is>
          <t>s</t>
        </is>
      </c>
      <c r="G260" t="inlineStr">
        <is>
          <t>thoi_gian</t>
        </is>
      </c>
      <c r="H260" t="inlineStr">
        <is>
          <t>06</t>
        </is>
      </c>
      <c r="I260" t="inlineStr">
        <is>
          <t>Objectives.SunkResetS (AI MASTER P3)</t>
        </is>
      </c>
      <c r="J260" t="inlineStr">
        <is>
          <t>Assets/MachineBrigade/Resources/Data/tunables.json: ai.objectives.sunkResetS</t>
        </is>
      </c>
      <c r="K260" t="inlineStr">
        <is>
          <t>{"value":30.0,"unit":"s","kind":"thoi_gian","linh_vuc":"06","code":"Objectives.SunkResetS (AI MASTER P3)"}</t>
        </is>
      </c>
    </row>
    <row r="261">
      <c r="A261" t="inlineStr">
        <is>
          <t>ai.objectives.sunkValue</t>
        </is>
      </c>
      <c r="B261" t="inlineStr">
        <is>
          <t>objectives</t>
        </is>
      </c>
      <c r="C261" t="inlineStr">
        <is>
          <t>sunkValue</t>
        </is>
      </c>
      <c r="D261" t="n">
        <v>60</v>
      </c>
      <c r="F261" t="inlineStr">
        <is>
          <t>CP</t>
        </is>
      </c>
      <c r="G261" t="inlineStr">
        <is>
          <t>nguong</t>
        </is>
      </c>
      <c r="H261" t="inlineStr">
        <is>
          <t>06</t>
        </is>
      </c>
      <c r="I261" t="inlineStr">
        <is>
          <t>Objectives.SunkValue (AI MASTER P3)</t>
        </is>
      </c>
      <c r="J261" t="inlineStr">
        <is>
          <t>Assets/MachineBrigade/Resources/Data/tunables.json: ai.objectives.sunkValue</t>
        </is>
      </c>
      <c r="K261" t="inlineStr">
        <is>
          <t>{"value":60.0,"unit":"CP","kind":"nguong","linh_vuc":"06","code":"Objectives.SunkValue (AI MASTER P3)"}</t>
        </is>
      </c>
    </row>
    <row r="262">
      <c r="A262" t="inlineStr">
        <is>
          <t>ai.opportunity.aaDownS</t>
        </is>
      </c>
      <c r="B262" t="inlineStr">
        <is>
          <t>opportunity</t>
        </is>
      </c>
      <c r="C262" t="inlineStr">
        <is>
          <t>aaDownS</t>
        </is>
      </c>
      <c r="D262" t="n">
        <v>15</v>
      </c>
      <c r="F262" t="inlineStr">
        <is>
          <t>s</t>
        </is>
      </c>
      <c r="G262" t="inlineStr">
        <is>
          <t>thoi_gian</t>
        </is>
      </c>
      <c r="H262" t="inlineStr">
        <is>
          <t>06</t>
        </is>
      </c>
      <c r="I262" t="inlineStr">
        <is>
          <t>Opportunity.AaDownS (AI MASTER P4)</t>
        </is>
      </c>
      <c r="J262" t="inlineStr">
        <is>
          <t>Assets/MachineBrigade/Resources/Data/tunables.json: ai.opportunity.aaDownS</t>
        </is>
      </c>
      <c r="K262" t="inlineStr">
        <is>
          <t>{"value":15.0,"unit":"s","kind":"thoi_gian","linh_vuc":"06","code":"Opportunity.AaDownS (AI MASTER P4)"}</t>
        </is>
      </c>
    </row>
    <row r="263">
      <c r="A263" t="inlineStr">
        <is>
          <t>ai.opportunity.artilleryExposedS</t>
        </is>
      </c>
      <c r="B263" t="inlineStr">
        <is>
          <t>opportunity</t>
        </is>
      </c>
      <c r="C263" t="inlineStr">
        <is>
          <t>artilleryExposedS</t>
        </is>
      </c>
      <c r="D263" t="n">
        <v>8</v>
      </c>
      <c r="F263" t="inlineStr">
        <is>
          <t>s</t>
        </is>
      </c>
      <c r="G263" t="inlineStr">
        <is>
          <t>thoi_gian</t>
        </is>
      </c>
      <c r="H263" t="inlineStr">
        <is>
          <t>06</t>
        </is>
      </c>
      <c r="I263" t="inlineStr">
        <is>
          <t>Opportunity.ArtilleryExposedS (AI MASTER P4)</t>
        </is>
      </c>
      <c r="J263" t="inlineStr">
        <is>
          <t>Assets/MachineBrigade/Resources/Data/tunables.json: ai.opportunity.artilleryExposedS</t>
        </is>
      </c>
      <c r="K263" t="inlineStr">
        <is>
          <t>{"value":8.0,"unit":"s","kind":"thoi_gian","linh_vuc":"06","code":"Opportunity.ArtilleryExposedS (AI MASTER P4)"}</t>
        </is>
      </c>
    </row>
    <row r="264">
      <c r="A264" t="inlineStr">
        <is>
          <t>ai.opportunity.attackPoints</t>
        </is>
      </c>
      <c r="B264" t="inlineStr">
        <is>
          <t>opportunity</t>
        </is>
      </c>
      <c r="C264" t="inlineStr">
        <is>
          <t>attackPoints</t>
        </is>
      </c>
      <c r="D264" t="n">
        <v>10</v>
      </c>
      <c r="F264" t="inlineStr">
        <is>
          <t>points</t>
        </is>
      </c>
      <c r="G264" t="inlineStr">
        <is>
          <t>nguong</t>
        </is>
      </c>
      <c r="H264" t="inlineStr">
        <is>
          <t>06</t>
        </is>
      </c>
      <c r="I264" t="inlineStr">
        <is>
          <t>Opportunity.AttackPoints (AI MASTER P4)</t>
        </is>
      </c>
      <c r="J264" t="inlineStr">
        <is>
          <t>Assets/MachineBrigade/Resources/Data/tunables.json: ai.opportunity.attackPoints</t>
        </is>
      </c>
      <c r="K264" t="inlineStr">
        <is>
          <t>{"value":10.0,"unit":"points","kind":"nguong","linh_vuc":"06","code":"Opportunity.AttackPoints (AI MASTER P4)"}</t>
        </is>
      </c>
    </row>
    <row r="265">
      <c r="A265" t="inlineStr">
        <is>
          <t>ai.opportunity.exposedRadius</t>
        </is>
      </c>
      <c r="B265" t="inlineStr">
        <is>
          <t>opportunity</t>
        </is>
      </c>
      <c r="C265" t="inlineStr">
        <is>
          <t>exposedRadius</t>
        </is>
      </c>
      <c r="D265" t="n">
        <v>35</v>
      </c>
      <c r="F265" t="inlineStr">
        <is>
          <t>m</t>
        </is>
      </c>
      <c r="G265" t="inlineStr">
        <is>
          <t>ban_kinh</t>
        </is>
      </c>
      <c r="H265" t="inlineStr">
        <is>
          <t>06</t>
        </is>
      </c>
      <c r="I265" t="inlineStr">
        <is>
          <t>Opportunity.ExposedRadius (AI MASTER P4)</t>
        </is>
      </c>
      <c r="J265" t="inlineStr">
        <is>
          <t>Assets/MachineBrigade/Resources/Data/tunables.json: ai.opportunity.exposedRadius</t>
        </is>
      </c>
      <c r="K265" t="inlineStr">
        <is>
          <t>{"value":35.0,"unit":"m","kind":"ban_kinh","linh_vuc":"06","code":"Opportunity.ExposedRadius (AI MASTER P4)"}</t>
        </is>
      </c>
    </row>
    <row r="266">
      <c r="A266" t="inlineStr">
        <is>
          <t>ai.opportunity.gateS</t>
        </is>
      </c>
      <c r="B266" t="inlineStr">
        <is>
          <t>opportunity</t>
        </is>
      </c>
      <c r="C266" t="inlineStr">
        <is>
          <t>gateS</t>
        </is>
      </c>
      <c r="D266" t="n">
        <v>10</v>
      </c>
      <c r="F266" t="inlineStr">
        <is>
          <t>s</t>
        </is>
      </c>
      <c r="G266" t="inlineStr">
        <is>
          <t>thoi_gian</t>
        </is>
      </c>
      <c r="H266" t="inlineStr">
        <is>
          <t>06</t>
        </is>
      </c>
      <c r="I266" t="inlineStr">
        <is>
          <t>Opportunity.GateS (AI MASTER P4)</t>
        </is>
      </c>
      <c r="J266" t="inlineStr">
        <is>
          <t>Assets/MachineBrigade/Resources/Data/tunables.json: ai.opportunity.gateS</t>
        </is>
      </c>
      <c r="K266" t="inlineStr">
        <is>
          <t>{"value":10.0,"unit":"s","kind":"thoi_gian","linh_vuc":"06","code":"Opportunity.GateS (AI MASTER P4)"}</t>
        </is>
      </c>
    </row>
    <row r="267">
      <c r="A267" t="inlineStr">
        <is>
          <t>ai.opportunity.mainFarDistance</t>
        </is>
      </c>
      <c r="B267" t="inlineStr">
        <is>
          <t>opportunity</t>
        </is>
      </c>
      <c r="C267" t="inlineStr">
        <is>
          <t>mainFarDistance</t>
        </is>
      </c>
      <c r="D267" t="n">
        <v>120</v>
      </c>
      <c r="F267" t="inlineStr">
        <is>
          <t>m</t>
        </is>
      </c>
      <c r="G267" t="inlineStr">
        <is>
          <t>ban_kinh</t>
        </is>
      </c>
      <c r="H267" t="inlineStr">
        <is>
          <t>06</t>
        </is>
      </c>
      <c r="I267" t="inlineStr">
        <is>
          <t>Opportunity.MainFarDistance (AI MASTER P4)</t>
        </is>
      </c>
      <c r="J267" t="inlineStr">
        <is>
          <t>Assets/MachineBrigade/Resources/Data/tunables.json: ai.opportunity.mainFarDistance</t>
        </is>
      </c>
      <c r="K267" t="inlineStr">
        <is>
          <t>{"value":120.0,"unit":"m","kind":"ban_kinh","linh_vuc":"06","code":"Opportunity.MainFarDistance (AI MASTER P4)"}</t>
        </is>
      </c>
    </row>
    <row r="268">
      <c r="A268" t="inlineStr">
        <is>
          <t>ai.opportunity.mainFarS</t>
        </is>
      </c>
      <c r="B268" t="inlineStr">
        <is>
          <t>opportunity</t>
        </is>
      </c>
      <c r="C268" t="inlineStr">
        <is>
          <t>mainFarS</t>
        </is>
      </c>
      <c r="D268" t="n">
        <v>10</v>
      </c>
      <c r="F268" t="inlineStr">
        <is>
          <t>s</t>
        </is>
      </c>
      <c r="G268" t="inlineStr">
        <is>
          <t>thoi_gian</t>
        </is>
      </c>
      <c r="H268" t="inlineStr">
        <is>
          <t>06</t>
        </is>
      </c>
      <c r="I268" t="inlineStr">
        <is>
          <t>Opportunity.MainFarS (AI MASTER P4)</t>
        </is>
      </c>
      <c r="J268" t="inlineStr">
        <is>
          <t>Assets/MachineBrigade/Resources/Data/tunables.json: ai.opportunity.mainFarS</t>
        </is>
      </c>
      <c r="K268" t="inlineStr">
        <is>
          <t>{"value":10.0,"unit":"s","kind":"thoi_gian","linh_vuc":"06","code":"Opportunity.MainFarS (AI MASTER P4)"}</t>
        </is>
      </c>
    </row>
    <row r="269">
      <c r="A269" t="inlineStr">
        <is>
          <t>ai.opportunity.partDownS</t>
        </is>
      </c>
      <c r="B269" t="inlineStr">
        <is>
          <t>opportunity</t>
        </is>
      </c>
      <c r="C269" t="inlineStr">
        <is>
          <t>partDownS</t>
        </is>
      </c>
      <c r="D269" t="n">
        <v>12</v>
      </c>
      <c r="F269" t="inlineStr">
        <is>
          <t>s</t>
        </is>
      </c>
      <c r="G269" t="inlineStr">
        <is>
          <t>thoi_gian</t>
        </is>
      </c>
      <c r="H269" t="inlineStr">
        <is>
          <t>06</t>
        </is>
      </c>
      <c r="I269" t="inlineStr">
        <is>
          <t>Opportunity.PartDownS (AI MASTER P4)</t>
        </is>
      </c>
      <c r="J269" t="inlineStr">
        <is>
          <t>Assets/MachineBrigade/Resources/Data/tunables.json: ai.opportunity.partDownS</t>
        </is>
      </c>
      <c r="K269" t="inlineStr">
        <is>
          <t>{"value":12.0,"unit":"s","kind":"thoi_gian","linh_vuc":"06","code":"Opportunity.PartDownS (AI MASTER P4)"}</t>
        </is>
      </c>
    </row>
    <row r="270">
      <c r="A270" t="inlineStr">
        <is>
          <t>ai.opportunity.planGain</t>
        </is>
      </c>
      <c r="B270" t="inlineStr">
        <is>
          <t>opportunity</t>
        </is>
      </c>
      <c r="C270" t="inlineStr">
        <is>
          <t>planGain</t>
        </is>
      </c>
      <c r="D270" t="n">
        <v>10</v>
      </c>
      <c r="F270" t="inlineStr">
        <is>
          <t>points</t>
        </is>
      </c>
      <c r="G270" t="inlineStr">
        <is>
          <t>nguong</t>
        </is>
      </c>
      <c r="H270" t="inlineStr">
        <is>
          <t>06</t>
        </is>
      </c>
      <c r="I270" t="inlineStr">
        <is>
          <t>Opportunity.PlanGain (AI MASTER P4)</t>
        </is>
      </c>
      <c r="J270" t="inlineStr">
        <is>
          <t>Assets/MachineBrigade/Resources/Data/tunables.json: ai.opportunity.planGain</t>
        </is>
      </c>
      <c r="K270" t="inlineStr">
        <is>
          <t>{"value":10.0,"unit":"points","kind":"nguong","linh_vuc":"06","code":"Opportunity.PlanGain (AI MASTER P4)"}</t>
        </is>
      </c>
    </row>
    <row r="271">
      <c r="A271" t="inlineStr">
        <is>
          <t>ai.opportunity.redeployDrop</t>
        </is>
      </c>
      <c r="B271" t="inlineStr">
        <is>
          <t>opportunity</t>
        </is>
      </c>
      <c r="C271" t="inlineStr">
        <is>
          <t>redeployDrop</t>
        </is>
      </c>
      <c r="D271" t="n">
        <v>0.4</v>
      </c>
      <c r="F271" t="inlineStr">
        <is>
          <t>share</t>
        </is>
      </c>
      <c r="G271" t="inlineStr">
        <is>
          <t>nguong</t>
        </is>
      </c>
      <c r="H271" t="inlineStr">
        <is>
          <t>06</t>
        </is>
      </c>
      <c r="I271" t="inlineStr">
        <is>
          <t>Opportunity.RedeployDrop (AI MASTER P4)</t>
        </is>
      </c>
      <c r="J271" t="inlineStr">
        <is>
          <t>Assets/MachineBrigade/Resources/Data/tunables.json: ai.opportunity.redeployDrop</t>
        </is>
      </c>
      <c r="K271" t="inlineStr">
        <is>
          <t>{"value":0.4,"unit":"share","kind":"nguong","linh_vuc":"06","code":"Opportunity.RedeployDrop (AI MASTER P4)"}</t>
        </is>
      </c>
    </row>
    <row r="272">
      <c r="A272" t="inlineStr">
        <is>
          <t>ai.opportunity.redeployS</t>
        </is>
      </c>
      <c r="B272" t="inlineStr">
        <is>
          <t>opportunity</t>
        </is>
      </c>
      <c r="C272" t="inlineStr">
        <is>
          <t>redeployS</t>
        </is>
      </c>
      <c r="D272" t="n">
        <v>10</v>
      </c>
      <c r="F272" t="inlineStr">
        <is>
          <t>s</t>
        </is>
      </c>
      <c r="G272" t="inlineStr">
        <is>
          <t>thoi_gian</t>
        </is>
      </c>
      <c r="H272" t="inlineStr">
        <is>
          <t>06</t>
        </is>
      </c>
      <c r="I272" t="inlineStr">
        <is>
          <t>Opportunity.RedeployS (AI MASTER P4)</t>
        </is>
      </c>
      <c r="J272" t="inlineStr">
        <is>
          <t>Assets/MachineBrigade/Resources/Data/tunables.json: ai.opportunity.redeployS</t>
        </is>
      </c>
      <c r="K272" t="inlineStr">
        <is>
          <t>{"value":10.0,"unit":"s","kind":"thoi_gian","linh_vuc":"06","code":"Opportunity.RedeployS (AI MASTER P4)"}</t>
        </is>
      </c>
    </row>
    <row r="273">
      <c r="A273" t="inlineStr">
        <is>
          <t>ai.ownership.airClaimS</t>
        </is>
      </c>
      <c r="B273" t="inlineStr">
        <is>
          <t>ownership</t>
        </is>
      </c>
      <c r="C273" t="inlineStr">
        <is>
          <t>airClaimS</t>
        </is>
      </c>
      <c r="D273" t="n">
        <v>3</v>
      </c>
      <c r="F273" t="inlineStr">
        <is>
          <t>s</t>
        </is>
      </c>
      <c r="G273" t="inlineStr">
        <is>
          <t>thoi_gian</t>
        </is>
      </c>
      <c r="H273" t="inlineStr">
        <is>
          <t>06</t>
        </is>
      </c>
      <c r="I273" t="inlineStr">
        <is>
          <t>Ownership.AirClaimS (AI MASTER P4)</t>
        </is>
      </c>
      <c r="J273" t="inlineStr">
        <is>
          <t>Assets/MachineBrigade/Resources/Data/tunables.json: ai.ownership.airClaimS</t>
        </is>
      </c>
      <c r="K273" t="inlineStr">
        <is>
          <t>{"value":3.0,"unit":"s","kind":"thoi_gian","linh_vuc":"06","code":"Ownership.AirClaimS (AI MASTER P4)"}</t>
        </is>
      </c>
    </row>
    <row r="274">
      <c r="A274" t="inlineStr">
        <is>
          <t>ai.ownership.missionClaimS</t>
        </is>
      </c>
      <c r="B274" t="inlineStr">
        <is>
          <t>ownership</t>
        </is>
      </c>
      <c r="C274" t="inlineStr">
        <is>
          <t>missionClaimS</t>
        </is>
      </c>
      <c r="D274" t="n">
        <v>10</v>
      </c>
      <c r="F274" t="inlineStr">
        <is>
          <t>s</t>
        </is>
      </c>
      <c r="G274" t="inlineStr">
        <is>
          <t>thoi_gian</t>
        </is>
      </c>
      <c r="H274" t="inlineStr">
        <is>
          <t>06</t>
        </is>
      </c>
      <c r="I274" t="inlineStr">
        <is>
          <t>Ownership.MissionClaimS (AI MASTER P4)</t>
        </is>
      </c>
      <c r="J274" t="inlineStr">
        <is>
          <t>Assets/MachineBrigade/Resources/Data/tunables.json: ai.ownership.missionClaimS</t>
        </is>
      </c>
      <c r="K274" t="inlineStr">
        <is>
          <t>{"value":10.0,"unit":"s","kind":"thoi_gian","linh_vuc":"06","code":"Ownership.MissionClaimS (AI MASTER P4)"}</t>
        </is>
      </c>
    </row>
    <row r="275">
      <c r="A275" t="inlineStr">
        <is>
          <t>ai.ownership.scootClaimS</t>
        </is>
      </c>
      <c r="B275" t="inlineStr">
        <is>
          <t>ownership</t>
        </is>
      </c>
      <c r="C275" t="inlineStr">
        <is>
          <t>scootClaimS</t>
        </is>
      </c>
      <c r="D275" t="n">
        <v>8</v>
      </c>
      <c r="F275" t="inlineStr">
        <is>
          <t>s</t>
        </is>
      </c>
      <c r="G275" t="inlineStr">
        <is>
          <t>thoi_gian</t>
        </is>
      </c>
      <c r="H275" t="inlineStr">
        <is>
          <t>06</t>
        </is>
      </c>
      <c r="I275" t="inlineStr">
        <is>
          <t>Ownership.ScootClaimS (AI MASTER P4)</t>
        </is>
      </c>
      <c r="J275" t="inlineStr">
        <is>
          <t>Assets/MachineBrigade/Resources/Data/tunables.json: ai.ownership.scootClaimS</t>
        </is>
      </c>
      <c r="K275" t="inlineStr">
        <is>
          <t>{"value":8.0,"unit":"s","kind":"thoi_gian","linh_vuc":"06","code":"Ownership.ScootClaimS (AI MASTER P4)"}</t>
        </is>
      </c>
    </row>
    <row r="276">
      <c r="A276" t="inlineStr">
        <is>
          <t>ai.packageAbort.clusterShift</t>
        </is>
      </c>
      <c r="B276" t="inlineStr">
        <is>
          <t>packageAbort</t>
        </is>
      </c>
      <c r="C276" t="inlineStr">
        <is>
          <t>clusterShift</t>
        </is>
      </c>
      <c r="D276" t="n">
        <v>25</v>
      </c>
      <c r="F276" t="inlineStr">
        <is>
          <t>m</t>
        </is>
      </c>
      <c r="G276" t="inlineStr">
        <is>
          <t>ban_kinh</t>
        </is>
      </c>
      <c r="H276" t="inlineStr">
        <is>
          <t>06</t>
        </is>
      </c>
      <c r="I276" t="inlineStr">
        <is>
          <t>PackageAbort.ClusterShift (AI MASTER P4)</t>
        </is>
      </c>
      <c r="J276" t="inlineStr">
        <is>
          <t>Assets/MachineBrigade/Resources/Data/tunables.json: ai.packageAbort.clusterShift</t>
        </is>
      </c>
      <c r="K276" t="inlineStr">
        <is>
          <t>{"value":25.0,"unit":"m","kind":"ban_kinh","linh_vuc":"06","code":"PackageAbort.ClusterShift (AI MASTER P4)"}</t>
        </is>
      </c>
    </row>
    <row r="277">
      <c r="A277" t="inlineStr">
        <is>
          <t>ai.packageAbort.enemyRise</t>
        </is>
      </c>
      <c r="B277" t="inlineStr">
        <is>
          <t>packageAbort</t>
        </is>
      </c>
      <c r="C277" t="inlineStr">
        <is>
          <t>enemyRise</t>
        </is>
      </c>
      <c r="D277" t="n">
        <v>1.5</v>
      </c>
      <c r="F277" t="inlineStr">
        <is>
          <t>x</t>
        </is>
      </c>
      <c r="G277" t="inlineStr">
        <is>
          <t>nguong</t>
        </is>
      </c>
      <c r="H277" t="inlineStr">
        <is>
          <t>06</t>
        </is>
      </c>
      <c r="I277" t="inlineStr">
        <is>
          <t>PackageAbort.EnemyRise (AI MASTER P4)</t>
        </is>
      </c>
      <c r="J277" t="inlineStr">
        <is>
          <t>Assets/MachineBrigade/Resources/Data/tunables.json: ai.packageAbort.enemyRise</t>
        </is>
      </c>
      <c r="K277" t="inlineStr">
        <is>
          <t>{"value":1.5,"unit":"x","kind":"nguong","linh_vuc":"06","code":"PackageAbort.EnemyRise (AI MASTER P4)"}</t>
        </is>
      </c>
    </row>
    <row r="278">
      <c r="A278" t="inlineStr">
        <is>
          <t>ai.packageAbort.lethalWarningPad</t>
        </is>
      </c>
      <c r="B278" t="inlineStr">
        <is>
          <t>packageAbort</t>
        </is>
      </c>
      <c r="C278" t="inlineStr">
        <is>
          <t>lethalWarningPad</t>
        </is>
      </c>
      <c r="D278" t="n">
        <v>8</v>
      </c>
      <c r="F278" t="inlineStr">
        <is>
          <t>m</t>
        </is>
      </c>
      <c r="G278" t="inlineStr">
        <is>
          <t>ban_kinh</t>
        </is>
      </c>
      <c r="H278" t="inlineStr">
        <is>
          <t>06</t>
        </is>
      </c>
      <c r="I278" t="inlineStr">
        <is>
          <t>PackageAbort.LethalWarningPad (AI MASTER P4)</t>
        </is>
      </c>
      <c r="J278" t="inlineStr">
        <is>
          <t>Assets/MachineBrigade/Resources/Data/tunables.json: ai.packageAbort.lethalWarningPad</t>
        </is>
      </c>
      <c r="K278" t="inlineStr">
        <is>
          <t>{"value":8.0,"unit":"m","kind":"ban_kinh","linh_vuc":"06","code":"PackageAbort.LethalWarningPad (AI MASTER P4)"}</t>
        </is>
      </c>
    </row>
    <row r="279">
      <c r="A279" t="inlineStr">
        <is>
          <t>ai.planning.congestionWeight</t>
        </is>
      </c>
      <c r="B279" t="inlineStr">
        <is>
          <t>planning</t>
        </is>
      </c>
      <c r="C279" t="inlineStr">
        <is>
          <t>congestionWeight</t>
        </is>
      </c>
      <c r="D279" t="n">
        <v>4</v>
      </c>
      <c r="F279" t="inlineStr">
        <is>
          <t>points</t>
        </is>
      </c>
      <c r="G279" t="inlineStr">
        <is>
          <t>nguong</t>
        </is>
      </c>
      <c r="H279" t="inlineStr">
        <is>
          <t>06</t>
        </is>
      </c>
      <c r="I279" t="inlineStr">
        <is>
          <t>Planning.CongestionWeight (AI MASTER P4)</t>
        </is>
      </c>
      <c r="J279" t="inlineStr">
        <is>
          <t>Assets/MachineBrigade/Resources/Data/tunables.json: ai.planning.congestionWeight</t>
        </is>
      </c>
      <c r="K279" t="inlineStr">
        <is>
          <t>{"value":4.0,"unit":"points","kind":"nguong","linh_vuc":"06","code":"Planning.CongestionWeight (AI MASTER P4)"}</t>
        </is>
      </c>
    </row>
    <row r="280">
      <c r="A280" t="inlineStr">
        <is>
          <t>ai.planning.delayCostPerS</t>
        </is>
      </c>
      <c r="B280" t="inlineStr">
        <is>
          <t>planning</t>
        </is>
      </c>
      <c r="C280" t="inlineStr">
        <is>
          <t>delayCostPerS</t>
        </is>
      </c>
      <c r="D280" t="n">
        <v>0.6</v>
      </c>
      <c r="F280" t="inlineStr">
        <is>
          <t>points</t>
        </is>
      </c>
      <c r="G280" t="inlineStr">
        <is>
          <t>nguong</t>
        </is>
      </c>
      <c r="H280" t="inlineStr">
        <is>
          <t>06</t>
        </is>
      </c>
      <c r="I280" t="inlineStr">
        <is>
          <t>Planning.DelayCostPerS (AI MASTER P4)</t>
        </is>
      </c>
      <c r="J280" t="inlineStr">
        <is>
          <t>Assets/MachineBrigade/Resources/Data/tunables.json: ai.planning.delayCostPerS</t>
        </is>
      </c>
      <c r="K280" t="inlineStr">
        <is>
          <t>{"value":0.6,"unit":"points","kind":"nguong","linh_vuc":"06","code":"Planning.DelayCostPerS (AI MASTER P4)"}</t>
        </is>
      </c>
    </row>
    <row r="281">
      <c r="A281" t="inlineStr">
        <is>
          <t>ai.planning.depthByLevel</t>
        </is>
      </c>
      <c r="B281" t="inlineStr">
        <is>
          <t>planning</t>
        </is>
      </c>
      <c r="C281" t="inlineStr">
        <is>
          <t>depthByLevel</t>
        </is>
      </c>
      <c r="E281" t="inlineStr">
        <is>
          <t>1;1;2;2</t>
        </is>
      </c>
      <c r="F281" t="inlineStr">
        <is>
          <t>count</t>
        </is>
      </c>
      <c r="G281" t="inlineStr">
        <is>
          <t>nguong</t>
        </is>
      </c>
      <c r="H281" t="inlineStr">
        <is>
          <t>06</t>
        </is>
      </c>
      <c r="I281" t="inlineStr">
        <is>
          <t>Planning.DepthByLevel (AI MASTER P4)</t>
        </is>
      </c>
      <c r="J281" t="inlineStr">
        <is>
          <t>Assets/MachineBrigade/Resources/Data/tunables.json: ai.planning.depthByLevel</t>
        </is>
      </c>
      <c r="K281" t="inlineStr">
        <is>
          <t>{"value":[1,1,2,2],"unit":"count","kind":"nguong","linh_vuc":"06","code":"Planning.DepthByLevel (AI MASTER P4)"}</t>
        </is>
      </c>
    </row>
    <row r="282">
      <c r="A282" t="inlineStr">
        <is>
          <t>ai.planning.enabled</t>
        </is>
      </c>
      <c r="B282" t="inlineStr">
        <is>
          <t>planning</t>
        </is>
      </c>
      <c r="C282" t="inlineStr">
        <is>
          <t>enabled</t>
        </is>
      </c>
      <c r="D282" t="b">
        <v>1</v>
      </c>
      <c r="F282" t="inlineStr">
        <is>
          <t>flag</t>
        </is>
      </c>
      <c r="G282" t="inlineStr">
        <is>
          <t>khac</t>
        </is>
      </c>
      <c r="H282" t="inlineStr">
        <is>
          <t>06</t>
        </is>
      </c>
      <c r="I282" t="inlineStr">
        <is>
          <t>Planning.Enabled (AI MASTER P4)</t>
        </is>
      </c>
      <c r="J282" t="inlineStr">
        <is>
          <t>Assets/MachineBrigade/Resources/Data/tunables.json: ai.planning.enabled</t>
        </is>
      </c>
      <c r="K282" t="inlineStr">
        <is>
          <t>{"value":true,"unit":"flag","kind":"khac","linh_vuc":"06","code":"Planning.Enabled (AI MASTER P4)"}</t>
        </is>
      </c>
    </row>
    <row r="283">
      <c r="A283" t="inlineStr">
        <is>
          <t>ai.planning.enemyLossWeight</t>
        </is>
      </c>
      <c r="B283" t="inlineStr">
        <is>
          <t>planning</t>
        </is>
      </c>
      <c r="C283" t="inlineStr">
        <is>
          <t>enemyLossWeight</t>
        </is>
      </c>
      <c r="D283" t="n">
        <v>1</v>
      </c>
      <c r="F283" t="inlineStr">
        <is>
          <t>x</t>
        </is>
      </c>
      <c r="G283" t="inlineStr">
        <is>
          <t>nguong</t>
        </is>
      </c>
      <c r="H283" t="inlineStr">
        <is>
          <t>06</t>
        </is>
      </c>
      <c r="I283" t="inlineStr">
        <is>
          <t>Planning.EnemyLossWeight (AI MASTER P4)</t>
        </is>
      </c>
      <c r="J283" t="inlineStr">
        <is>
          <t>Assets/MachineBrigade/Resources/Data/tunables.json: ai.planning.enemyLossWeight</t>
        </is>
      </c>
      <c r="K283" t="inlineStr">
        <is>
          <t>{"value":1.0,"unit":"x","kind":"nguong","linh_vuc":"06","code":"Planning.EnemyLossWeight (AI MASTER P4)"}</t>
        </is>
      </c>
    </row>
    <row r="284">
      <c r="A284" t="inlineStr">
        <is>
          <t>ai.planning.flankDpsBonus</t>
        </is>
      </c>
      <c r="B284" t="inlineStr">
        <is>
          <t>planning</t>
        </is>
      </c>
      <c r="C284" t="inlineStr">
        <is>
          <t>flankDpsBonus</t>
        </is>
      </c>
      <c r="D284" t="n">
        <v>1.25</v>
      </c>
      <c r="F284" t="inlineStr">
        <is>
          <t>x</t>
        </is>
      </c>
      <c r="G284" t="inlineStr">
        <is>
          <t>nguong</t>
        </is>
      </c>
      <c r="H284" t="inlineStr">
        <is>
          <t>06</t>
        </is>
      </c>
      <c r="I284" t="inlineStr">
        <is>
          <t>Planning.FlankDpsBonus (AI MASTER P4)</t>
        </is>
      </c>
      <c r="J284" t="inlineStr">
        <is>
          <t>Assets/MachineBrigade/Resources/Data/tunables.json: ai.planning.flankDpsBonus</t>
        </is>
      </c>
      <c r="K284" t="inlineStr">
        <is>
          <t>{"value":1.25,"unit":"x","kind":"nguong","linh_vuc":"06","code":"Planning.FlankDpsBonus (AI MASTER P4)"}</t>
        </is>
      </c>
    </row>
    <row r="285">
      <c r="A285" t="inlineStr">
        <is>
          <t>ai.planning.flankEnemyUptime</t>
        </is>
      </c>
      <c r="B285" t="inlineStr">
        <is>
          <t>planning</t>
        </is>
      </c>
      <c r="C285" t="inlineStr">
        <is>
          <t>flankEnemyUptime</t>
        </is>
      </c>
      <c r="D285" t="n">
        <v>0.6</v>
      </c>
      <c r="F285" t="inlineStr">
        <is>
          <t>share</t>
        </is>
      </c>
      <c r="G285" t="inlineStr">
        <is>
          <t>nguong</t>
        </is>
      </c>
      <c r="H285" t="inlineStr">
        <is>
          <t>06</t>
        </is>
      </c>
      <c r="I285" t="inlineStr">
        <is>
          <t>Planning.FlankEnemyUptime (AI MASTER P4)</t>
        </is>
      </c>
      <c r="J285" t="inlineStr">
        <is>
          <t>Assets/MachineBrigade/Resources/Data/tunables.json: ai.planning.flankEnemyUptime</t>
        </is>
      </c>
      <c r="K285" t="inlineStr">
        <is>
          <t>{"value":0.6,"unit":"share","kind":"nguong","linh_vuc":"06","code":"Planning.FlankEnemyUptime (AI MASTER P4)"}</t>
        </is>
      </c>
    </row>
    <row r="286">
      <c r="A286" t="inlineStr">
        <is>
          <t>ai.planning.friendlyLossWeight</t>
        </is>
      </c>
      <c r="B286" t="inlineStr">
        <is>
          <t>planning</t>
        </is>
      </c>
      <c r="C286" t="inlineStr">
        <is>
          <t>friendlyLossWeight</t>
        </is>
      </c>
      <c r="D286" t="n">
        <v>1.2</v>
      </c>
      <c r="F286" t="inlineStr">
        <is>
          <t>x</t>
        </is>
      </c>
      <c r="G286" t="inlineStr">
        <is>
          <t>nguong</t>
        </is>
      </c>
      <c r="H286" t="inlineStr">
        <is>
          <t>06</t>
        </is>
      </c>
      <c r="I286" t="inlineStr">
        <is>
          <t>Planning.FriendlyLossWeight (AI MASTER P4)</t>
        </is>
      </c>
      <c r="J286" t="inlineStr">
        <is>
          <t>Assets/MachineBrigade/Resources/Data/tunables.json: ai.planning.friendlyLossWeight</t>
        </is>
      </c>
      <c r="K286" t="inlineStr">
        <is>
          <t>{"value":1.2,"unit":"x","kind":"nguong","linh_vuc":"06","code":"Planning.FriendlyLossWeight (AI MASTER P4)"}</t>
        </is>
      </c>
    </row>
    <row r="287">
      <c r="A287" t="inlineStr">
        <is>
          <t>ai.planning.holdPowerFloor</t>
        </is>
      </c>
      <c r="B287" t="inlineStr">
        <is>
          <t>planning</t>
        </is>
      </c>
      <c r="C287" t="inlineStr">
        <is>
          <t>holdPowerFloor</t>
        </is>
      </c>
      <c r="D287" t="n">
        <v>0.35</v>
      </c>
      <c r="F287" t="inlineStr">
        <is>
          <t>share</t>
        </is>
      </c>
      <c r="G287" t="inlineStr">
        <is>
          <t>nguong</t>
        </is>
      </c>
      <c r="H287" t="inlineStr">
        <is>
          <t>06</t>
        </is>
      </c>
      <c r="I287" t="inlineStr">
        <is>
          <t>Planning.HoldPowerFloor (AI MASTER P4)</t>
        </is>
      </c>
      <c r="J287" t="inlineStr">
        <is>
          <t>Assets/MachineBrigade/Resources/Data/tunables.json: ai.planning.holdPowerFloor</t>
        </is>
      </c>
      <c r="K287" t="inlineStr">
        <is>
          <t>{"value":0.35,"unit":"share","kind":"nguong","linh_vuc":"06","code":"Planning.HoldPowerFloor (AI MASTER P4)"}</t>
        </is>
      </c>
    </row>
    <row r="288">
      <c r="A288" t="inlineStr">
        <is>
          <t>ai.planning.objectiveGain</t>
        </is>
      </c>
      <c r="B288" t="inlineStr">
        <is>
          <t>planning</t>
        </is>
      </c>
      <c r="C288" t="inlineStr">
        <is>
          <t>objectiveGain</t>
        </is>
      </c>
      <c r="D288" t="n">
        <v>30</v>
      </c>
      <c r="F288" t="inlineStr">
        <is>
          <t>points</t>
        </is>
      </c>
      <c r="G288" t="inlineStr">
        <is>
          <t>nguong</t>
        </is>
      </c>
      <c r="H288" t="inlineStr">
        <is>
          <t>06</t>
        </is>
      </c>
      <c r="I288" t="inlineStr">
        <is>
          <t>Planning.ObjectiveGain (AI MASTER P4)</t>
        </is>
      </c>
      <c r="J288" t="inlineStr">
        <is>
          <t>Assets/MachineBrigade/Resources/Data/tunables.json: ai.planning.objectiveGain</t>
        </is>
      </c>
      <c r="K288" t="inlineStr">
        <is>
          <t>{"value":30.0,"unit":"points","kind":"nguong","linh_vuc":"06","code":"Planning.ObjectiveGain (AI MASTER P4)"}</t>
        </is>
      </c>
    </row>
    <row r="289">
      <c r="A289" t="inlineStr">
        <is>
          <t>ai.planning.plansByLevel</t>
        </is>
      </c>
      <c r="B289" t="inlineStr">
        <is>
          <t>planning</t>
        </is>
      </c>
      <c r="C289" t="inlineStr">
        <is>
          <t>plansByLevel</t>
        </is>
      </c>
      <c r="E289" t="inlineStr">
        <is>
          <t>1;2;3;4</t>
        </is>
      </c>
      <c r="F289" t="inlineStr">
        <is>
          <t>count</t>
        </is>
      </c>
      <c r="G289" t="inlineStr">
        <is>
          <t>nguong</t>
        </is>
      </c>
      <c r="H289" t="inlineStr">
        <is>
          <t>06</t>
        </is>
      </c>
      <c r="I289" t="inlineStr">
        <is>
          <t>Planning.PlansByLevel (AI MASTER P4)</t>
        </is>
      </c>
      <c r="J289" t="inlineStr">
        <is>
          <t>Assets/MachineBrigade/Resources/Data/tunables.json: ai.planning.plansByLevel</t>
        </is>
      </c>
      <c r="K289" t="inlineStr">
        <is>
          <t>{"value":[1,2,3,4],"unit":"count","kind":"nguong","linh_vuc":"06","code":"Planning.PlansByLevel (AI MASTER P4)"}</t>
        </is>
      </c>
    </row>
    <row r="290">
      <c r="A290" t="inlineStr">
        <is>
          <t>ai.planning.repeatHalfLifeS</t>
        </is>
      </c>
      <c r="B290" t="inlineStr">
        <is>
          <t>planning</t>
        </is>
      </c>
      <c r="C290" t="inlineStr">
        <is>
          <t>repeatHalfLifeS</t>
        </is>
      </c>
      <c r="D290" t="n">
        <v>45</v>
      </c>
      <c r="F290" t="inlineStr">
        <is>
          <t>s</t>
        </is>
      </c>
      <c r="G290" t="inlineStr">
        <is>
          <t>thoi_gian</t>
        </is>
      </c>
      <c r="H290" t="inlineStr">
        <is>
          <t>06</t>
        </is>
      </c>
      <c r="I290" t="inlineStr">
        <is>
          <t>Planning.RepeatHalfLifeS (AI MASTER P4)</t>
        </is>
      </c>
      <c r="J290" t="inlineStr">
        <is>
          <t>Assets/MachineBrigade/Resources/Data/tunables.json: ai.planning.repeatHalfLifeS</t>
        </is>
      </c>
      <c r="K290" t="inlineStr">
        <is>
          <t>{"value":45.0,"unit":"s","kind":"thoi_gian","linh_vuc":"06","code":"Planning.RepeatHalfLifeS (AI MASTER P4)"}</t>
        </is>
      </c>
    </row>
    <row r="291">
      <c r="A291" t="inlineStr">
        <is>
          <t>ai.planning.repeatPenalty</t>
        </is>
      </c>
      <c r="B291" t="inlineStr">
        <is>
          <t>planning</t>
        </is>
      </c>
      <c r="C291" t="inlineStr">
        <is>
          <t>repeatPenalty</t>
        </is>
      </c>
      <c r="E291" t="inlineStr">
        <is>
          <t>0.25;0.5</t>
        </is>
      </c>
      <c r="F291" t="inlineStr">
        <is>
          <t>share</t>
        </is>
      </c>
      <c r="G291" t="inlineStr">
        <is>
          <t>nguong</t>
        </is>
      </c>
      <c r="H291" t="inlineStr">
        <is>
          <t>06</t>
        </is>
      </c>
      <c r="I291" t="inlineStr">
        <is>
          <t>Planning.RepeatPenalty (AI MASTER P4)</t>
        </is>
      </c>
      <c r="J291" t="inlineStr">
        <is>
          <t>Assets/MachineBrigade/Resources/Data/tunables.json: ai.planning.repeatPenalty</t>
        </is>
      </c>
      <c r="K291" t="inlineStr">
        <is>
          <t>{"value":[0.25,0.5],"unit":"share","kind":"nguong","linh_vuc":"06","code":"Planning.RepeatPenalty (AI MASTER P4)"}</t>
        </is>
      </c>
    </row>
    <row r="292">
      <c r="A292" t="inlineStr">
        <is>
          <t>ai.planning.switchMargin</t>
        </is>
      </c>
      <c r="B292" t="inlineStr">
        <is>
          <t>planning</t>
        </is>
      </c>
      <c r="C292" t="inlineStr">
        <is>
          <t>switchMargin</t>
        </is>
      </c>
      <c r="D292" t="n">
        <v>0.1</v>
      </c>
      <c r="F292" t="inlineStr">
        <is>
          <t>share</t>
        </is>
      </c>
      <c r="G292" t="inlineStr">
        <is>
          <t>nguong</t>
        </is>
      </c>
      <c r="H292" t="inlineStr">
        <is>
          <t>06</t>
        </is>
      </c>
      <c r="I292" t="inlineStr">
        <is>
          <t>Planning.SwitchMargin (AI MASTER P4)</t>
        </is>
      </c>
      <c r="J292" t="inlineStr">
        <is>
          <t>Assets/MachineBrigade/Resources/Data/tunables.json: ai.planning.switchMargin</t>
        </is>
      </c>
      <c r="K292" t="inlineStr">
        <is>
          <t>{"value":0.1,"unit":"share","kind":"nguong","linh_vuc":"06","code":"Planning.SwitchMargin (AI MASTER P4)"}</t>
        </is>
      </c>
    </row>
    <row r="293">
      <c r="A293" t="inlineStr">
        <is>
          <t>ai.planning.uncertaintyWeight</t>
        </is>
      </c>
      <c r="B293" t="inlineStr">
        <is>
          <t>planning</t>
        </is>
      </c>
      <c r="C293" t="inlineStr">
        <is>
          <t>uncertaintyWeight</t>
        </is>
      </c>
      <c r="D293" t="n">
        <v>10</v>
      </c>
      <c r="F293" t="inlineStr">
        <is>
          <t>points</t>
        </is>
      </c>
      <c r="G293" t="inlineStr">
        <is>
          <t>nguong</t>
        </is>
      </c>
      <c r="H293" t="inlineStr">
        <is>
          <t>06</t>
        </is>
      </c>
      <c r="I293" t="inlineStr">
        <is>
          <t>Planning.UncertaintyWeight (AI MASTER P4)</t>
        </is>
      </c>
      <c r="J293" t="inlineStr">
        <is>
          <t>Assets/MachineBrigade/Resources/Data/tunables.json: ai.planning.uncertaintyWeight</t>
        </is>
      </c>
      <c r="K293" t="inlineStr">
        <is>
          <t>{"value":10.0,"unit":"points","kind":"nguong","linh_vuc":"06","code":"Planning.UncertaintyWeight (AI MASTER P4)"}</t>
        </is>
      </c>
    </row>
    <row r="294">
      <c r="A294" t="inlineStr">
        <is>
          <t>ai.planning.waitArtilleryS</t>
        </is>
      </c>
      <c r="B294" t="inlineStr">
        <is>
          <t>planning</t>
        </is>
      </c>
      <c r="C294" t="inlineStr">
        <is>
          <t>waitArtilleryS</t>
        </is>
      </c>
      <c r="D294" t="n">
        <v>4</v>
      </c>
      <c r="F294" t="inlineStr">
        <is>
          <t>s</t>
        </is>
      </c>
      <c r="G294" t="inlineStr">
        <is>
          <t>thoi_gian</t>
        </is>
      </c>
      <c r="H294" t="inlineStr">
        <is>
          <t>06</t>
        </is>
      </c>
      <c r="I294" t="inlineStr">
        <is>
          <t>Planning.WaitArtilleryS (AI MASTER P4)</t>
        </is>
      </c>
      <c r="J294" t="inlineStr">
        <is>
          <t>Assets/MachineBrigade/Resources/Data/tunables.json: ai.planning.waitArtilleryS</t>
        </is>
      </c>
      <c r="K294" t="inlineStr">
        <is>
          <t>{"value":4.0,"unit":"s","kind":"thoi_gian","linh_vuc":"06","code":"Planning.WaitArtilleryS (AI MASTER P4)"}</t>
        </is>
      </c>
    </row>
    <row r="295">
      <c r="A295" t="inlineStr">
        <is>
          <t>ai.position.hullDownConeDeg</t>
        </is>
      </c>
      <c r="B295" t="inlineStr">
        <is>
          <t>position</t>
        </is>
      </c>
      <c r="C295" t="inlineStr">
        <is>
          <t>hullDownConeDeg</t>
        </is>
      </c>
      <c r="D295" t="n">
        <v>35</v>
      </c>
      <c r="F295" t="inlineStr">
        <is>
          <t>deg</t>
        </is>
      </c>
      <c r="G295" t="inlineStr">
        <is>
          <t>khac</t>
        </is>
      </c>
      <c r="H295" t="inlineStr">
        <is>
          <t>06</t>
        </is>
      </c>
      <c r="I295" t="inlineStr">
        <is>
          <t>Position.HullDownConeDeg (AI MASTER P2)</t>
        </is>
      </c>
      <c r="J295" t="inlineStr">
        <is>
          <t>Assets/MachineBrigade/Resources/Data/tunables.json: ai.position.hullDownConeDeg</t>
        </is>
      </c>
      <c r="K295" t="inlineStr">
        <is>
          <t>{"value":35.0,"unit":"deg","kind":"khac","linh_vuc":"06","code":"Position.HullDownConeDeg (AI MASTER P2)"}</t>
        </is>
      </c>
    </row>
    <row r="296">
      <c r="A296" t="inlineStr">
        <is>
          <t>ai.position.hullDownMax</t>
        </is>
      </c>
      <c r="B296" t="inlineStr">
        <is>
          <t>position</t>
        </is>
      </c>
      <c r="C296" t="inlineStr">
        <is>
          <t>hullDownMax</t>
        </is>
      </c>
      <c r="D296" t="n">
        <v>7</v>
      </c>
      <c r="F296" t="inlineStr">
        <is>
          <t>m</t>
        </is>
      </c>
      <c r="G296" t="inlineStr">
        <is>
          <t>ban_kinh</t>
        </is>
      </c>
      <c r="H296" t="inlineStr">
        <is>
          <t>06</t>
        </is>
      </c>
      <c r="I296" t="inlineStr">
        <is>
          <t>Position.HullDownMax (AI MASTER P2)</t>
        </is>
      </c>
      <c r="J296" t="inlineStr">
        <is>
          <t>Assets/MachineBrigade/Resources/Data/tunables.json: ai.position.hullDownMax</t>
        </is>
      </c>
      <c r="K296" t="inlineStr">
        <is>
          <t>{"value":7.0,"unit":"m","kind":"ban_kinh","linh_vuc":"06","code":"Position.HullDownMax (AI MASTER P2)"}</t>
        </is>
      </c>
    </row>
    <row r="297">
      <c r="A297" t="inlineStr">
        <is>
          <t>ai.position.hullDownMin</t>
        </is>
      </c>
      <c r="B297" t="inlineStr">
        <is>
          <t>position</t>
        </is>
      </c>
      <c r="C297" t="inlineStr">
        <is>
          <t>hullDownMin</t>
        </is>
      </c>
      <c r="D297" t="n">
        <v>1.5</v>
      </c>
      <c r="F297" t="inlineStr">
        <is>
          <t>m</t>
        </is>
      </c>
      <c r="G297" t="inlineStr">
        <is>
          <t>ban_kinh</t>
        </is>
      </c>
      <c r="H297" t="inlineStr">
        <is>
          <t>06</t>
        </is>
      </c>
      <c r="I297" t="inlineStr">
        <is>
          <t>Position.HullDownMin (AI MASTER P2)</t>
        </is>
      </c>
      <c r="J297" t="inlineStr">
        <is>
          <t>Assets/MachineBrigade/Resources/Data/tunables.json: ai.position.hullDownMin</t>
        </is>
      </c>
      <c r="K297" t="inlineStr">
        <is>
          <t>{"value":1.5,"unit":"m","kind":"ban_kinh","linh_vuc":"06","code":"Position.HullDownMin (AI MASTER P2)"}</t>
        </is>
      </c>
    </row>
    <row r="298">
      <c r="A298" t="inlineStr">
        <is>
          <t>ai.position.reserveRadius</t>
        </is>
      </c>
      <c r="B298" t="inlineStr">
        <is>
          <t>position</t>
        </is>
      </c>
      <c r="C298" t="inlineStr">
        <is>
          <t>reserveRadius</t>
        </is>
      </c>
      <c r="D298" t="n">
        <v>4</v>
      </c>
      <c r="F298" t="inlineStr">
        <is>
          <t>m</t>
        </is>
      </c>
      <c r="G298" t="inlineStr">
        <is>
          <t>ban_kinh</t>
        </is>
      </c>
      <c r="H298" t="inlineStr">
        <is>
          <t>06</t>
        </is>
      </c>
      <c r="I298" t="inlineStr">
        <is>
          <t>Position.ReserveRadius (AI MASTER P2)</t>
        </is>
      </c>
      <c r="J298" t="inlineStr">
        <is>
          <t>Assets/MachineBrigade/Resources/Data/tunables.json: ai.position.reserveRadius</t>
        </is>
      </c>
      <c r="K298" t="inlineStr">
        <is>
          <t>{"value":4.0,"unit":"m","kind":"ban_kinh","linh_vuc":"06","code":"Position.ReserveRadius (AI MASTER P2)"}</t>
        </is>
      </c>
    </row>
    <row r="299">
      <c r="A299" t="inlineStr">
        <is>
          <t>ai.position.reserveSeconds</t>
        </is>
      </c>
      <c r="B299" t="inlineStr">
        <is>
          <t>position</t>
        </is>
      </c>
      <c r="C299" t="inlineStr">
        <is>
          <t>reserveSeconds</t>
        </is>
      </c>
      <c r="D299" t="n">
        <v>10</v>
      </c>
      <c r="F299" t="inlineStr">
        <is>
          <t>s</t>
        </is>
      </c>
      <c r="G299" t="inlineStr">
        <is>
          <t>thoi_gian</t>
        </is>
      </c>
      <c r="H299" t="inlineStr">
        <is>
          <t>06</t>
        </is>
      </c>
      <c r="I299" t="inlineStr">
        <is>
          <t>Position.ReserveSeconds (AI MASTER P2)</t>
        </is>
      </c>
      <c r="J299" t="inlineStr">
        <is>
          <t>Assets/MachineBrigade/Resources/Data/tunables.json: ai.position.reserveSeconds</t>
        </is>
      </c>
      <c r="K299" t="inlineStr">
        <is>
          <t>{"value":10.0,"unit":"s","kind":"thoi_gian","linh_vuc":"06","code":"Position.ReserveSeconds (AI MASTER P2)"}</t>
        </is>
      </c>
    </row>
    <row r="300">
      <c r="A300" t="inlineStr">
        <is>
          <t>ai.position.searchRadius</t>
        </is>
      </c>
      <c r="B300" t="inlineStr">
        <is>
          <t>position</t>
        </is>
      </c>
      <c r="C300" t="inlineStr">
        <is>
          <t>searchRadius</t>
        </is>
      </c>
      <c r="D300" t="n">
        <v>8</v>
      </c>
      <c r="F300" t="inlineStr">
        <is>
          <t>m</t>
        </is>
      </c>
      <c r="G300" t="inlineStr">
        <is>
          <t>ban_kinh</t>
        </is>
      </c>
      <c r="H300" t="inlineStr">
        <is>
          <t>06</t>
        </is>
      </c>
      <c r="I300" t="inlineStr">
        <is>
          <t>Position.SearchRadius (AI MASTER P2)</t>
        </is>
      </c>
      <c r="J300" t="inlineStr">
        <is>
          <t>Assets/MachineBrigade/Resources/Data/tunables.json: ai.position.searchRadius</t>
        </is>
      </c>
      <c r="K300" t="inlineStr">
        <is>
          <t>{"value":8.0,"unit":"m","kind":"ban_kinh","linh_vuc":"06","code":"Position.SearchRadius (AI MASTER P2)"}</t>
        </is>
      </c>
    </row>
    <row r="301">
      <c r="A301" t="inlineStr">
        <is>
          <t>ai.position.weights</t>
        </is>
      </c>
      <c r="B301" t="inlineStr">
        <is>
          <t>position</t>
        </is>
      </c>
      <c r="C301" t="inlineStr">
        <is>
          <t>weights</t>
        </is>
      </c>
      <c r="E301" t="inlineStr">
        <is>
          <t>1.0;0.6;1.2;0.4;0.3;0.3;0.8;0.6;0.4;0.8;0.6</t>
        </is>
      </c>
      <c r="F301" t="inlineStr">
        <is>
          <t>x</t>
        </is>
      </c>
      <c r="G301" t="inlineStr">
        <is>
          <t>nguong</t>
        </is>
      </c>
      <c r="H301" t="inlineStr">
        <is>
          <t>06</t>
        </is>
      </c>
      <c r="I301" t="inlineStr">
        <is>
          <t>Position.Weights (AI MASTER P2)</t>
        </is>
      </c>
      <c r="J301" t="inlineStr">
        <is>
          <t>Assets/MachineBrigade/Resources/Data/tunables.json: ai.position.weights</t>
        </is>
      </c>
      <c r="K301" t="inlineStr">
        <is>
          <t>{"value":[1.0,0.6,1.2,0.4,0.3,0.3,0.8,0.6,0.4,0.8,0.6],"unit":"x","kind":"nguong","linh_vuc":"06","code":"Position.Weights (AI MASTER P2)"}</t>
        </is>
      </c>
    </row>
    <row r="302">
      <c r="A302" t="inlineStr">
        <is>
          <t>ai.probe.atThreat</t>
        </is>
      </c>
      <c r="B302" t="inlineStr">
        <is>
          <t>probe</t>
        </is>
      </c>
      <c r="C302" t="inlineStr">
        <is>
          <t>atThreat</t>
        </is>
      </c>
      <c r="D302" t="n">
        <v>1</v>
      </c>
      <c r="F302" t="inlineStr">
        <is>
          <t>x</t>
        </is>
      </c>
      <c r="G302" t="inlineStr">
        <is>
          <t>nguong</t>
        </is>
      </c>
      <c r="H302" t="inlineStr">
        <is>
          <t>06</t>
        </is>
      </c>
      <c r="I302" t="inlineStr">
        <is>
          <t>Probe.AtThreat (AI MASTER P4)</t>
        </is>
      </c>
      <c r="J302" t="inlineStr">
        <is>
          <t>Assets/MachineBrigade/Resources/Data/tunables.json: ai.probe.atThreat</t>
        </is>
      </c>
      <c r="K302" t="inlineStr">
        <is>
          <t>{"value":1.0,"unit":"x","kind":"nguong","linh_vuc":"06","code":"Probe.AtThreat (AI MASTER P4)"}</t>
        </is>
      </c>
    </row>
    <row r="303">
      <c r="A303" t="inlineStr">
        <is>
          <t>ai.probe.blockedS</t>
        </is>
      </c>
      <c r="B303" t="inlineStr">
        <is>
          <t>probe</t>
        </is>
      </c>
      <c r="C303" t="inlineStr">
        <is>
          <t>blockedS</t>
        </is>
      </c>
      <c r="D303" t="n">
        <v>8</v>
      </c>
      <c r="F303" t="inlineStr">
        <is>
          <t>s</t>
        </is>
      </c>
      <c r="G303" t="inlineStr">
        <is>
          <t>thoi_gian</t>
        </is>
      </c>
      <c r="H303" t="inlineStr">
        <is>
          <t>06</t>
        </is>
      </c>
      <c r="I303" t="inlineStr">
        <is>
          <t>Probe.BlockedS (AI MASTER P4)</t>
        </is>
      </c>
      <c r="J303" t="inlineStr">
        <is>
          <t>Assets/MachineBrigade/Resources/Data/tunables.json: ai.probe.blockedS</t>
        </is>
      </c>
      <c r="K303" t="inlineStr">
        <is>
          <t>{"value":8.0,"unit":"s","kind":"thoi_gian","linh_vuc":"06","code":"Probe.BlockedS (AI MASTER P4)"}</t>
        </is>
      </c>
    </row>
    <row r="304">
      <c r="A304" t="inlineStr">
        <is>
          <t>ai.probe.cooldownS</t>
        </is>
      </c>
      <c r="B304" t="inlineStr">
        <is>
          <t>probe</t>
        </is>
      </c>
      <c r="C304" t="inlineStr">
        <is>
          <t>cooldownS</t>
        </is>
      </c>
      <c r="D304" t="n">
        <v>45</v>
      </c>
      <c r="F304" t="inlineStr">
        <is>
          <t>s</t>
        </is>
      </c>
      <c r="G304" t="inlineStr">
        <is>
          <t>thoi_gian</t>
        </is>
      </c>
      <c r="H304" t="inlineStr">
        <is>
          <t>06</t>
        </is>
      </c>
      <c r="I304" t="inlineStr">
        <is>
          <t>Probe.CooldownS (AI MASTER P4)</t>
        </is>
      </c>
      <c r="J304" t="inlineStr">
        <is>
          <t>Assets/MachineBrigade/Resources/Data/tunables.json: ai.probe.cooldownS</t>
        </is>
      </c>
      <c r="K304" t="inlineStr">
        <is>
          <t>{"value":45.0,"unit":"s","kind":"thoi_gian","linh_vuc":"06","code":"Probe.CooldownS (AI MASTER P4)"}</t>
        </is>
      </c>
    </row>
    <row r="305">
      <c r="A305" t="inlineStr">
        <is>
          <t>ai.probe.envelope</t>
        </is>
      </c>
      <c r="B305" t="inlineStr">
        <is>
          <t>probe</t>
        </is>
      </c>
      <c r="C305" t="inlineStr">
        <is>
          <t>envelope</t>
        </is>
      </c>
      <c r="D305" t="n">
        <v>0.9</v>
      </c>
      <c r="F305" t="inlineStr">
        <is>
          <t>share</t>
        </is>
      </c>
      <c r="G305" t="inlineStr">
        <is>
          <t>nguong</t>
        </is>
      </c>
      <c r="H305" t="inlineStr">
        <is>
          <t>06</t>
        </is>
      </c>
      <c r="I305" t="inlineStr">
        <is>
          <t>Probe.Envelope (AI MASTER P4)</t>
        </is>
      </c>
      <c r="J305" t="inlineStr">
        <is>
          <t>Assets/MachineBrigade/Resources/Data/tunables.json: ai.probe.envelope</t>
        </is>
      </c>
      <c r="K305" t="inlineStr">
        <is>
          <t>{"value":0.9,"unit":"share","kind":"nguong","linh_vuc":"06","code":"Probe.Envelope (AI MASTER P4)"}</t>
        </is>
      </c>
    </row>
    <row r="306">
      <c r="A306" t="inlineStr">
        <is>
          <t>ai.probe.exploitS</t>
        </is>
      </c>
      <c r="B306" t="inlineStr">
        <is>
          <t>probe</t>
        </is>
      </c>
      <c r="C306" t="inlineStr">
        <is>
          <t>exploitS</t>
        </is>
      </c>
      <c r="D306" t="n">
        <v>20</v>
      </c>
      <c r="F306" t="inlineStr">
        <is>
          <t>s</t>
        </is>
      </c>
      <c r="G306" t="inlineStr">
        <is>
          <t>thoi_gian</t>
        </is>
      </c>
      <c r="H306" t="inlineStr">
        <is>
          <t>06</t>
        </is>
      </c>
      <c r="I306" t="inlineStr">
        <is>
          <t>Probe.ExploitS (AI MASTER P4)</t>
        </is>
      </c>
      <c r="J306" t="inlineStr">
        <is>
          <t>Assets/MachineBrigade/Resources/Data/tunables.json: ai.probe.exploitS</t>
        </is>
      </c>
      <c r="K306" t="inlineStr">
        <is>
          <t>{"value":20.0,"unit":"s","kind":"thoi_gian","linh_vuc":"06","code":"Probe.ExploitS (AI MASTER P4)"}</t>
        </is>
      </c>
    </row>
    <row r="307">
      <c r="A307" t="inlineStr">
        <is>
          <t>ai.probe.laneMemoryS</t>
        </is>
      </c>
      <c r="B307" t="inlineStr">
        <is>
          <t>probe</t>
        </is>
      </c>
      <c r="C307" t="inlineStr">
        <is>
          <t>laneMemoryS</t>
        </is>
      </c>
      <c r="D307" t="n">
        <v>60</v>
      </c>
      <c r="F307" t="inlineStr">
        <is>
          <t>s</t>
        </is>
      </c>
      <c r="G307" t="inlineStr">
        <is>
          <t>thoi_gian</t>
        </is>
      </c>
      <c r="H307" t="inlineStr">
        <is>
          <t>06</t>
        </is>
      </c>
      <c r="I307" t="inlineStr">
        <is>
          <t>Probe.LaneMemoryS (AI MASTER P4)</t>
        </is>
      </c>
      <c r="J307" t="inlineStr">
        <is>
          <t>Assets/MachineBrigade/Resources/Data/tunables.json: ai.probe.laneMemoryS</t>
        </is>
      </c>
      <c r="K307" t="inlineStr">
        <is>
          <t>{"value":60.0,"unit":"s","kind":"thoi_gian","linh_vuc":"06","code":"Probe.LaneMemoryS (AI MASTER P4)"}</t>
        </is>
      </c>
    </row>
    <row r="308">
      <c r="A308" t="inlineStr">
        <is>
          <t>ai.probe.lowResistance</t>
        </is>
      </c>
      <c r="B308" t="inlineStr">
        <is>
          <t>probe</t>
        </is>
      </c>
      <c r="C308" t="inlineStr">
        <is>
          <t>lowResistance</t>
        </is>
      </c>
      <c r="D308" t="n">
        <v>0.6</v>
      </c>
      <c r="F308" t="inlineStr">
        <is>
          <t>x</t>
        </is>
      </c>
      <c r="G308" t="inlineStr">
        <is>
          <t>nguong</t>
        </is>
      </c>
      <c r="H308" t="inlineStr">
        <is>
          <t>06</t>
        </is>
      </c>
      <c r="I308" t="inlineStr">
        <is>
          <t>Probe.LowResistance (AI MASTER P4)</t>
        </is>
      </c>
      <c r="J308" t="inlineStr">
        <is>
          <t>Assets/MachineBrigade/Resources/Data/tunables.json: ai.probe.lowResistance</t>
        </is>
      </c>
      <c r="K308" t="inlineStr">
        <is>
          <t>{"value":0.6,"unit":"x","kind":"nguong","linh_vuc":"06","code":"Probe.LowResistance (AI MASTER P4)"}</t>
        </is>
      </c>
    </row>
    <row r="309">
      <c r="A309" t="inlineStr">
        <is>
          <t>ai.probe.maxSeconds</t>
        </is>
      </c>
      <c r="B309" t="inlineStr">
        <is>
          <t>probe</t>
        </is>
      </c>
      <c r="C309" t="inlineStr">
        <is>
          <t>maxSeconds</t>
        </is>
      </c>
      <c r="D309" t="n">
        <v>20</v>
      </c>
      <c r="F309" t="inlineStr">
        <is>
          <t>s</t>
        </is>
      </c>
      <c r="G309" t="inlineStr">
        <is>
          <t>thoi_gian</t>
        </is>
      </c>
      <c r="H309" t="inlineStr">
        <is>
          <t>06</t>
        </is>
      </c>
      <c r="I309" t="inlineStr">
        <is>
          <t>Probe.MaxSeconds (AI MASTER P4)</t>
        </is>
      </c>
      <c r="J309" t="inlineStr">
        <is>
          <t>Assets/MachineBrigade/Resources/Data/tunables.json: ai.probe.maxSeconds</t>
        </is>
      </c>
      <c r="K309" t="inlineStr">
        <is>
          <t>{"value":20.0,"unit":"s","kind":"thoi_gian","linh_vuc":"06","code":"Probe.MaxSeconds (AI MASTER P4)"}</t>
        </is>
      </c>
    </row>
    <row r="310">
      <c r="A310" t="inlineStr">
        <is>
          <t>ai.probe.minUnknown</t>
        </is>
      </c>
      <c r="B310" t="inlineStr">
        <is>
          <t>probe</t>
        </is>
      </c>
      <c r="C310" t="inlineStr">
        <is>
          <t>minUnknown</t>
        </is>
      </c>
      <c r="D310" t="n">
        <v>0.35</v>
      </c>
      <c r="F310" t="inlineStr">
        <is>
          <t>share</t>
        </is>
      </c>
      <c r="G310" t="inlineStr">
        <is>
          <t>nguong</t>
        </is>
      </c>
      <c r="H310" t="inlineStr">
        <is>
          <t>06</t>
        </is>
      </c>
      <c r="I310" t="inlineStr">
        <is>
          <t>Probe.MinUnknown (AI MASTER P4)</t>
        </is>
      </c>
      <c r="J310" t="inlineStr">
        <is>
          <t>Assets/MachineBrigade/Resources/Data/tunables.json: ai.probe.minUnknown</t>
        </is>
      </c>
      <c r="K310" t="inlineStr">
        <is>
          <t>{"value":0.35,"unit":"share","kind":"nguong","linh_vuc":"06","code":"Probe.MinUnknown (AI MASTER P4)"}</t>
        </is>
      </c>
    </row>
    <row r="311">
      <c r="A311" t="inlineStr">
        <is>
          <t>ai.probe.powerShare</t>
        </is>
      </c>
      <c r="B311" t="inlineStr">
        <is>
          <t>probe</t>
        </is>
      </c>
      <c r="C311" t="inlineStr">
        <is>
          <t>powerShare</t>
        </is>
      </c>
      <c r="E311" t="inlineStr">
        <is>
          <t>0.08;0.15</t>
        </is>
      </c>
      <c r="F311" t="inlineStr">
        <is>
          <t>share</t>
        </is>
      </c>
      <c r="G311" t="inlineStr">
        <is>
          <t>nguong</t>
        </is>
      </c>
      <c r="H311" t="inlineStr">
        <is>
          <t>06</t>
        </is>
      </c>
      <c r="I311" t="inlineStr">
        <is>
          <t>Probe.PowerShare (AI MASTER P4)</t>
        </is>
      </c>
      <c r="J311" t="inlineStr">
        <is>
          <t>Assets/MachineBrigade/Resources/Data/tunables.json: ai.probe.powerShare</t>
        </is>
      </c>
      <c r="K311" t="inlineStr">
        <is>
          <t>{"value":[0.08,0.15],"unit":"share","kind":"nguong","linh_vuc":"06","code":"Probe.PowerShare (AI MASTER P4)"}</t>
        </is>
      </c>
    </row>
    <row r="312">
      <c r="A312" t="inlineStr">
        <is>
          <t>ai.procurement.blendWeight</t>
        </is>
      </c>
      <c r="B312" t="inlineStr">
        <is>
          <t>procurement</t>
        </is>
      </c>
      <c r="C312" t="inlineStr">
        <is>
          <t>blendWeight</t>
        </is>
      </c>
      <c r="D312" t="n">
        <v>3</v>
      </c>
      <c r="F312" t="inlineStr">
        <is>
          <t>points</t>
        </is>
      </c>
      <c r="G312" t="inlineStr">
        <is>
          <t>nguong</t>
        </is>
      </c>
      <c r="H312" t="inlineStr">
        <is>
          <t>06</t>
        </is>
      </c>
      <c r="I312" t="inlineStr">
        <is>
          <t>ProcurementDirector (master score on the legacy buy score)</t>
        </is>
      </c>
      <c r="J312" t="inlineStr">
        <is>
          <t>Assets/MachineBrigade/Resources/Data/tunables.json: ai.procurement.blendWeight</t>
        </is>
      </c>
      <c r="K312" t="inlineStr">
        <is>
          <t>{"value":3.0,"unit":"points","kind":"nguong","linh_vuc":"06","code":"ProcurementDirector (master score on the legacy buy score)"}</t>
        </is>
      </c>
    </row>
    <row r="313">
      <c r="A313" t="inlineStr">
        <is>
          <t>ai.procurement.capabilitySeconds</t>
        </is>
      </c>
      <c r="B313" t="inlineStr">
        <is>
          <t>procurement</t>
        </is>
      </c>
      <c r="C313" t="inlineStr">
        <is>
          <t>capabilitySeconds</t>
        </is>
      </c>
      <c r="D313" t="n">
        <v>30</v>
      </c>
      <c r="F313" t="inlineStr">
        <is>
          <t>s</t>
        </is>
      </c>
      <c r="G313" t="inlineStr">
        <is>
          <t>thoi_gian</t>
        </is>
      </c>
      <c r="H313" t="inlineStr">
        <is>
          <t>06</t>
        </is>
      </c>
      <c r="I313" t="inlineStr">
        <is>
          <t>ProcurementDirector capability replacement (section 209)</t>
        </is>
      </c>
      <c r="J313" t="inlineStr">
        <is>
          <t>Assets/MachineBrigade/Resources/Data/tunables.json: ai.procurement.capabilitySeconds</t>
        </is>
      </c>
      <c r="K313" t="inlineStr">
        <is>
          <t>{"value":30.0,"unit":"s","kind":"thoi_gian","linh_vuc":"06","code":"ProcurementDirector capability replacement (section 209)"}</t>
        </is>
      </c>
    </row>
    <row r="314">
      <c r="A314" t="inlineStr">
        <is>
          <t>ai.procurement.confidenceCp</t>
        </is>
      </c>
      <c r="B314" t="inlineStr">
        <is>
          <t>procurement</t>
        </is>
      </c>
      <c r="C314" t="inlineStr">
        <is>
          <t>confidenceCp</t>
        </is>
      </c>
      <c r="D314" t="n">
        <v>24</v>
      </c>
      <c r="F314" t="inlineStr">
        <is>
          <t>CP</t>
        </is>
      </c>
      <c r="G314" t="inlineStr">
        <is>
          <t>nguong</t>
        </is>
      </c>
      <c r="H314" t="inlineStr">
        <is>
          <t>06</t>
        </is>
      </c>
      <c r="I314" t="inlineStr">
        <is>
          <t>ProcurementDirector.Observe</t>
        </is>
      </c>
      <c r="J314" t="inlineStr">
        <is>
          <t>Assets/MachineBrigade/Resources/Data/tunables.json: ai.procurement.confidenceCp</t>
        </is>
      </c>
      <c r="K314" t="inlineStr">
        <is>
          <t>{"value":24.0,"unit":"CP","kind":"nguong","linh_vuc":"06","code":"ProcurementDirector.Observe"}</t>
        </is>
      </c>
    </row>
    <row r="315">
      <c r="A315" t="inlineStr">
        <is>
          <t>ai.procurement.congestionMax</t>
        </is>
      </c>
      <c r="B315" t="inlineStr">
        <is>
          <t>procurement</t>
        </is>
      </c>
      <c r="C315" t="inlineStr">
        <is>
          <t>congestionMax</t>
        </is>
      </c>
      <c r="D315" t="n">
        <v>0.2</v>
      </c>
      <c r="F315" t="inlineStr">
        <is>
          <t>share</t>
        </is>
      </c>
      <c r="G315" t="inlineStr">
        <is>
          <t>tran</t>
        </is>
      </c>
      <c r="H315" t="inlineStr">
        <is>
          <t>06</t>
        </is>
      </c>
      <c r="I315" t="inlineStr">
        <is>
          <t>ProcurementDirector congestion penalty (section 17)</t>
        </is>
      </c>
      <c r="J315" t="inlineStr">
        <is>
          <t>Assets/MachineBrigade/Resources/Data/tunables.json: ai.procurement.congestionMax</t>
        </is>
      </c>
      <c r="K315" t="inlineStr">
        <is>
          <t>{"value":0.2,"unit":"share","kind":"tran","linh_vuc":"06","code":"ProcurementDirector congestion penalty (section 17)"}</t>
        </is>
      </c>
    </row>
    <row r="316">
      <c r="A316" t="inlineStr">
        <is>
          <t>ai.procurement.feedbackCombatSeconds</t>
        </is>
      </c>
      <c r="B316" t="inlineStr">
        <is>
          <t>procurement</t>
        </is>
      </c>
      <c r="C316" t="inlineStr">
        <is>
          <t>feedbackCombatSeconds</t>
        </is>
      </c>
      <c r="D316" t="n">
        <v>20</v>
      </c>
      <c r="F316" t="inlineStr">
        <is>
          <t>s</t>
        </is>
      </c>
      <c r="G316" t="inlineStr">
        <is>
          <t>thoi_gian</t>
        </is>
      </c>
      <c r="H316" t="inlineStr">
        <is>
          <t>06</t>
        </is>
      </c>
      <c r="I316" t="inlineStr">
        <is>
          <t>ProcurementDirector feedback (section 196)</t>
        </is>
      </c>
      <c r="J316" t="inlineStr">
        <is>
          <t>Assets/MachineBrigade/Resources/Data/tunables.json: ai.procurement.feedbackCombatSeconds</t>
        </is>
      </c>
      <c r="K316" t="inlineStr">
        <is>
          <t>{"value":20.0,"unit":"s","kind":"thoi_gian","linh_vuc":"06","code":"ProcurementDirector feedback (section 196)"}</t>
        </is>
      </c>
    </row>
    <row r="317">
      <c r="A317" t="inlineStr">
        <is>
          <t>ai.procurement.feedbackMinModifier</t>
        </is>
      </c>
      <c r="B317" t="inlineStr">
        <is>
          <t>procurement</t>
        </is>
      </c>
      <c r="C317" t="inlineStr">
        <is>
          <t>feedbackMinModifier</t>
        </is>
      </c>
      <c r="D317" t="n">
        <v>0.55</v>
      </c>
      <c r="F317" t="inlineStr">
        <is>
          <t>x</t>
        </is>
      </c>
      <c r="G317" t="inlineStr">
        <is>
          <t>nguong</t>
        </is>
      </c>
      <c r="H317" t="inlineStr">
        <is>
          <t>06</t>
        </is>
      </c>
      <c r="I317" t="inlineStr">
        <is>
          <t>ProcurementDirector feedback (section 196)</t>
        </is>
      </c>
      <c r="J317" t="inlineStr">
        <is>
          <t>Assets/MachineBrigade/Resources/Data/tunables.json: ai.procurement.feedbackMinModifier</t>
        </is>
      </c>
      <c r="K317" t="inlineStr">
        <is>
          <t>{"value":0.55,"unit":"x","kind":"nguong","linh_vuc":"06","code":"ProcurementDirector feedback (section 196)"}</t>
        </is>
      </c>
    </row>
    <row r="318">
      <c r="A318" t="inlineStr">
        <is>
          <t>ai.procurement.feedbackPoints</t>
        </is>
      </c>
      <c r="B318" t="inlineStr">
        <is>
          <t>procurement</t>
        </is>
      </c>
      <c r="C318" t="inlineStr">
        <is>
          <t>feedbackPoints</t>
        </is>
      </c>
      <c r="D318" t="n">
        <v>4</v>
      </c>
      <c r="F318" t="inlineStr">
        <is>
          <t>points</t>
        </is>
      </c>
      <c r="G318" t="inlineStr">
        <is>
          <t>nguong</t>
        </is>
      </c>
      <c r="H318" t="inlineStr">
        <is>
          <t>06</t>
        </is>
      </c>
      <c r="I318" t="inlineStr">
        <is>
          <t>ProcurementDirector feedback on the legacy score</t>
        </is>
      </c>
      <c r="J318" t="inlineStr">
        <is>
          <t>Assets/MachineBrigade/Resources/Data/tunables.json: ai.procurement.feedbackPoints</t>
        </is>
      </c>
      <c r="K318" t="inlineStr">
        <is>
          <t>{"value":4.0,"unit":"points","kind":"nguong","linh_vuc":"06","code":"ProcurementDirector feedback on the legacy score"}</t>
        </is>
      </c>
    </row>
    <row r="319">
      <c r="A319" t="inlineStr">
        <is>
          <t>ai.procurement.feedbackUtilization</t>
        </is>
      </c>
      <c r="B319" t="inlineStr">
        <is>
          <t>procurement</t>
        </is>
      </c>
      <c r="C319" t="inlineStr">
        <is>
          <t>feedbackUtilization</t>
        </is>
      </c>
      <c r="D319" t="n">
        <v>0.15</v>
      </c>
      <c r="F319" t="inlineStr">
        <is>
          <t>share</t>
        </is>
      </c>
      <c r="G319" t="inlineStr">
        <is>
          <t>nguong</t>
        </is>
      </c>
      <c r="H319" t="inlineStr">
        <is>
          <t>06</t>
        </is>
      </c>
      <c r="I319" t="inlineStr">
        <is>
          <t>ProcurementDirector feedback (section 196)</t>
        </is>
      </c>
      <c r="J319" t="inlineStr">
        <is>
          <t>Assets/MachineBrigade/Resources/Data/tunables.json: ai.procurement.feedbackUtilization</t>
        </is>
      </c>
      <c r="K319" t="inlineStr">
        <is>
          <t>{"value":0.15,"unit":"share","kind":"nguong","linh_vuc":"06","code":"ProcurementDirector feedback (section 196)"}</t>
        </is>
      </c>
    </row>
    <row r="320">
      <c r="A320" t="inlineStr">
        <is>
          <t>ai.procurement.floors</t>
        </is>
      </c>
      <c r="B320" t="inlineStr">
        <is>
          <t>procurement</t>
        </is>
      </c>
      <c r="C320" t="inlineStr">
        <is>
          <t>floors</t>
        </is>
      </c>
      <c r="E320" t="inlineStr">
        <is>
          <t>0.05;0.08;0.1</t>
        </is>
      </c>
      <c r="F320" t="inlineStr">
        <is>
          <t>share</t>
        </is>
      </c>
      <c r="G320" t="inlineStr">
        <is>
          <t>nguong</t>
        </is>
      </c>
      <c r="H320" t="inlineStr">
        <is>
          <t>06</t>
        </is>
      </c>
      <c r="I320" t="inlineStr">
        <is>
          <t>ProcurementDirector soft floors recon/AA/AT (section 198)</t>
        </is>
      </c>
      <c r="J320" t="inlineStr">
        <is>
          <t>Assets/MachineBrigade/Resources/Data/tunables.json: ai.procurement.floors</t>
        </is>
      </c>
      <c r="K320" t="inlineStr">
        <is>
          <t>{"value":[0.05,0.08,0.1],"unit":"share","kind":"nguong","linh_vuc":"06","code":"ProcurementDirector soft floors recon/AA/AT (section 198)"}</t>
        </is>
      </c>
    </row>
    <row r="321">
      <c r="A321" t="inlineStr">
        <is>
          <t>ai.procurement.intelEma</t>
        </is>
      </c>
      <c r="B321" t="inlineStr">
        <is>
          <t>procurement</t>
        </is>
      </c>
      <c r="C321" t="inlineStr">
        <is>
          <t>intelEma</t>
        </is>
      </c>
      <c r="D321" t="n">
        <v>0.2</v>
      </c>
      <c r="F321" t="inlineStr">
        <is>
          <t>share</t>
        </is>
      </c>
      <c r="G321" t="inlineStr">
        <is>
          <t>nguong</t>
        </is>
      </c>
      <c r="H321" t="inlineStr">
        <is>
          <t>06</t>
        </is>
      </c>
      <c r="I321" t="inlineStr">
        <is>
          <t>ProcurementDirector.Observe (section 15)</t>
        </is>
      </c>
      <c r="J321" t="inlineStr">
        <is>
          <t>Assets/MachineBrigade/Resources/Data/tunables.json: ai.procurement.intelEma</t>
        </is>
      </c>
      <c r="K321" t="inlineStr">
        <is>
          <t>{"value":0.2,"unit":"share","kind":"nguong","linh_vuc":"06","code":"ProcurementDirector.Observe (section 15)"}</t>
        </is>
      </c>
    </row>
    <row r="322">
      <c r="A322" t="inlineStr">
        <is>
          <t>ai.procurement.lateGameSeconds</t>
        </is>
      </c>
      <c r="B322" t="inlineStr">
        <is>
          <t>procurement</t>
        </is>
      </c>
      <c r="C322" t="inlineStr">
        <is>
          <t>lateGameSeconds</t>
        </is>
      </c>
      <c r="D322" t="n">
        <v>480</v>
      </c>
      <c r="F322" t="inlineStr">
        <is>
          <t>s</t>
        </is>
      </c>
      <c r="G322" t="inlineStr">
        <is>
          <t>thoi_gian</t>
        </is>
      </c>
      <c r="H322" t="inlineStr">
        <is>
          <t>06</t>
        </is>
      </c>
      <c r="I322" t="inlineStr">
        <is>
          <t>ProcurementDirector.TimingFit (section 208)</t>
        </is>
      </c>
      <c r="J322" t="inlineStr">
        <is>
          <t>Assets/MachineBrigade/Resources/Data/tunables.json: ai.procurement.lateGameSeconds</t>
        </is>
      </c>
      <c r="K322" t="inlineStr">
        <is>
          <t>{"value":480.0,"unit":"s","kind":"thoi_gian","linh_vuc":"06","code":"ProcurementDirector.TimingFit (section 208)"}</t>
        </is>
      </c>
    </row>
    <row r="323">
      <c r="A323" t="inlineStr">
        <is>
          <t>ai.procurement.longTravelMax</t>
        </is>
      </c>
      <c r="B323" t="inlineStr">
        <is>
          <t>procurement</t>
        </is>
      </c>
      <c r="C323" t="inlineStr">
        <is>
          <t>longTravelMax</t>
        </is>
      </c>
      <c r="D323" t="n">
        <v>0.15</v>
      </c>
      <c r="F323" t="inlineStr">
        <is>
          <t>share</t>
        </is>
      </c>
      <c r="G323" t="inlineStr">
        <is>
          <t>tran</t>
        </is>
      </c>
      <c r="H323" t="inlineStr">
        <is>
          <t>06</t>
        </is>
      </c>
      <c r="I323" t="inlineStr">
        <is>
          <t>ProcurementDirector long-travel penalty</t>
        </is>
      </c>
      <c r="J323" t="inlineStr">
        <is>
          <t>Assets/MachineBrigade/Resources/Data/tunables.json: ai.procurement.longTravelMax</t>
        </is>
      </c>
      <c r="K323" t="inlineStr">
        <is>
          <t>{"value":0.15,"unit":"share","kind":"tran","linh_vuc":"06","code":"ProcurementDirector long-travel penalty"}</t>
        </is>
      </c>
    </row>
    <row r="324">
      <c r="A324" t="inlineStr">
        <is>
          <t>ai.procurement.longTravelSeconds</t>
        </is>
      </c>
      <c r="B324" t="inlineStr">
        <is>
          <t>procurement</t>
        </is>
      </c>
      <c r="C324" t="inlineStr">
        <is>
          <t>longTravelSeconds</t>
        </is>
      </c>
      <c r="D324" t="n">
        <v>45</v>
      </c>
      <c r="F324" t="inlineStr">
        <is>
          <t>s</t>
        </is>
      </c>
      <c r="G324" t="inlineStr">
        <is>
          <t>thoi_gian</t>
        </is>
      </c>
      <c r="H324" t="inlineStr">
        <is>
          <t>06</t>
        </is>
      </c>
      <c r="I324" t="inlineStr">
        <is>
          <t>ProcurementDirector long-travel penalty</t>
        </is>
      </c>
      <c r="J324" t="inlineStr">
        <is>
          <t>Assets/MachineBrigade/Resources/Data/tunables.json: ai.procurement.longTravelSeconds</t>
        </is>
      </c>
      <c r="K324" t="inlineStr">
        <is>
          <t>{"value":45.0,"unit":"s","kind":"thoi_gian","linh_vuc":"06","code":"ProcurementDirector long-travel penalty"}</t>
        </is>
      </c>
    </row>
    <row r="325">
      <c r="A325" t="inlineStr">
        <is>
          <t>ai.procurement.maxPlanCards</t>
        </is>
      </c>
      <c r="B325" t="inlineStr">
        <is>
          <t>procurement</t>
        </is>
      </c>
      <c r="C325" t="inlineStr">
        <is>
          <t>maxPlanCards</t>
        </is>
      </c>
      <c r="D325" t="n">
        <v>5</v>
      </c>
      <c r="F325" t="inlineStr">
        <is>
          <t>count</t>
        </is>
      </c>
      <c r="G325" t="inlineStr">
        <is>
          <t>tran</t>
        </is>
      </c>
      <c r="H325" t="inlineStr">
        <is>
          <t>06</t>
        </is>
      </c>
      <c r="I325" t="inlineStr">
        <is>
          <t>ProcurementDirector.MakePlan (section 16)</t>
        </is>
      </c>
      <c r="J325" t="inlineStr">
        <is>
          <t>Assets/MachineBrigade/Resources/Data/tunables.json: ai.procurement.maxPlanCards</t>
        </is>
      </c>
      <c r="K325" t="inlineStr">
        <is>
          <t>{"value":5,"unit":"count","kind":"tran","linh_vuc":"06","code":"ProcurementDirector.MakePlan (section 16)"}</t>
        </is>
      </c>
    </row>
    <row r="326">
      <c r="A326" t="inlineStr">
        <is>
          <t>ai.procurement.minPlanCards</t>
        </is>
      </c>
      <c r="B326" t="inlineStr">
        <is>
          <t>procurement</t>
        </is>
      </c>
      <c r="C326" t="inlineStr">
        <is>
          <t>minPlanCards</t>
        </is>
      </c>
      <c r="D326" t="n">
        <v>3</v>
      </c>
      <c r="F326" t="inlineStr">
        <is>
          <t>count</t>
        </is>
      </c>
      <c r="G326" t="inlineStr">
        <is>
          <t>gioi_han_thuc_the</t>
        </is>
      </c>
      <c r="H326" t="inlineStr">
        <is>
          <t>06</t>
        </is>
      </c>
      <c r="I326" t="inlineStr">
        <is>
          <t>ProcurementDirector.MakePlan (section 16)</t>
        </is>
      </c>
      <c r="J326" t="inlineStr">
        <is>
          <t>Assets/MachineBrigade/Resources/Data/tunables.json: ai.procurement.minPlanCards</t>
        </is>
      </c>
      <c r="K326" t="inlineStr">
        <is>
          <t>{"value":3,"unit":"count","kind":"gioi_han_thuc_the","linh_vuc":"06","code":"ProcurementDirector.MakePlan (section 16)"}</t>
        </is>
      </c>
    </row>
    <row r="327">
      <c r="A327" t="inlineStr">
        <is>
          <t>ai.procurement.mismatchConfidence</t>
        </is>
      </c>
      <c r="B327" t="inlineStr">
        <is>
          <t>procurement</t>
        </is>
      </c>
      <c r="C327" t="inlineStr">
        <is>
          <t>mismatchConfidence</t>
        </is>
      </c>
      <c r="D327" t="n">
        <v>0.5</v>
      </c>
      <c r="F327" t="inlineStr">
        <is>
          <t>share</t>
        </is>
      </c>
      <c r="G327" t="inlineStr">
        <is>
          <t>nguong</t>
        </is>
      </c>
      <c r="H327" t="inlineStr">
        <is>
          <t>06</t>
        </is>
      </c>
      <c r="I327" t="inlineStr">
        <is>
          <t>ProcurementDirector.Observe</t>
        </is>
      </c>
      <c r="J327" t="inlineStr">
        <is>
          <t>Assets/MachineBrigade/Resources/Data/tunables.json: ai.procurement.mismatchConfidence</t>
        </is>
      </c>
      <c r="K327" t="inlineStr">
        <is>
          <t>{"value":0.5,"unit":"share","kind":"nguong","linh_vuc":"06","code":"ProcurementDirector.Observe"}</t>
        </is>
      </c>
    </row>
    <row r="328">
      <c r="A328" t="inlineStr">
        <is>
          <t>ai.procurement.mismatchConfirmSeconds</t>
        </is>
      </c>
      <c r="B328" t="inlineStr">
        <is>
          <t>procurement</t>
        </is>
      </c>
      <c r="C328" t="inlineStr">
        <is>
          <t>mismatchConfirmSeconds</t>
        </is>
      </c>
      <c r="D328" t="n">
        <v>4</v>
      </c>
      <c r="F328" t="inlineStr">
        <is>
          <t>s</t>
        </is>
      </c>
      <c r="G328" t="inlineStr">
        <is>
          <t>thoi_gian</t>
        </is>
      </c>
      <c r="H328" t="inlineStr">
        <is>
          <t>06</t>
        </is>
      </c>
      <c r="I328" t="inlineStr">
        <is>
          <t>ProcurementDirector.Observe (section 15)</t>
        </is>
      </c>
      <c r="J328" t="inlineStr">
        <is>
          <t>Assets/MachineBrigade/Resources/Data/tunables.json: ai.procurement.mismatchConfirmSeconds</t>
        </is>
      </c>
      <c r="K328" t="inlineStr">
        <is>
          <t>{"value":4.0,"unit":"s","kind":"thoi_gian","linh_vuc":"06","code":"ProcurementDirector.Observe (section 15)"}</t>
        </is>
      </c>
    </row>
    <row r="329">
      <c r="A329" t="inlineStr">
        <is>
          <t>ai.procurement.mismatchShare</t>
        </is>
      </c>
      <c r="B329" t="inlineStr">
        <is>
          <t>procurement</t>
        </is>
      </c>
      <c r="C329" t="inlineStr">
        <is>
          <t>mismatchShare</t>
        </is>
      </c>
      <c r="D329" t="n">
        <v>0.2</v>
      </c>
      <c r="F329" t="inlineStr">
        <is>
          <t>share</t>
        </is>
      </c>
      <c r="G329" t="inlineStr">
        <is>
          <t>nguong</t>
        </is>
      </c>
      <c r="H329" t="inlineStr">
        <is>
          <t>06</t>
        </is>
      </c>
      <c r="I329" t="inlineStr">
        <is>
          <t>ProcurementDirector.Observe</t>
        </is>
      </c>
      <c r="J329" t="inlineStr">
        <is>
          <t>Assets/MachineBrigade/Resources/Data/tunables.json: ai.procurement.mismatchShare</t>
        </is>
      </c>
      <c r="K329" t="inlineStr">
        <is>
          <t>{"value":0.2,"unit":"share","kind":"nguong","linh_vuc":"06","code":"ProcurementDirector.Observe"}</t>
        </is>
      </c>
    </row>
    <row r="330">
      <c r="A330" t="inlineStr">
        <is>
          <t>ai.procurement.planExpireSeconds</t>
        </is>
      </c>
      <c r="B330" t="inlineStr">
        <is>
          <t>procurement</t>
        </is>
      </c>
      <c r="C330" t="inlineStr">
        <is>
          <t>planExpireSeconds</t>
        </is>
      </c>
      <c r="D330" t="n">
        <v>30</v>
      </c>
      <c r="F330" t="inlineStr">
        <is>
          <t>s</t>
        </is>
      </c>
      <c r="G330" t="inlineStr">
        <is>
          <t>thoi_gian</t>
        </is>
      </c>
      <c r="H330" t="inlineStr">
        <is>
          <t>06</t>
        </is>
      </c>
      <c r="I330" t="inlineStr">
        <is>
          <t>ProcurementDirector.PlanValid</t>
        </is>
      </c>
      <c r="J330" t="inlineStr">
        <is>
          <t>Assets/MachineBrigade/Resources/Data/tunables.json: ai.procurement.planExpireSeconds</t>
        </is>
      </c>
      <c r="K330" t="inlineStr">
        <is>
          <t>{"value":30.0,"unit":"s","kind":"thoi_gian","linh_vuc":"06","code":"ProcurementDirector.PlanValid"}</t>
        </is>
      </c>
    </row>
    <row r="331">
      <c r="A331" t="inlineStr">
        <is>
          <t>ai.procurement.redundancyPerCopy</t>
        </is>
      </c>
      <c r="B331" t="inlineStr">
        <is>
          <t>procurement</t>
        </is>
      </c>
      <c r="C331" t="inlineStr">
        <is>
          <t>redundancyPerCopy</t>
        </is>
      </c>
      <c r="D331" t="n">
        <v>0.04</v>
      </c>
      <c r="F331" t="inlineStr">
        <is>
          <t>share</t>
        </is>
      </c>
      <c r="G331" t="inlineStr">
        <is>
          <t>nguong</t>
        </is>
      </c>
      <c r="H331" t="inlineStr">
        <is>
          <t>06</t>
        </is>
      </c>
      <c r="I331" t="inlineStr">
        <is>
          <t>ProcurementDirector redundancy penalty</t>
        </is>
      </c>
      <c r="J331" t="inlineStr">
        <is>
          <t>Assets/MachineBrigade/Resources/Data/tunables.json: ai.procurement.redundancyPerCopy</t>
        </is>
      </c>
      <c r="K331" t="inlineStr">
        <is>
          <t>{"value":0.04,"unit":"share","kind":"nguong","linh_vuc":"06","code":"ProcurementDirector redundancy penalty"}</t>
        </is>
      </c>
    </row>
    <row r="332">
      <c r="A332" t="inlineStr">
        <is>
          <t>ai.procurement.reserveHorizonSeconds</t>
        </is>
      </c>
      <c r="B332" t="inlineStr">
        <is>
          <t>procurement</t>
        </is>
      </c>
      <c r="C332" t="inlineStr">
        <is>
          <t>reserveHorizonSeconds</t>
        </is>
      </c>
      <c r="D332" t="n">
        <v>8</v>
      </c>
      <c r="F332" t="inlineStr">
        <is>
          <t>s</t>
        </is>
      </c>
      <c r="G332" t="inlineStr">
        <is>
          <t>thoi_gian</t>
        </is>
      </c>
      <c r="H332" t="inlineStr">
        <is>
          <t>06</t>
        </is>
      </c>
      <c r="I332" t="inlineStr">
        <is>
          <t>ProcurementDirector.Reserve (section 18)</t>
        </is>
      </c>
      <c r="J332" t="inlineStr">
        <is>
          <t>Assets/MachineBrigade/Resources/Data/tunables.json: ai.procurement.reserveHorizonSeconds</t>
        </is>
      </c>
      <c r="K332" t="inlineStr">
        <is>
          <t>{"value":8.0,"unit":"s","kind":"thoi_gian","linh_vuc":"06","code":"ProcurementDirector.Reserve (section 18)"}</t>
        </is>
      </c>
    </row>
    <row r="333">
      <c r="A333" t="inlineStr">
        <is>
          <t>ai.procurement.reserveMaxSeconds</t>
        </is>
      </c>
      <c r="B333" t="inlineStr">
        <is>
          <t>procurement</t>
        </is>
      </c>
      <c r="C333" t="inlineStr">
        <is>
          <t>reserveMaxSeconds</t>
        </is>
      </c>
      <c r="D333" t="n">
        <v>12</v>
      </c>
      <c r="F333" t="inlineStr">
        <is>
          <t>s</t>
        </is>
      </c>
      <c r="G333" t="inlineStr">
        <is>
          <t>thoi_gian</t>
        </is>
      </c>
      <c r="H333" t="inlineStr">
        <is>
          <t>06</t>
        </is>
      </c>
      <c r="I333" t="inlineStr">
        <is>
          <t>ProcurementDirector.Reserve (section 18)</t>
        </is>
      </c>
      <c r="J333" t="inlineStr">
        <is>
          <t>Assets/MachineBrigade/Resources/Data/tunables.json: ai.procurement.reserveMaxSeconds</t>
        </is>
      </c>
      <c r="K333" t="inlineStr">
        <is>
          <t>{"value":12.0,"unit":"s","kind":"thoi_gian","linh_vuc":"06","code":"ProcurementDirector.Reserve (section 18)"}</t>
        </is>
      </c>
    </row>
    <row r="334">
      <c r="A334" t="inlineStr">
        <is>
          <t>ai.procurement.saturation</t>
        </is>
      </c>
      <c r="B334" t="inlineStr">
        <is>
          <t>procurement</t>
        </is>
      </c>
      <c r="C334" t="inlineStr">
        <is>
          <t>saturation</t>
        </is>
      </c>
      <c r="D334" t="n">
        <v>1.3</v>
      </c>
      <c r="F334" t="inlineStr">
        <is>
          <t>x</t>
        </is>
      </c>
      <c r="G334" t="inlineStr">
        <is>
          <t>nguong</t>
        </is>
      </c>
      <c r="H334" t="inlineStr">
        <is>
          <t>06</t>
        </is>
      </c>
      <c r="I334" t="inlineStr">
        <is>
          <t>ProcurementDirector role saturation (section 197)</t>
        </is>
      </c>
      <c r="J334" t="inlineStr">
        <is>
          <t>Assets/MachineBrigade/Resources/Data/tunables.json: ai.procurement.saturation</t>
        </is>
      </c>
      <c r="K334" t="inlineStr">
        <is>
          <t>{"value":1.3,"unit":"x","kind":"nguong","linh_vuc":"06","code":"ProcurementDirector role saturation (section 197)"}</t>
        </is>
      </c>
    </row>
    <row r="335">
      <c r="A335" t="inlineStr">
        <is>
          <t>ai.procurement.timingRefSeconds</t>
        </is>
      </c>
      <c r="B335" t="inlineStr">
        <is>
          <t>procurement</t>
        </is>
      </c>
      <c r="C335" t="inlineStr">
        <is>
          <t>timingRefSeconds</t>
        </is>
      </c>
      <c r="D335" t="n">
        <v>90</v>
      </c>
      <c r="F335" t="inlineStr">
        <is>
          <t>s</t>
        </is>
      </c>
      <c r="G335" t="inlineStr">
        <is>
          <t>thoi_gian</t>
        </is>
      </c>
      <c r="H335" t="inlineStr">
        <is>
          <t>06</t>
        </is>
      </c>
      <c r="I335" t="inlineStr">
        <is>
          <t>ProcurementDirector.TimingFit (section 208)</t>
        </is>
      </c>
      <c r="J335" t="inlineStr">
        <is>
          <t>Assets/MachineBrigade/Resources/Data/tunables.json: ai.procurement.timingRefSeconds</t>
        </is>
      </c>
      <c r="K335" t="inlineStr">
        <is>
          <t>{"value":90.0,"unit":"s","kind":"thoi_gian","linh_vuc":"06","code":"ProcurementDirector.TimingFit (section 208)"}</t>
        </is>
      </c>
    </row>
    <row r="336">
      <c r="A336" t="inlineStr">
        <is>
          <t>ai.procurement.weights</t>
        </is>
      </c>
      <c r="B336" t="inlineStr">
        <is>
          <t>procurement</t>
        </is>
      </c>
      <c r="C336" t="inlineStr">
        <is>
          <t>weights</t>
        </is>
      </c>
      <c r="E336" t="inlineStr">
        <is>
          <t>0.22;0.18;0.15;0.12;0.1;0.08;0.06;0.05;0.04</t>
        </is>
      </c>
      <c r="F336" t="inlineStr">
        <is>
          <t>x</t>
        </is>
      </c>
      <c r="G336" t="inlineStr">
        <is>
          <t>nguong</t>
        </is>
      </c>
      <c r="H336" t="inlineStr">
        <is>
          <t>06</t>
        </is>
      </c>
      <c r="I336" t="inlineStr">
        <is>
          <t>ProcurementDirector.Score (section 12)</t>
        </is>
      </c>
      <c r="J336" t="inlineStr">
        <is>
          <t>Assets/MachineBrigade/Resources/Data/tunables.json: ai.procurement.weights</t>
        </is>
      </c>
      <c r="K336" t="inlineStr">
        <is>
          <t>{"value":[0.22,0.18,0.15,0.12,0.1,0.08,0.06,0.05,0.04],"unit":"x","kind":"nguong","linh_vuc":"06","code":"ProcurementDirector.Score (section 12)"}</t>
        </is>
      </c>
    </row>
    <row r="337">
      <c r="A337" t="inlineStr">
        <is>
          <t>ai.pursuit.aaMaxDistance</t>
        </is>
      </c>
      <c r="B337" t="inlineStr">
        <is>
          <t>pursuit</t>
        </is>
      </c>
      <c r="C337" t="inlineStr">
        <is>
          <t>aaMaxDistance</t>
        </is>
      </c>
      <c r="D337" t="n">
        <v>40</v>
      </c>
      <c r="F337" t="inlineStr">
        <is>
          <t>m</t>
        </is>
      </c>
      <c r="G337" t="inlineStr">
        <is>
          <t>ban_kinh</t>
        </is>
      </c>
      <c r="H337" t="inlineStr">
        <is>
          <t>06</t>
        </is>
      </c>
      <c r="I337" t="inlineStr">
        <is>
          <t>Pursuit.AaMaxDistance (AI MASTER P3)</t>
        </is>
      </c>
      <c r="J337" t="inlineStr">
        <is>
          <t>Assets/MachineBrigade/Resources/Data/tunables.json: ai.pursuit.aaMaxDistance</t>
        </is>
      </c>
      <c r="K337" t="inlineStr">
        <is>
          <t>{"value":40.0,"unit":"m","kind":"ban_kinh","linh_vuc":"06","code":"Pursuit.AaMaxDistance (AI MASTER P3)"}</t>
        </is>
      </c>
    </row>
    <row r="338">
      <c r="A338" t="inlineStr">
        <is>
          <t>ai.pursuit.aaMaxSeconds</t>
        </is>
      </c>
      <c r="B338" t="inlineStr">
        <is>
          <t>pursuit</t>
        </is>
      </c>
      <c r="C338" t="inlineStr">
        <is>
          <t>aaMaxSeconds</t>
        </is>
      </c>
      <c r="D338" t="n">
        <v>10</v>
      </c>
      <c r="F338" t="inlineStr">
        <is>
          <t>s</t>
        </is>
      </c>
      <c r="G338" t="inlineStr">
        <is>
          <t>thoi_gian</t>
        </is>
      </c>
      <c r="H338" t="inlineStr">
        <is>
          <t>06</t>
        </is>
      </c>
      <c r="I338" t="inlineStr">
        <is>
          <t>Pursuit.AaMaxSeconds (AI MASTER P3)</t>
        </is>
      </c>
      <c r="J338" t="inlineStr">
        <is>
          <t>Assets/MachineBrigade/Resources/Data/tunables.json: ai.pursuit.aaMaxSeconds</t>
        </is>
      </c>
      <c r="K338" t="inlineStr">
        <is>
          <t>{"value":10.0,"unit":"s","kind":"thoi_gian","linh_vuc":"06","code":"Pursuit.AaMaxSeconds (AI MASTER P3)"}</t>
        </is>
      </c>
    </row>
    <row r="339">
      <c r="A339" t="inlineStr">
        <is>
          <t>ai.pursuit.ageFadeS</t>
        </is>
      </c>
      <c r="B339" t="inlineStr">
        <is>
          <t>pursuit</t>
        </is>
      </c>
      <c r="C339" t="inlineStr">
        <is>
          <t>ageFadeS</t>
        </is>
      </c>
      <c r="D339" t="n">
        <v>4</v>
      </c>
      <c r="F339" t="inlineStr">
        <is>
          <t>s</t>
        </is>
      </c>
      <c r="G339" t="inlineStr">
        <is>
          <t>thoi_gian</t>
        </is>
      </c>
      <c r="H339" t="inlineStr">
        <is>
          <t>06</t>
        </is>
      </c>
      <c r="I339" t="inlineStr">
        <is>
          <t>Pursuit.AgeFadeS (AI MASTER P3)</t>
        </is>
      </c>
      <c r="J339" t="inlineStr">
        <is>
          <t>Assets/MachineBrigade/Resources/Data/tunables.json: ai.pursuit.ageFadeS</t>
        </is>
      </c>
      <c r="K339" t="inlineStr">
        <is>
          <t>{"value":4.0,"unit":"s","kind":"thoi_gian","linh_vuc":"06","code":"Pursuit.AgeFadeS (AI MASTER P3)"}</t>
        </is>
      </c>
    </row>
    <row r="340">
      <c r="A340" t="inlineStr">
        <is>
          <t>ai.pursuit.baitDangerScale</t>
        </is>
      </c>
      <c r="B340" t="inlineStr">
        <is>
          <t>pursuit</t>
        </is>
      </c>
      <c r="C340" t="inlineStr">
        <is>
          <t>baitDangerScale</t>
        </is>
      </c>
      <c r="D340" t="n">
        <v>0.5</v>
      </c>
      <c r="F340" t="inlineStr">
        <is>
          <t>x</t>
        </is>
      </c>
      <c r="G340" t="inlineStr">
        <is>
          <t>nguong</t>
        </is>
      </c>
      <c r="H340" t="inlineStr">
        <is>
          <t>06</t>
        </is>
      </c>
      <c r="I340" t="inlineStr">
        <is>
          <t>Pursuit.BaitDangerScale (AI MASTER P3)</t>
        </is>
      </c>
      <c r="J340" t="inlineStr">
        <is>
          <t>Assets/MachineBrigade/Resources/Data/tunables.json: ai.pursuit.baitDangerScale</t>
        </is>
      </c>
      <c r="K340" t="inlineStr">
        <is>
          <t>{"value":0.5,"unit":"x","kind":"nguong","linh_vuc":"06","code":"Pursuit.BaitDangerScale (AI MASTER P3)"}</t>
        </is>
      </c>
    </row>
    <row r="341">
      <c r="A341" t="inlineStr">
        <is>
          <t>ai.pursuit.baitLeashMin</t>
        </is>
      </c>
      <c r="B341" t="inlineStr">
        <is>
          <t>pursuit</t>
        </is>
      </c>
      <c r="C341" t="inlineStr">
        <is>
          <t>baitLeashMin</t>
        </is>
      </c>
      <c r="D341" t="n">
        <v>0.4</v>
      </c>
      <c r="F341" t="inlineStr">
        <is>
          <t>x</t>
        </is>
      </c>
      <c r="G341" t="inlineStr">
        <is>
          <t>nguong</t>
        </is>
      </c>
      <c r="H341" t="inlineStr">
        <is>
          <t>06</t>
        </is>
      </c>
      <c r="I341" t="inlineStr">
        <is>
          <t>Pursuit.BaitLeashMin (AI MASTER P3)</t>
        </is>
      </c>
      <c r="J341" t="inlineStr">
        <is>
          <t>Assets/MachineBrigade/Resources/Data/tunables.json: ai.pursuit.baitLeashMin</t>
        </is>
      </c>
      <c r="K341" t="inlineStr">
        <is>
          <t>{"value":0.4,"unit":"x","kind":"nguong","linh_vuc":"06","code":"Pursuit.BaitLeashMin (AI MASTER P3)"}</t>
        </is>
      </c>
    </row>
    <row r="342">
      <c r="A342" t="inlineStr">
        <is>
          <t>ai.pursuit.cutoffConfidence</t>
        </is>
      </c>
      <c r="B342" t="inlineStr">
        <is>
          <t>pursuit</t>
        </is>
      </c>
      <c r="C342" t="inlineStr">
        <is>
          <t>cutoffConfidence</t>
        </is>
      </c>
      <c r="D342" t="n">
        <v>0.6</v>
      </c>
      <c r="F342" t="inlineStr">
        <is>
          <t>share</t>
        </is>
      </c>
      <c r="G342" t="inlineStr">
        <is>
          <t>nguong</t>
        </is>
      </c>
      <c r="H342" t="inlineStr">
        <is>
          <t>06</t>
        </is>
      </c>
      <c r="I342" t="inlineStr">
        <is>
          <t>Pursuit.CutoffConfidence (AI MASTER P3)</t>
        </is>
      </c>
      <c r="J342" t="inlineStr">
        <is>
          <t>Assets/MachineBrigade/Resources/Data/tunables.json: ai.pursuit.cutoffConfidence</t>
        </is>
      </c>
      <c r="K342" t="inlineStr">
        <is>
          <t>{"value":0.6,"unit":"share","kind":"nguong","linh_vuc":"06","code":"Pursuit.CutoffConfidence (AI MASTER P3)"}</t>
        </is>
      </c>
    </row>
    <row r="343">
      <c r="A343" t="inlineStr">
        <is>
          <t>ai.pursuit.cutoffLookS</t>
        </is>
      </c>
      <c r="B343" t="inlineStr">
        <is>
          <t>pursuit</t>
        </is>
      </c>
      <c r="C343" t="inlineStr">
        <is>
          <t>cutoffLookS</t>
        </is>
      </c>
      <c r="D343" t="n">
        <v>20</v>
      </c>
      <c r="F343" t="inlineStr">
        <is>
          <t>s</t>
        </is>
      </c>
      <c r="G343" t="inlineStr">
        <is>
          <t>thoi_gian</t>
        </is>
      </c>
      <c r="H343" t="inlineStr">
        <is>
          <t>06</t>
        </is>
      </c>
      <c r="I343" t="inlineStr">
        <is>
          <t>Pursuit.CutoffLookS (AI MASTER P3)</t>
        </is>
      </c>
      <c r="J343" t="inlineStr">
        <is>
          <t>Assets/MachineBrigade/Resources/Data/tunables.json: ai.pursuit.cutoffLookS</t>
        </is>
      </c>
      <c r="K343" t="inlineStr">
        <is>
          <t>{"value":20.0,"unit":"s","kind":"thoi_gian","linh_vuc":"06","code":"Pursuit.CutoffLookS (AI MASTER P3)"}</t>
        </is>
      </c>
    </row>
    <row r="344">
      <c r="A344" t="inlineStr">
        <is>
          <t>ai.pursuit.horizonS</t>
        </is>
      </c>
      <c r="B344" t="inlineStr">
        <is>
          <t>pursuit</t>
        </is>
      </c>
      <c r="C344" t="inlineStr">
        <is>
          <t>horizonS</t>
        </is>
      </c>
      <c r="D344" t="n">
        <v>6</v>
      </c>
      <c r="F344" t="inlineStr">
        <is>
          <t>s</t>
        </is>
      </c>
      <c r="G344" t="inlineStr">
        <is>
          <t>thoi_gian</t>
        </is>
      </c>
      <c r="H344" t="inlineStr">
        <is>
          <t>06</t>
        </is>
      </c>
      <c r="I344" t="inlineStr">
        <is>
          <t>Pursuit.HorizonS (AI MASTER P3)</t>
        </is>
      </c>
      <c r="J344" t="inlineStr">
        <is>
          <t>Assets/MachineBrigade/Resources/Data/tunables.json: ai.pursuit.horizonS</t>
        </is>
      </c>
      <c r="K344" t="inlineStr">
        <is>
          <t>{"value":6.0,"unit":"s","kind":"thoi_gian","linh_vuc":"06","code":"Pursuit.HorizonS (AI MASTER P3)"}</t>
        </is>
      </c>
    </row>
    <row r="345">
      <c r="A345" t="inlineStr">
        <is>
          <t>ai.pursuit.maxDistance</t>
        </is>
      </c>
      <c r="B345" t="inlineStr">
        <is>
          <t>pursuit</t>
        </is>
      </c>
      <c r="C345" t="inlineStr">
        <is>
          <t>maxDistance</t>
        </is>
      </c>
      <c r="D345" t="n">
        <v>60</v>
      </c>
      <c r="F345" t="inlineStr">
        <is>
          <t>m</t>
        </is>
      </c>
      <c r="G345" t="inlineStr">
        <is>
          <t>ban_kinh</t>
        </is>
      </c>
      <c r="H345" t="inlineStr">
        <is>
          <t>06</t>
        </is>
      </c>
      <c r="I345" t="inlineStr">
        <is>
          <t>Pursuit.MaxDistance (AI MASTER P3)</t>
        </is>
      </c>
      <c r="J345" t="inlineStr">
        <is>
          <t>Assets/MachineBrigade/Resources/Data/tunables.json: ai.pursuit.maxDistance</t>
        </is>
      </c>
      <c r="K345" t="inlineStr">
        <is>
          <t>{"value":60.0,"unit":"m","kind":"ban_kinh","linh_vuc":"06","code":"Pursuit.MaxDistance (AI MASTER P3)"}</t>
        </is>
      </c>
    </row>
    <row r="346">
      <c r="A346" t="inlineStr">
        <is>
          <t>ai.pursuit.maxSeconds</t>
        </is>
      </c>
      <c r="B346" t="inlineStr">
        <is>
          <t>pursuit</t>
        </is>
      </c>
      <c r="C346" t="inlineStr">
        <is>
          <t>maxSeconds</t>
        </is>
      </c>
      <c r="D346" t="n">
        <v>20</v>
      </c>
      <c r="F346" t="inlineStr">
        <is>
          <t>s</t>
        </is>
      </c>
      <c r="G346" t="inlineStr">
        <is>
          <t>thoi_gian</t>
        </is>
      </c>
      <c r="H346" t="inlineStr">
        <is>
          <t>06</t>
        </is>
      </c>
      <c r="I346" t="inlineStr">
        <is>
          <t>Pursuit.MaxSeconds (AI MASTER P3)</t>
        </is>
      </c>
      <c r="J346" t="inlineStr">
        <is>
          <t>Assets/MachineBrigade/Resources/Data/tunables.json: ai.pursuit.maxSeconds</t>
        </is>
      </c>
      <c r="K346" t="inlineStr">
        <is>
          <t>{"value":20.0,"unit":"s","kind":"thoi_gian","linh_vuc":"06","code":"Pursuit.MaxSeconds (AI MASTER P3)"}</t>
        </is>
      </c>
    </row>
    <row r="347">
      <c r="A347" t="inlineStr">
        <is>
          <t>ai.pursuit.retrySeconds</t>
        </is>
      </c>
      <c r="B347" t="inlineStr">
        <is>
          <t>pursuit</t>
        </is>
      </c>
      <c r="C347" t="inlineStr">
        <is>
          <t>retrySeconds</t>
        </is>
      </c>
      <c r="D347" t="n">
        <v>10</v>
      </c>
      <c r="F347" t="inlineStr">
        <is>
          <t>s</t>
        </is>
      </c>
      <c r="G347" t="inlineStr">
        <is>
          <t>thoi_gian</t>
        </is>
      </c>
      <c r="H347" t="inlineStr">
        <is>
          <t>06</t>
        </is>
      </c>
      <c r="I347" t="inlineStr">
        <is>
          <t>Pursuit.RetrySeconds (AI MASTER P3)</t>
        </is>
      </c>
      <c r="J347" t="inlineStr">
        <is>
          <t>Assets/MachineBrigade/Resources/Data/tunables.json: ai.pursuit.retrySeconds</t>
        </is>
      </c>
      <c r="K347" t="inlineStr">
        <is>
          <t>{"value":10.0,"unit":"s","kind":"thoi_gian","linh_vuc":"06","code":"Pursuit.RetrySeconds (AI MASTER P3)"}</t>
        </is>
      </c>
    </row>
    <row r="348">
      <c r="A348" t="inlineStr">
        <is>
          <t>ai.pursuit.urgencyDrop</t>
        </is>
      </c>
      <c r="B348" t="inlineStr">
        <is>
          <t>pursuit</t>
        </is>
      </c>
      <c r="C348" t="inlineStr">
        <is>
          <t>urgencyDrop</t>
        </is>
      </c>
      <c r="D348" t="n">
        <v>0.75</v>
      </c>
      <c r="F348" t="inlineStr">
        <is>
          <t>share</t>
        </is>
      </c>
      <c r="G348" t="inlineStr">
        <is>
          <t>nguong</t>
        </is>
      </c>
      <c r="H348" t="inlineStr">
        <is>
          <t>06</t>
        </is>
      </c>
      <c r="I348" t="inlineStr">
        <is>
          <t>Pursuit.UrgencyDrop (AI MASTER P3)</t>
        </is>
      </c>
      <c r="J348" t="inlineStr">
        <is>
          <t>Assets/MachineBrigade/Resources/Data/tunables.json: ai.pursuit.urgencyDrop</t>
        </is>
      </c>
      <c r="K348" t="inlineStr">
        <is>
          <t>{"value":0.75,"unit":"share","kind":"nguong","linh_vuc":"06","code":"Pursuit.UrgencyDrop (AI MASTER P3)"}</t>
        </is>
      </c>
    </row>
    <row r="349">
      <c r="A349" t="inlineStr">
        <is>
          <t>ai.rangeMargin.aaMissile</t>
        </is>
      </c>
      <c r="B349" t="inlineStr">
        <is>
          <t>rangeMargin</t>
        </is>
      </c>
      <c r="C349" t="inlineStr">
        <is>
          <t>aaMissile</t>
        </is>
      </c>
      <c r="D349" t="n">
        <v>0.065</v>
      </c>
      <c r="F349" t="inlineStr">
        <is>
          <t>share</t>
        </is>
      </c>
      <c r="G349" t="inlineStr">
        <is>
          <t>nguong</t>
        </is>
      </c>
      <c r="H349" t="inlineStr">
        <is>
          <t>06</t>
        </is>
      </c>
      <c r="I349" t="inlineStr">
        <is>
          <t>RangeMargin.AaMissile (AI MASTER P3)</t>
        </is>
      </c>
      <c r="J349" t="inlineStr">
        <is>
          <t>Assets/MachineBrigade/Resources/Data/tunables.json: ai.rangeMargin.aaMissile</t>
        </is>
      </c>
      <c r="K349" t="inlineStr">
        <is>
          <t>{"value":0.065,"unit":"share","kind":"nguong","linh_vuc":"06","code":"RangeMargin.AaMissile (AI MASTER P3)"}</t>
        </is>
      </c>
    </row>
    <row r="350">
      <c r="A350" t="inlineStr">
        <is>
          <t>ai.rangeMargin.artillery</t>
        </is>
      </c>
      <c r="B350" t="inlineStr">
        <is>
          <t>rangeMargin</t>
        </is>
      </c>
      <c r="C350" t="inlineStr">
        <is>
          <t>artillery</t>
        </is>
      </c>
      <c r="D350" t="n">
        <v>0.075</v>
      </c>
      <c r="F350" t="inlineStr">
        <is>
          <t>share</t>
        </is>
      </c>
      <c r="G350" t="inlineStr">
        <is>
          <t>nguong</t>
        </is>
      </c>
      <c r="H350" t="inlineStr">
        <is>
          <t>06</t>
        </is>
      </c>
      <c r="I350" t="inlineStr">
        <is>
          <t>RangeMargin.Artillery (AI MASTER P3)</t>
        </is>
      </c>
      <c r="J350" t="inlineStr">
        <is>
          <t>Assets/MachineBrigade/Resources/Data/tunables.json: ai.rangeMargin.artillery</t>
        </is>
      </c>
      <c r="K350" t="inlineStr">
        <is>
          <t>{"value":0.075,"unit":"share","kind":"nguong","linh_vuc":"06","code":"RangeMargin.Artillery (AI MASTER P3)"}</t>
        </is>
      </c>
    </row>
    <row r="351">
      <c r="A351" t="inlineStr">
        <is>
          <t>ai.rangeMargin.atgm</t>
        </is>
      </c>
      <c r="B351" t="inlineStr">
        <is>
          <t>rangeMargin</t>
        </is>
      </c>
      <c r="C351" t="inlineStr">
        <is>
          <t>atgm</t>
        </is>
      </c>
      <c r="D351" t="n">
        <v>0.05</v>
      </c>
      <c r="F351" t="inlineStr">
        <is>
          <t>share</t>
        </is>
      </c>
      <c r="G351" t="inlineStr">
        <is>
          <t>nguong</t>
        </is>
      </c>
      <c r="H351" t="inlineStr">
        <is>
          <t>06</t>
        </is>
      </c>
      <c r="I351" t="inlineStr">
        <is>
          <t>RangeMargin.Atgm (AI MASTER P3)</t>
        </is>
      </c>
      <c r="J351" t="inlineStr">
        <is>
          <t>Assets/MachineBrigade/Resources/Data/tunables.json: ai.rangeMargin.atgm</t>
        </is>
      </c>
      <c r="K351" t="inlineStr">
        <is>
          <t>{"value":0.05,"unit":"share","kind":"nguong","linh_vuc":"06","code":"RangeMargin.Atgm (AI MASTER P3)"}</t>
        </is>
      </c>
    </row>
    <row r="352">
      <c r="A352" t="inlineStr">
        <is>
          <t>ai.rangeMargin.direct</t>
        </is>
      </c>
      <c r="B352" t="inlineStr">
        <is>
          <t>rangeMargin</t>
        </is>
      </c>
      <c r="C352" t="inlineStr">
        <is>
          <t>direct</t>
        </is>
      </c>
      <c r="D352" t="n">
        <v>0.045</v>
      </c>
      <c r="F352" t="inlineStr">
        <is>
          <t>share</t>
        </is>
      </c>
      <c r="G352" t="inlineStr">
        <is>
          <t>nguong</t>
        </is>
      </c>
      <c r="H352" t="inlineStr">
        <is>
          <t>06</t>
        </is>
      </c>
      <c r="I352" t="inlineStr">
        <is>
          <t>RangeMargin.Direct (AI MASTER P3)</t>
        </is>
      </c>
      <c r="J352" t="inlineStr">
        <is>
          <t>Assets/MachineBrigade/Resources/Data/tunables.json: ai.rangeMargin.direct</t>
        </is>
      </c>
      <c r="K352" t="inlineStr">
        <is>
          <t>{"value":0.045,"unit":"share","kind":"nguong","linh_vuc":"06","code":"RangeMargin.Direct (AI MASTER P3)"}</t>
        </is>
      </c>
    </row>
    <row r="353">
      <c r="A353" t="inlineStr">
        <is>
          <t>ai.reserveRelease.breakthroughRatio</t>
        </is>
      </c>
      <c r="B353" t="inlineStr">
        <is>
          <t>reserveRelease</t>
        </is>
      </c>
      <c r="C353" t="inlineStr">
        <is>
          <t>breakthroughRatio</t>
        </is>
      </c>
      <c r="D353" t="n">
        <v>1.5</v>
      </c>
      <c r="F353" t="inlineStr">
        <is>
          <t>x</t>
        </is>
      </c>
      <c r="G353" t="inlineStr">
        <is>
          <t>nguong</t>
        </is>
      </c>
      <c r="H353" t="inlineStr">
        <is>
          <t>06</t>
        </is>
      </c>
      <c r="I353" t="inlineStr">
        <is>
          <t>ReserveRelease.BreakthroughRatio (AI MASTER P3)</t>
        </is>
      </c>
      <c r="J353" t="inlineStr">
        <is>
          <t>Assets/MachineBrigade/Resources/Data/tunables.json: ai.reserveRelease.breakthroughRatio</t>
        </is>
      </c>
      <c r="K353" t="inlineStr">
        <is>
          <t>{"value":1.5,"unit":"x","kind":"nguong","linh_vuc":"06","code":"ReserveRelease.BreakthroughRatio (AI MASTER P3)"}</t>
        </is>
      </c>
    </row>
    <row r="354">
      <c r="A354" t="inlineStr">
        <is>
          <t>ai.reserveRelease.collapseRatio</t>
        </is>
      </c>
      <c r="B354" t="inlineStr">
        <is>
          <t>reserveRelease</t>
        </is>
      </c>
      <c r="C354" t="inlineStr">
        <is>
          <t>collapseRatio</t>
        </is>
      </c>
      <c r="D354" t="n">
        <v>0.6</v>
      </c>
      <c r="F354" t="inlineStr">
        <is>
          <t>x</t>
        </is>
      </c>
      <c r="G354" t="inlineStr">
        <is>
          <t>nguong</t>
        </is>
      </c>
      <c r="H354" t="inlineStr">
        <is>
          <t>06</t>
        </is>
      </c>
      <c r="I354" t="inlineStr">
        <is>
          <t>ReserveRelease.CollapseRatio (AI MASTER P3)</t>
        </is>
      </c>
      <c r="J354" t="inlineStr">
        <is>
          <t>Assets/MachineBrigade/Resources/Data/tunables.json: ai.reserveRelease.collapseRatio</t>
        </is>
      </c>
      <c r="K354" t="inlineStr">
        <is>
          <t>{"value":0.6,"unit":"x","kind":"nguong","linh_vuc":"06","code":"ReserveRelease.CollapseRatio (AI MASTER P3)"}</t>
        </is>
      </c>
    </row>
    <row r="355">
      <c r="A355" t="inlineStr">
        <is>
          <t>ai.reserveRelease.exploitConfidence</t>
        </is>
      </c>
      <c r="B355" t="inlineStr">
        <is>
          <t>reserveRelease</t>
        </is>
      </c>
      <c r="C355" t="inlineStr">
        <is>
          <t>exploitConfidence</t>
        </is>
      </c>
      <c r="D355" t="n">
        <v>0.5</v>
      </c>
      <c r="F355" t="inlineStr">
        <is>
          <t>share</t>
        </is>
      </c>
      <c r="G355" t="inlineStr">
        <is>
          <t>nguong</t>
        </is>
      </c>
      <c r="H355" t="inlineStr">
        <is>
          <t>06</t>
        </is>
      </c>
      <c r="I355" t="inlineStr">
        <is>
          <t>ReserveRelease.ExploitConfidence (AI MASTER P3)</t>
        </is>
      </c>
      <c r="J355" t="inlineStr">
        <is>
          <t>Assets/MachineBrigade/Resources/Data/tunables.json: ai.reserveRelease.exploitConfidence</t>
        </is>
      </c>
      <c r="K355" t="inlineStr">
        <is>
          <t>{"value":0.5,"unit":"share","kind":"nguong","linh_vuc":"06","code":"ReserveRelease.ExploitConfidence (AI MASTER P3)"}</t>
        </is>
      </c>
    </row>
    <row r="356">
      <c r="A356" t="inlineStr">
        <is>
          <t>ai.reserveRelease.wonRatio</t>
        </is>
      </c>
      <c r="B356" t="inlineStr">
        <is>
          <t>reserveRelease</t>
        </is>
      </c>
      <c r="C356" t="inlineStr">
        <is>
          <t>wonRatio</t>
        </is>
      </c>
      <c r="D356" t="n">
        <v>2</v>
      </c>
      <c r="F356" t="inlineStr">
        <is>
          <t>x</t>
        </is>
      </c>
      <c r="G356" t="inlineStr">
        <is>
          <t>nguong</t>
        </is>
      </c>
      <c r="H356" t="inlineStr">
        <is>
          <t>06</t>
        </is>
      </c>
      <c r="I356" t="inlineStr">
        <is>
          <t>ReserveRelease.WonRatio (AI MASTER P3)</t>
        </is>
      </c>
      <c r="J356" t="inlineStr">
        <is>
          <t>Assets/MachineBrigade/Resources/Data/tunables.json: ai.reserveRelease.wonRatio</t>
        </is>
      </c>
      <c r="K356" t="inlineStr">
        <is>
          <t>{"value":2.0,"unit":"x","kind":"nguong","linh_vuc":"06","code":"ReserveRelease.WonRatio (AI MASTER P3)"}</t>
        </is>
      </c>
    </row>
    <row r="357">
      <c r="A357" t="inlineStr">
        <is>
          <t>ai.roleDoctrine.clusterRadius</t>
        </is>
      </c>
      <c r="B357" t="inlineStr">
        <is>
          <t>roleDoctrine</t>
        </is>
      </c>
      <c r="C357" t="inlineStr">
        <is>
          <t>clusterRadius</t>
        </is>
      </c>
      <c r="D357" t="n">
        <v>8</v>
      </c>
      <c r="F357" t="inlineStr">
        <is>
          <t>m</t>
        </is>
      </c>
      <c r="G357" t="inlineStr">
        <is>
          <t>ban_kinh</t>
        </is>
      </c>
      <c r="H357" t="inlineStr">
        <is>
          <t>06</t>
        </is>
      </c>
      <c r="I357" t="inlineStr">
        <is>
          <t>RoleDoctrine.ClusterRadius (AI MASTER P2)</t>
        </is>
      </c>
      <c r="J357" t="inlineStr">
        <is>
          <t>Assets/MachineBrigade/Resources/Data/tunables.json: ai.roleDoctrine.clusterRadius</t>
        </is>
      </c>
      <c r="K357" t="inlineStr">
        <is>
          <t>{"value":8.0,"unit":"m","kind":"ban_kinh","linh_vuc":"06","code":"RoleDoctrine.ClusterRadius (AI MASTER P2)"}</t>
        </is>
      </c>
    </row>
    <row r="358">
      <c r="A358" t="inlineStr">
        <is>
          <t>ai.roleDoctrine.heavySalvoMinWorth</t>
        </is>
      </c>
      <c r="B358" t="inlineStr">
        <is>
          <t>roleDoctrine</t>
        </is>
      </c>
      <c r="C358" t="inlineStr">
        <is>
          <t>heavySalvoMinWorth</t>
        </is>
      </c>
      <c r="D358" t="n">
        <v>4</v>
      </c>
      <c r="F358" t="inlineStr">
        <is>
          <t>CP</t>
        </is>
      </c>
      <c r="G358" t="inlineStr">
        <is>
          <t>nguong</t>
        </is>
      </c>
      <c r="H358" t="inlineStr">
        <is>
          <t>06</t>
        </is>
      </c>
      <c r="I358" t="inlineStr">
        <is>
          <t>RoleDoctrine.HeavySalvoMinWorth (AI MASTER P2)</t>
        </is>
      </c>
      <c r="J358" t="inlineStr">
        <is>
          <t>Assets/MachineBrigade/Resources/Data/tunables.json: ai.roleDoctrine.heavySalvoMinWorth</t>
        </is>
      </c>
      <c r="K358" t="inlineStr">
        <is>
          <t>{"value":4.0,"unit":"CP","kind":"nguong","linh_vuc":"06","code":"RoleDoctrine.HeavySalvoMinWorth (AI MASTER P2)"}</t>
        </is>
      </c>
    </row>
    <row r="359">
      <c r="A359" t="inlineStr">
        <is>
          <t>ai.roleDoctrine.lastResort</t>
        </is>
      </c>
      <c r="B359" t="inlineStr">
        <is>
          <t>roleDoctrine</t>
        </is>
      </c>
      <c r="C359" t="inlineStr">
        <is>
          <t>lastResort</t>
        </is>
      </c>
      <c r="D359" t="n">
        <v>0.35</v>
      </c>
      <c r="F359" t="inlineStr">
        <is>
          <t>x</t>
        </is>
      </c>
      <c r="G359" t="inlineStr">
        <is>
          <t>nguong</t>
        </is>
      </c>
      <c r="H359" t="inlineStr">
        <is>
          <t>06</t>
        </is>
      </c>
      <c r="I359" t="inlineStr">
        <is>
          <t>RoleDoctrine.LastResort (AI MASTER P2)</t>
        </is>
      </c>
      <c r="J359" t="inlineStr">
        <is>
          <t>Assets/MachineBrigade/Resources/Data/tunables.json: ai.roleDoctrine.lastResort</t>
        </is>
      </c>
      <c r="K359" t="inlineStr">
        <is>
          <t>{"value":0.35,"unit":"x","kind":"nguong","linh_vuc":"06","code":"RoleDoctrine.LastResort (AI MASTER P2)"}</t>
        </is>
      </c>
    </row>
    <row r="360">
      <c r="A360" t="inlineStr">
        <is>
          <t>ai.roleDoctrine.rankStep</t>
        </is>
      </c>
      <c r="B360" t="inlineStr">
        <is>
          <t>roleDoctrine</t>
        </is>
      </c>
      <c r="C360" t="inlineStr">
        <is>
          <t>rankStep</t>
        </is>
      </c>
      <c r="D360" t="n">
        <v>0.85</v>
      </c>
      <c r="F360" t="inlineStr">
        <is>
          <t>x</t>
        </is>
      </c>
      <c r="G360" t="inlineStr">
        <is>
          <t>nguong</t>
        </is>
      </c>
      <c r="H360" t="inlineStr">
        <is>
          <t>06</t>
        </is>
      </c>
      <c r="I360" t="inlineStr">
        <is>
          <t>RoleDoctrine.RankStep (AI MASTER P2)</t>
        </is>
      </c>
      <c r="J360" t="inlineStr">
        <is>
          <t>Assets/MachineBrigade/Resources/Data/tunables.json: ai.roleDoctrine.rankStep</t>
        </is>
      </c>
      <c r="K360" t="inlineStr">
        <is>
          <t>{"value":0.85,"unit":"x","kind":"nguong","linh_vuc":"06","code":"RoleDoctrine.RankStep (AI MASTER P2)"}</t>
        </is>
      </c>
    </row>
    <row r="361">
      <c r="A361" t="inlineStr">
        <is>
          <t>ai.roleDoctrine.rankTop</t>
        </is>
      </c>
      <c r="B361" t="inlineStr">
        <is>
          <t>roleDoctrine</t>
        </is>
      </c>
      <c r="C361" t="inlineStr">
        <is>
          <t>rankTop</t>
        </is>
      </c>
      <c r="D361" t="n">
        <v>1.6</v>
      </c>
      <c r="F361" t="inlineStr">
        <is>
          <t>x</t>
        </is>
      </c>
      <c r="G361" t="inlineStr">
        <is>
          <t>nguong</t>
        </is>
      </c>
      <c r="H361" t="inlineStr">
        <is>
          <t>06</t>
        </is>
      </c>
      <c r="I361" t="inlineStr">
        <is>
          <t>RoleDoctrine.RankTop (AI MASTER P2)</t>
        </is>
      </c>
      <c r="J361" t="inlineStr">
        <is>
          <t>Assets/MachineBrigade/Resources/Data/tunables.json: ai.roleDoctrine.rankTop</t>
        </is>
      </c>
      <c r="K361" t="inlineStr">
        <is>
          <t>{"value":1.6,"unit":"x","kind":"nguong","linh_vuc":"06","code":"RoleDoctrine.RankTop (AI MASTER P2)"}</t>
        </is>
      </c>
    </row>
    <row r="362">
      <c r="A362" t="inlineStr">
        <is>
          <t>ai.routes.bookSeconds</t>
        </is>
      </c>
      <c r="B362" t="inlineStr">
        <is>
          <t>routes</t>
        </is>
      </c>
      <c r="C362" t="inlineStr">
        <is>
          <t>bookSeconds</t>
        </is>
      </c>
      <c r="D362" t="n">
        <v>8</v>
      </c>
      <c r="F362" t="inlineStr">
        <is>
          <t>s</t>
        </is>
      </c>
      <c r="G362" t="inlineStr">
        <is>
          <t>thoi_gian</t>
        </is>
      </c>
      <c r="H362" t="inlineStr">
        <is>
          <t>06</t>
        </is>
      </c>
      <c r="I362" t="inlineStr">
        <is>
          <t>Routes.BookSeconds (AI MASTER P3)</t>
        </is>
      </c>
      <c r="J362" t="inlineStr">
        <is>
          <t>Assets/MachineBrigade/Resources/Data/tunables.json: ai.routes.bookSeconds</t>
        </is>
      </c>
      <c r="K362" t="inlineStr">
        <is>
          <t>{"value":8.0,"unit":"s","kind":"thoi_gian","linh_vuc":"06","code":"Routes.BookSeconds (AI MASTER P3)"}</t>
        </is>
      </c>
    </row>
    <row r="363">
      <c r="A363" t="inlineStr">
        <is>
          <t>ai.routes.congestionWeight</t>
        </is>
      </c>
      <c r="B363" t="inlineStr">
        <is>
          <t>routes</t>
        </is>
      </c>
      <c r="C363" t="inlineStr">
        <is>
          <t>congestionWeight</t>
        </is>
      </c>
      <c r="D363" t="n">
        <v>0.8</v>
      </c>
      <c r="F363" t="inlineStr">
        <is>
          <t>x</t>
        </is>
      </c>
      <c r="G363" t="inlineStr">
        <is>
          <t>nguong</t>
        </is>
      </c>
      <c r="H363" t="inlineStr">
        <is>
          <t>06</t>
        </is>
      </c>
      <c r="I363" t="inlineStr">
        <is>
          <t>Routes.CongestionWeight (AI MASTER P3)</t>
        </is>
      </c>
      <c r="J363" t="inlineStr">
        <is>
          <t>Assets/MachineBrigade/Resources/Data/tunables.json: ai.routes.congestionWeight</t>
        </is>
      </c>
      <c r="K363" t="inlineStr">
        <is>
          <t>{"value":0.8,"unit":"x","kind":"nguong","linh_vuc":"06","code":"Routes.CongestionWeight (AI MASTER P3)"}</t>
        </is>
      </c>
    </row>
    <row r="364">
      <c r="A364" t="inlineStr">
        <is>
          <t>ai.routes.distanceScale</t>
        </is>
      </c>
      <c r="B364" t="inlineStr">
        <is>
          <t>routes</t>
        </is>
      </c>
      <c r="C364" t="inlineStr">
        <is>
          <t>distanceScale</t>
        </is>
      </c>
      <c r="D364" t="n">
        <v>100</v>
      </c>
      <c r="F364" t="inlineStr">
        <is>
          <t>m</t>
        </is>
      </c>
      <c r="G364" t="inlineStr">
        <is>
          <t>ban_kinh</t>
        </is>
      </c>
      <c r="H364" t="inlineStr">
        <is>
          <t>06</t>
        </is>
      </c>
      <c r="I364" t="inlineStr">
        <is>
          <t>Routes.DistanceScale (AI MASTER P3)</t>
        </is>
      </c>
      <c r="J364" t="inlineStr">
        <is>
          <t>Assets/MachineBrigade/Resources/Data/tunables.json: ai.routes.distanceScale</t>
        </is>
      </c>
      <c r="K364" t="inlineStr">
        <is>
          <t>{"value":100.0,"unit":"m","kind":"ban_kinh","linh_vuc":"06","code":"Routes.DistanceScale (AI MASTER P3)"}</t>
        </is>
      </c>
    </row>
    <row r="365">
      <c r="A365" t="inlineStr">
        <is>
          <t>ai.routes.lossWeight</t>
        </is>
      </c>
      <c r="B365" t="inlineStr">
        <is>
          <t>routes</t>
        </is>
      </c>
      <c r="C365" t="inlineStr">
        <is>
          <t>lossWeight</t>
        </is>
      </c>
      <c r="D365" t="n">
        <v>0.7</v>
      </c>
      <c r="F365" t="inlineStr">
        <is>
          <t>x</t>
        </is>
      </c>
      <c r="G365" t="inlineStr">
        <is>
          <t>nguong</t>
        </is>
      </c>
      <c r="H365" t="inlineStr">
        <is>
          <t>06</t>
        </is>
      </c>
      <c r="I365" t="inlineStr">
        <is>
          <t>Routes.LossWeight (AI MASTER P3)</t>
        </is>
      </c>
      <c r="J365" t="inlineStr">
        <is>
          <t>Assets/MachineBrigade/Resources/Data/tunables.json: ai.routes.lossWeight</t>
        </is>
      </c>
      <c r="K365" t="inlineStr">
        <is>
          <t>{"value":0.7,"unit":"x","kind":"nguong","linh_vuc":"06","code":"Routes.LossWeight (AI MASTER P3)"}</t>
        </is>
      </c>
    </row>
    <row r="366">
      <c r="A366" t="inlineStr">
        <is>
          <t>ai.routes.occupancyRadius</t>
        </is>
      </c>
      <c r="B366" t="inlineStr">
        <is>
          <t>routes</t>
        </is>
      </c>
      <c r="C366" t="inlineStr">
        <is>
          <t>occupancyRadius</t>
        </is>
      </c>
      <c r="D366" t="n">
        <v>25</v>
      </c>
      <c r="F366" t="inlineStr">
        <is>
          <t>m</t>
        </is>
      </c>
      <c r="G366" t="inlineStr">
        <is>
          <t>ban_kinh</t>
        </is>
      </c>
      <c r="H366" t="inlineStr">
        <is>
          <t>06</t>
        </is>
      </c>
      <c r="I366" t="inlineStr">
        <is>
          <t>Routes.OccupancyRadius (AI MASTER P3)</t>
        </is>
      </c>
      <c r="J366" t="inlineStr">
        <is>
          <t>Assets/MachineBrigade/Resources/Data/tunables.json: ai.routes.occupancyRadius</t>
        </is>
      </c>
      <c r="K366" t="inlineStr">
        <is>
          <t>{"value":25.0,"unit":"m","kind":"ban_kinh","linh_vuc":"06","code":"Routes.OccupancyRadius (AI MASTER P3)"}</t>
        </is>
      </c>
    </row>
    <row r="367">
      <c r="A367" t="inlineStr">
        <is>
          <t>ai.routes.occupancyWeight</t>
        </is>
      </c>
      <c r="B367" t="inlineStr">
        <is>
          <t>routes</t>
        </is>
      </c>
      <c r="C367" t="inlineStr">
        <is>
          <t>occupancyWeight</t>
        </is>
      </c>
      <c r="D367" t="n">
        <v>0.5</v>
      </c>
      <c r="F367" t="inlineStr">
        <is>
          <t>x</t>
        </is>
      </c>
      <c r="G367" t="inlineStr">
        <is>
          <t>nguong</t>
        </is>
      </c>
      <c r="H367" t="inlineStr">
        <is>
          <t>06</t>
        </is>
      </c>
      <c r="I367" t="inlineStr">
        <is>
          <t>Routes.OccupancyWeight (AI MASTER P3)</t>
        </is>
      </c>
      <c r="J367" t="inlineStr">
        <is>
          <t>Assets/MachineBrigade/Resources/Data/tunables.json: ai.routes.occupancyWeight</t>
        </is>
      </c>
      <c r="K367" t="inlineStr">
        <is>
          <t>{"value":0.5,"unit":"x","kind":"nguong","linh_vuc":"06","code":"Routes.OccupancyWeight (AI MASTER P3)"}</t>
        </is>
      </c>
    </row>
    <row r="368">
      <c r="A368" t="inlineStr">
        <is>
          <t>ai.routes.points</t>
        </is>
      </c>
      <c r="B368" t="inlineStr">
        <is>
          <t>routes</t>
        </is>
      </c>
      <c r="C368" t="inlineStr">
        <is>
          <t>points</t>
        </is>
      </c>
      <c r="D368" t="n">
        <v>10</v>
      </c>
      <c r="F368" t="inlineStr">
        <is>
          <t>points</t>
        </is>
      </c>
      <c r="G368" t="inlineStr">
        <is>
          <t>nguong</t>
        </is>
      </c>
      <c r="H368" t="inlineStr">
        <is>
          <t>06</t>
        </is>
      </c>
      <c r="I368" t="inlineStr">
        <is>
          <t>Routes.Points (AI MASTER P3)</t>
        </is>
      </c>
      <c r="J368" t="inlineStr">
        <is>
          <t>Assets/MachineBrigade/Resources/Data/tunables.json: ai.routes.points</t>
        </is>
      </c>
      <c r="K368" t="inlineStr">
        <is>
          <t>{"value":10.0,"unit":"points","kind":"nguong","linh_vuc":"06","code":"Routes.Points (AI MASTER P3)"}</t>
        </is>
      </c>
    </row>
    <row r="369">
      <c r="A369" t="inlineStr">
        <is>
          <t>ai.squadLayer.breachMargin</t>
        </is>
      </c>
      <c r="B369" t="inlineStr">
        <is>
          <t>squadLayer</t>
        </is>
      </c>
      <c r="C369" t="inlineStr">
        <is>
          <t>breachMargin</t>
        </is>
      </c>
      <c r="D369" t="n">
        <v>0.8</v>
      </c>
      <c r="F369" t="inlineStr">
        <is>
          <t>x</t>
        </is>
      </c>
      <c r="G369" t="inlineStr">
        <is>
          <t>ban_kinh</t>
        </is>
      </c>
      <c r="H369" t="inlineStr">
        <is>
          <t>06</t>
        </is>
      </c>
      <c r="I369" t="inlineStr">
        <is>
          <t>SquadLayer.BreachMargin</t>
        </is>
      </c>
      <c r="J369" t="inlineStr">
        <is>
          <t>Assets/MachineBrigade/Resources/Data/tunables.json: ai.squadLayer.breachMargin</t>
        </is>
      </c>
      <c r="K369" t="inlineStr">
        <is>
          <t>{"value":0.8,"unit":"x","kind":"ban_kinh","linh_vuc":"06","code":"SquadLayer.BreachMargin"}</t>
        </is>
      </c>
    </row>
    <row r="370">
      <c r="A370" t="inlineStr">
        <is>
          <t>ai.squadLayer.gatherRadius</t>
        </is>
      </c>
      <c r="B370" t="inlineStr">
        <is>
          <t>squadLayer</t>
        </is>
      </c>
      <c r="C370" t="inlineStr">
        <is>
          <t>gatherRadius</t>
        </is>
      </c>
      <c r="D370" t="n">
        <v>25</v>
      </c>
      <c r="F370" t="inlineStr">
        <is>
          <t>m</t>
        </is>
      </c>
      <c r="G370" t="inlineStr">
        <is>
          <t>ban_kinh</t>
        </is>
      </c>
      <c r="H370" t="inlineStr">
        <is>
          <t>06</t>
        </is>
      </c>
      <c r="I370" t="inlineStr">
        <is>
          <t>SquadLayer.GatherRadius</t>
        </is>
      </c>
      <c r="J370" t="inlineStr">
        <is>
          <t>Assets/MachineBrigade/Resources/Data/tunables.json: ai.squadLayer.gatherRadius</t>
        </is>
      </c>
      <c r="K370" t="inlineStr">
        <is>
          <t>{"value":25.0,"unit":"m","kind":"ban_kinh","linh_vuc":"06","code":"SquadLayer.GatherRadius"}</t>
        </is>
      </c>
    </row>
    <row r="371">
      <c r="A371" t="inlineStr">
        <is>
          <t>ai.squadLayer.gatheredRadius</t>
        </is>
      </c>
      <c r="B371" t="inlineStr">
        <is>
          <t>squadLayer</t>
        </is>
      </c>
      <c r="C371" t="inlineStr">
        <is>
          <t>gatheredRadius</t>
        </is>
      </c>
      <c r="D371" t="n">
        <v>12</v>
      </c>
      <c r="F371" t="inlineStr">
        <is>
          <t>m</t>
        </is>
      </c>
      <c r="G371" t="inlineStr">
        <is>
          <t>ban_kinh</t>
        </is>
      </c>
      <c r="H371" t="inlineStr">
        <is>
          <t>06</t>
        </is>
      </c>
      <c r="I371" t="inlineStr">
        <is>
          <t>SquadLayer.GatheredRadius</t>
        </is>
      </c>
      <c r="J371" t="inlineStr">
        <is>
          <t>Assets/MachineBrigade/Resources/Data/tunables.json: ai.squadLayer.gatheredRadius</t>
        </is>
      </c>
      <c r="K371" t="inlineStr">
        <is>
          <t>{"value":12.0,"unit":"m","kind":"ban_kinh","linh_vuc":"06","code":"SquadLayer.GatheredRadius"}</t>
        </is>
      </c>
    </row>
    <row r="372">
      <c r="A372" t="inlineStr">
        <is>
          <t>ai.squadLayer.interval</t>
        </is>
      </c>
      <c r="B372" t="inlineStr">
        <is>
          <t>squadLayer</t>
        </is>
      </c>
      <c r="C372" t="inlineStr">
        <is>
          <t>interval</t>
        </is>
      </c>
      <c r="D372" t="n">
        <v>0.25</v>
      </c>
      <c r="F372" t="inlineStr">
        <is>
          <t>s</t>
        </is>
      </c>
      <c r="G372" t="inlineStr">
        <is>
          <t>thoi_gian</t>
        </is>
      </c>
      <c r="H372" t="inlineStr">
        <is>
          <t>06</t>
        </is>
      </c>
      <c r="I372" t="inlineStr">
        <is>
          <t>SquadLayer.Interval</t>
        </is>
      </c>
      <c r="J372" t="inlineStr">
        <is>
          <t>Assets/MachineBrigade/Resources/Data/tunables.json: ai.squadLayer.interval</t>
        </is>
      </c>
      <c r="K372" t="inlineStr">
        <is>
          <t>{"value":0.25,"unit":"s","kind":"thoi_gian","linh_vuc":"06","code":"SquadLayer.Interval"}</t>
        </is>
      </c>
    </row>
    <row r="373">
      <c r="A373" t="inlineStr">
        <is>
          <t>ai.squadLayer.joinReach</t>
        </is>
      </c>
      <c r="B373" t="inlineStr">
        <is>
          <t>squadLayer</t>
        </is>
      </c>
      <c r="C373" t="inlineStr">
        <is>
          <t>joinReach</t>
        </is>
      </c>
      <c r="D373" t="n">
        <v>60</v>
      </c>
      <c r="F373" t="inlineStr">
        <is>
          <t>m</t>
        </is>
      </c>
      <c r="G373" t="inlineStr">
        <is>
          <t>ban_kinh</t>
        </is>
      </c>
      <c r="H373" t="inlineStr">
        <is>
          <t>06</t>
        </is>
      </c>
      <c r="I373" t="inlineStr">
        <is>
          <t>SquadLayer.JoinReach</t>
        </is>
      </c>
      <c r="J373" t="inlineStr">
        <is>
          <t>Assets/MachineBrigade/Resources/Data/tunables.json: ai.squadLayer.joinReach</t>
        </is>
      </c>
      <c r="K373" t="inlineStr">
        <is>
          <t>{"value":60.0,"unit":"m","kind":"ban_kinh","linh_vuc":"06","code":"SquadLayer.JoinReach"}</t>
        </is>
      </c>
    </row>
    <row r="374">
      <c r="A374" t="inlineStr">
        <is>
          <t>ai.squadLayer.maxSquad</t>
        </is>
      </c>
      <c r="B374" t="inlineStr">
        <is>
          <t>squadLayer</t>
        </is>
      </c>
      <c r="C374" t="inlineStr">
        <is>
          <t>maxSquad</t>
        </is>
      </c>
      <c r="D374" t="n">
        <v>9</v>
      </c>
      <c r="F374" t="inlineStr">
        <is>
          <t>count</t>
        </is>
      </c>
      <c r="G374" t="inlineStr">
        <is>
          <t>tran</t>
        </is>
      </c>
      <c r="H374" t="inlineStr">
        <is>
          <t>06</t>
        </is>
      </c>
      <c r="I374" t="inlineStr">
        <is>
          <t>SquadLayer.MaxSquad</t>
        </is>
      </c>
      <c r="J374" t="inlineStr">
        <is>
          <t>Assets/MachineBrigade/Resources/Data/tunables.json: ai.squadLayer.maxSquad</t>
        </is>
      </c>
      <c r="K374" t="inlineStr">
        <is>
          <t>{"value":9,"unit":"count","kind":"tran","linh_vuc":"06","code":"SquadLayer.MaxSquad"}</t>
        </is>
      </c>
    </row>
    <row r="375">
      <c r="A375" t="inlineStr">
        <is>
          <t>ai.squadLayer.minSquad</t>
        </is>
      </c>
      <c r="B375" t="inlineStr">
        <is>
          <t>squadLayer</t>
        </is>
      </c>
      <c r="C375" t="inlineStr">
        <is>
          <t>minSquad</t>
        </is>
      </c>
      <c r="D375" t="n">
        <v>3</v>
      </c>
      <c r="F375" t="inlineStr">
        <is>
          <t>count</t>
        </is>
      </c>
      <c r="G375" t="inlineStr">
        <is>
          <t>gioi_han_thuc_the</t>
        </is>
      </c>
      <c r="H375" t="inlineStr">
        <is>
          <t>06</t>
        </is>
      </c>
      <c r="I375" t="inlineStr">
        <is>
          <t>SquadLayer.MinSquad</t>
        </is>
      </c>
      <c r="J375" t="inlineStr">
        <is>
          <t>Assets/MachineBrigade/Resources/Data/tunables.json: ai.squadLayer.minSquad</t>
        </is>
      </c>
      <c r="K375" t="inlineStr">
        <is>
          <t>{"value":3,"unit":"count","kind":"gioi_han_thuc_the","linh_vuc":"06","code":"SquadLayer.MinSquad"}</t>
        </is>
      </c>
    </row>
    <row r="376">
      <c r="A376" t="inlineStr">
        <is>
          <t>ai.squadLayer.shortMoveEvery</t>
        </is>
      </c>
      <c r="B376" t="inlineStr">
        <is>
          <t>squadLayer</t>
        </is>
      </c>
      <c r="C376" t="inlineStr">
        <is>
          <t>shortMoveEvery</t>
        </is>
      </c>
      <c r="D376" t="n">
        <v>8</v>
      </c>
      <c r="F376" t="inlineStr">
        <is>
          <t>s</t>
        </is>
      </c>
      <c r="G376" t="inlineStr">
        <is>
          <t>thoi_gian</t>
        </is>
      </c>
      <c r="H376" t="inlineStr">
        <is>
          <t>06</t>
        </is>
      </c>
      <c r="I376" t="inlineStr">
        <is>
          <t>SquadLayer.ShortMoveEvery</t>
        </is>
      </c>
      <c r="J376" t="inlineStr">
        <is>
          <t>Assets/MachineBrigade/Resources/Data/tunables.json: ai.squadLayer.shortMoveEvery</t>
        </is>
      </c>
      <c r="K376" t="inlineStr">
        <is>
          <t>{"value":8.0,"unit":"s","kind":"thoi_gian","linh_vuc":"06","code":"SquadLayer.ShortMoveEvery"}</t>
        </is>
      </c>
    </row>
    <row r="377">
      <c r="A377" t="inlineStr">
        <is>
          <t>ai.squadLayer.supportReach</t>
        </is>
      </c>
      <c r="B377" t="inlineStr">
        <is>
          <t>squadLayer</t>
        </is>
      </c>
      <c r="C377" t="inlineStr">
        <is>
          <t>supportReach</t>
        </is>
      </c>
      <c r="D377" t="n">
        <v>80</v>
      </c>
      <c r="F377" t="inlineStr">
        <is>
          <t>m</t>
        </is>
      </c>
      <c r="G377" t="inlineStr">
        <is>
          <t>ban_kinh</t>
        </is>
      </c>
      <c r="H377" t="inlineStr">
        <is>
          <t>06</t>
        </is>
      </c>
      <c r="I377" t="inlineStr">
        <is>
          <t>SquadLayer.SupportReach</t>
        </is>
      </c>
      <c r="J377" t="inlineStr">
        <is>
          <t>Assets/MachineBrigade/Resources/Data/tunables.json: ai.squadLayer.supportReach</t>
        </is>
      </c>
      <c r="K377" t="inlineStr">
        <is>
          <t>{"value":80.0,"unit":"m","kind":"ban_kinh","linh_vuc":"06","code":"SquadLayer.SupportReach"}</t>
        </is>
      </c>
    </row>
    <row r="378">
      <c r="A378" t="inlineStr">
        <is>
          <t>ai.squadLayer.threatMetres</t>
        </is>
      </c>
      <c r="B378" t="inlineStr">
        <is>
          <t>squadLayer</t>
        </is>
      </c>
      <c r="C378" t="inlineStr">
        <is>
          <t>threatMetres</t>
        </is>
      </c>
      <c r="D378" t="n">
        <v>40</v>
      </c>
      <c r="F378" t="inlineStr">
        <is>
          <t>m</t>
        </is>
      </c>
      <c r="G378" t="inlineStr">
        <is>
          <t>ban_kinh</t>
        </is>
      </c>
      <c r="H378" t="inlineStr">
        <is>
          <t>06</t>
        </is>
      </c>
      <c r="I378" t="inlineStr">
        <is>
          <t>SquadLayer.ThreatMetres</t>
        </is>
      </c>
      <c r="J378" t="inlineStr">
        <is>
          <t>Assets/MachineBrigade/Resources/Data/tunables.json: ai.squadLayer.threatMetres</t>
        </is>
      </c>
      <c r="K378" t="inlineStr">
        <is>
          <t>{"value":40.0,"unit":"m","kind":"ban_kinh","linh_vuc":"06","code":"SquadLayer.ThreatMetres"}</t>
        </is>
      </c>
    </row>
    <row r="379">
      <c r="A379" t="inlineStr">
        <is>
          <t>ai.squads.cohesionRecover</t>
        </is>
      </c>
      <c r="B379" t="inlineStr">
        <is>
          <t>squads</t>
        </is>
      </c>
      <c r="C379" t="inlineStr">
        <is>
          <t>cohesionRecover</t>
        </is>
      </c>
      <c r="D379" t="n">
        <v>0.7</v>
      </c>
      <c r="F379" t="inlineStr">
        <is>
          <t>share</t>
        </is>
      </c>
      <c r="G379" t="inlineStr">
        <is>
          <t>nguong</t>
        </is>
      </c>
      <c r="H379" t="inlineStr">
        <is>
          <t>06</t>
        </is>
      </c>
      <c r="I379" t="inlineStr">
        <is>
          <t>Squads.CohesionRecover (AI MASTER P2)</t>
        </is>
      </c>
      <c r="J379" t="inlineStr">
        <is>
          <t>Assets/MachineBrigade/Resources/Data/tunables.json: ai.squads.cohesionRecover</t>
        </is>
      </c>
      <c r="K379" t="inlineStr">
        <is>
          <t>{"value":0.7,"unit":"share","kind":"nguong","linh_vuc":"06","code":"Squads.CohesionRecover (AI MASTER P2)"}</t>
        </is>
      </c>
    </row>
    <row r="380">
      <c r="A380" t="inlineStr">
        <is>
          <t>ai.squads.cohesionRegroup</t>
        </is>
      </c>
      <c r="B380" t="inlineStr">
        <is>
          <t>squads</t>
        </is>
      </c>
      <c r="C380" t="inlineStr">
        <is>
          <t>cohesionRegroup</t>
        </is>
      </c>
      <c r="D380" t="n">
        <v>0.55</v>
      </c>
      <c r="F380" t="inlineStr">
        <is>
          <t>share</t>
        </is>
      </c>
      <c r="G380" t="inlineStr">
        <is>
          <t>nguong</t>
        </is>
      </c>
      <c r="H380" t="inlineStr">
        <is>
          <t>06</t>
        </is>
      </c>
      <c r="I380" t="inlineStr">
        <is>
          <t>Squads.CohesionRegroup (AI MASTER P2)</t>
        </is>
      </c>
      <c r="J380" t="inlineStr">
        <is>
          <t>Assets/MachineBrigade/Resources/Data/tunables.json: ai.squads.cohesionRegroup</t>
        </is>
      </c>
      <c r="K380" t="inlineStr">
        <is>
          <t>{"value":0.55,"unit":"share","kind":"nguong","linh_vuc":"06","code":"Squads.CohesionRegroup (AI MASTER P2)"}</t>
        </is>
      </c>
    </row>
    <row r="381">
      <c r="A381" t="inlineStr">
        <is>
          <t>ai.squads.cohesionSeconds</t>
        </is>
      </c>
      <c r="B381" t="inlineStr">
        <is>
          <t>squads</t>
        </is>
      </c>
      <c r="C381" t="inlineStr">
        <is>
          <t>cohesionSeconds</t>
        </is>
      </c>
      <c r="D381" t="n">
        <v>2</v>
      </c>
      <c r="F381" t="inlineStr">
        <is>
          <t>s</t>
        </is>
      </c>
      <c r="G381" t="inlineStr">
        <is>
          <t>thoi_gian</t>
        </is>
      </c>
      <c r="H381" t="inlineStr">
        <is>
          <t>06</t>
        </is>
      </c>
      <c r="I381" t="inlineStr">
        <is>
          <t>Squads.CohesionSeconds (AI MASTER P2)</t>
        </is>
      </c>
      <c r="J381" t="inlineStr">
        <is>
          <t>Assets/MachineBrigade/Resources/Data/tunables.json: ai.squads.cohesionSeconds</t>
        </is>
      </c>
      <c r="K381" t="inlineStr">
        <is>
          <t>{"value":2.0,"unit":"s","kind":"thoi_gian","linh_vuc":"06","code":"Squads.CohesionSeconds (AI MASTER P2)"}</t>
        </is>
      </c>
    </row>
    <row r="382">
      <c r="A382" t="inlineStr">
        <is>
          <t>ai.squads.cohesionWeights</t>
        </is>
      </c>
      <c r="B382" t="inlineStr">
        <is>
          <t>squads</t>
        </is>
      </c>
      <c r="C382" t="inlineStr">
        <is>
          <t>cohesionWeights</t>
        </is>
      </c>
      <c r="E382" t="inlineStr">
        <is>
          <t>0.45;0.3;0.25</t>
        </is>
      </c>
      <c r="F382" t="inlineStr">
        <is>
          <t>share</t>
        </is>
      </c>
      <c r="G382" t="inlineStr">
        <is>
          <t>nguong</t>
        </is>
      </c>
      <c r="H382" t="inlineStr">
        <is>
          <t>06</t>
        </is>
      </c>
      <c r="I382" t="inlineStr">
        <is>
          <t>Squads.CohesionWeights (AI MASTER P2)</t>
        </is>
      </c>
      <c r="J382" t="inlineStr">
        <is>
          <t>Assets/MachineBrigade/Resources/Data/tunables.json: ai.squads.cohesionWeights</t>
        </is>
      </c>
      <c r="K382" t="inlineStr">
        <is>
          <t>{"value":[0.45,0.3,0.25],"unit":"share","kind":"nguong","linh_vuc":"06","code":"Squads.CohesionWeights (AI MASTER P2)"}</t>
        </is>
      </c>
    </row>
    <row r="383">
      <c r="A383" t="inlineStr">
        <is>
          <t>ai.squads.desiredMax</t>
        </is>
      </c>
      <c r="B383" t="inlineStr">
        <is>
          <t>squads</t>
        </is>
      </c>
      <c r="C383" t="inlineStr">
        <is>
          <t>desiredMax</t>
        </is>
      </c>
      <c r="D383" t="n">
        <v>7</v>
      </c>
      <c r="F383" t="inlineStr">
        <is>
          <t>count</t>
        </is>
      </c>
      <c r="G383" t="inlineStr">
        <is>
          <t>gioi_han_thuc_the</t>
        </is>
      </c>
      <c r="H383" t="inlineStr">
        <is>
          <t>06</t>
        </is>
      </c>
      <c r="I383" t="inlineStr">
        <is>
          <t>Squads.DesiredMax (AI MASTER P2)</t>
        </is>
      </c>
      <c r="J383" t="inlineStr">
        <is>
          <t>Assets/MachineBrigade/Resources/Data/tunables.json: ai.squads.desiredMax</t>
        </is>
      </c>
      <c r="K383" t="inlineStr">
        <is>
          <t>{"value":7,"unit":"count","kind":"gioi_han_thuc_the","linh_vuc":"06","code":"Squads.DesiredMax (AI MASTER P2)"}</t>
        </is>
      </c>
    </row>
    <row r="384">
      <c r="A384" t="inlineStr">
        <is>
          <t>ai.squads.desiredMin</t>
        </is>
      </c>
      <c r="B384" t="inlineStr">
        <is>
          <t>squads</t>
        </is>
      </c>
      <c r="C384" t="inlineStr">
        <is>
          <t>desiredMin</t>
        </is>
      </c>
      <c r="D384" t="n">
        <v>5</v>
      </c>
      <c r="F384" t="inlineStr">
        <is>
          <t>count</t>
        </is>
      </c>
      <c r="G384" t="inlineStr">
        <is>
          <t>gioi_han_thuc_the</t>
        </is>
      </c>
      <c r="H384" t="inlineStr">
        <is>
          <t>06</t>
        </is>
      </c>
      <c r="I384" t="inlineStr">
        <is>
          <t>Squads.DesiredMin (AI MASTER P2)</t>
        </is>
      </c>
      <c r="J384" t="inlineStr">
        <is>
          <t>Assets/MachineBrigade/Resources/Data/tunables.json: ai.squads.desiredMin</t>
        </is>
      </c>
      <c r="K384" t="inlineStr">
        <is>
          <t>{"value":5,"unit":"count","kind":"gioi_han_thuc_the","linh_vuc":"06","code":"Squads.DesiredMin (AI MASTER P2)"}</t>
        </is>
      </c>
    </row>
    <row r="385">
      <c r="A385" t="inlineStr">
        <is>
          <t>ai.squads.joinPredictSeconds</t>
        </is>
      </c>
      <c r="B385" t="inlineStr">
        <is>
          <t>squads</t>
        </is>
      </c>
      <c r="C385" t="inlineStr">
        <is>
          <t>joinPredictSeconds</t>
        </is>
      </c>
      <c r="D385" t="n">
        <v>6</v>
      </c>
      <c r="F385" t="inlineStr">
        <is>
          <t>s</t>
        </is>
      </c>
      <c r="G385" t="inlineStr">
        <is>
          <t>thoi_gian</t>
        </is>
      </c>
      <c r="H385" t="inlineStr">
        <is>
          <t>06</t>
        </is>
      </c>
      <c r="I385" t="inlineStr">
        <is>
          <t>Squads.JoinPredictSeconds (AI MASTER P2)</t>
        </is>
      </c>
      <c r="J385" t="inlineStr">
        <is>
          <t>Assets/MachineBrigade/Resources/Data/tunables.json: ai.squads.joinPredictSeconds</t>
        </is>
      </c>
      <c r="K385" t="inlineStr">
        <is>
          <t>{"value":6.0,"unit":"s","kind":"thoi_gian","linh_vuc":"06","code":"Squads.JoinPredictSeconds (AI MASTER P2)"}</t>
        </is>
      </c>
    </row>
    <row r="386">
      <c r="A386" t="inlineStr">
        <is>
          <t>ai.squads.mergeDistance</t>
        </is>
      </c>
      <c r="B386" t="inlineStr">
        <is>
          <t>squads</t>
        </is>
      </c>
      <c r="C386" t="inlineStr">
        <is>
          <t>mergeDistance</t>
        </is>
      </c>
      <c r="D386" t="n">
        <v>35</v>
      </c>
      <c r="F386" t="inlineStr">
        <is>
          <t>m</t>
        </is>
      </c>
      <c r="G386" t="inlineStr">
        <is>
          <t>ban_kinh</t>
        </is>
      </c>
      <c r="H386" t="inlineStr">
        <is>
          <t>06</t>
        </is>
      </c>
      <c r="I386" t="inlineStr">
        <is>
          <t>Squads.MergeDistance (AI MASTER P2)</t>
        </is>
      </c>
      <c r="J386" t="inlineStr">
        <is>
          <t>Assets/MachineBrigade/Resources/Data/tunables.json: ai.squads.mergeDistance</t>
        </is>
      </c>
      <c r="K386" t="inlineStr">
        <is>
          <t>{"value":35.0,"unit":"m","kind":"ban_kinh","linh_vuc":"06","code":"Squads.MergeDistance (AI MASTER P2)"}</t>
        </is>
      </c>
    </row>
    <row r="387">
      <c r="A387" t="inlineStr">
        <is>
          <t>ai.squads.mergeShare</t>
        </is>
      </c>
      <c r="B387" t="inlineStr">
        <is>
          <t>squads</t>
        </is>
      </c>
      <c r="C387" t="inlineStr">
        <is>
          <t>mergeShare</t>
        </is>
      </c>
      <c r="D387" t="n">
        <v>0.45</v>
      </c>
      <c r="F387" t="inlineStr">
        <is>
          <t>share</t>
        </is>
      </c>
      <c r="G387" t="inlineStr">
        <is>
          <t>nguong</t>
        </is>
      </c>
      <c r="H387" t="inlineStr">
        <is>
          <t>06</t>
        </is>
      </c>
      <c r="I387" t="inlineStr">
        <is>
          <t>Squads.MergeShare (AI MASTER P2)</t>
        </is>
      </c>
      <c r="J387" t="inlineStr">
        <is>
          <t>Assets/MachineBrigade/Resources/Data/tunables.json: ai.squads.mergeShare</t>
        </is>
      </c>
      <c r="K387" t="inlineStr">
        <is>
          <t>{"value":0.45,"unit":"share","kind":"nguong","linh_vuc":"06","code":"Squads.MergeShare (AI MASTER P2)"}</t>
        </is>
      </c>
    </row>
    <row r="388">
      <c r="A388" t="inlineStr">
        <is>
          <t>ai.squads.pendingTimeout</t>
        </is>
      </c>
      <c r="B388" t="inlineStr">
        <is>
          <t>squads</t>
        </is>
      </c>
      <c r="C388" t="inlineStr">
        <is>
          <t>pendingTimeout</t>
        </is>
      </c>
      <c r="D388" t="n">
        <v>45</v>
      </c>
      <c r="F388" t="inlineStr">
        <is>
          <t>s</t>
        </is>
      </c>
      <c r="G388" t="inlineStr">
        <is>
          <t>thoi_gian</t>
        </is>
      </c>
      <c r="H388" t="inlineStr">
        <is>
          <t>06</t>
        </is>
      </c>
      <c r="I388" t="inlineStr">
        <is>
          <t>Squads.PendingTimeout (AI MASTER P2)</t>
        </is>
      </c>
      <c r="J388" t="inlineStr">
        <is>
          <t>Assets/MachineBrigade/Resources/Data/tunables.json: ai.squads.pendingTimeout</t>
        </is>
      </c>
      <c r="K388" t="inlineStr">
        <is>
          <t>{"value":45.0,"unit":"s","kind":"thoi_gian","linh_vuc":"06","code":"Squads.PendingTimeout (AI MASTER P2)"}</t>
        </is>
      </c>
    </row>
    <row r="389">
      <c r="A389" t="inlineStr">
        <is>
          <t>ai.squads.reassignmentCost</t>
        </is>
      </c>
      <c r="B389" t="inlineStr">
        <is>
          <t>squads</t>
        </is>
      </c>
      <c r="C389" t="inlineStr">
        <is>
          <t>reassignmentCost</t>
        </is>
      </c>
      <c r="D389" t="n">
        <v>10</v>
      </c>
      <c r="F389" t="inlineStr">
        <is>
          <t>points</t>
        </is>
      </c>
      <c r="G389" t="inlineStr">
        <is>
          <t>nguong</t>
        </is>
      </c>
      <c r="H389" t="inlineStr">
        <is>
          <t>06</t>
        </is>
      </c>
      <c r="I389" t="inlineStr">
        <is>
          <t>Squads.ReassignmentCost (AI MASTER P2)</t>
        </is>
      </c>
      <c r="J389" t="inlineStr">
        <is>
          <t>Assets/MachineBrigade/Resources/Data/tunables.json: ai.squads.reassignmentCost</t>
        </is>
      </c>
      <c r="K389" t="inlineStr">
        <is>
          <t>{"value":10.0,"unit":"points","kind":"nguong","linh_vuc":"06","code":"Squads.ReassignmentCost (AI MASTER P2)"}</t>
        </is>
      </c>
    </row>
    <row r="390">
      <c r="A390" t="inlineStr">
        <is>
          <t>ai.squads.receiveRadius</t>
        </is>
      </c>
      <c r="B390" t="inlineStr">
        <is>
          <t>squads</t>
        </is>
      </c>
      <c r="C390" t="inlineStr">
        <is>
          <t>receiveRadius</t>
        </is>
      </c>
      <c r="D390" t="n">
        <v>16</v>
      </c>
      <c r="F390" t="inlineStr">
        <is>
          <t>m</t>
        </is>
      </c>
      <c r="G390" t="inlineStr">
        <is>
          <t>ban_kinh</t>
        </is>
      </c>
      <c r="H390" t="inlineStr">
        <is>
          <t>06</t>
        </is>
      </c>
      <c r="I390" t="inlineStr">
        <is>
          <t>Squads.ReceiveRadius (AI MASTER P2)</t>
        </is>
      </c>
      <c r="J390" t="inlineStr">
        <is>
          <t>Assets/MachineBrigade/Resources/Data/tunables.json: ai.squads.receiveRadius</t>
        </is>
      </c>
      <c r="K390" t="inlineStr">
        <is>
          <t>{"value":16.0,"unit":"m","kind":"ban_kinh","linh_vuc":"06","code":"Squads.ReceiveRadius (AI MASTER P2)"}</t>
        </is>
      </c>
    </row>
    <row r="391">
      <c r="A391" t="inlineStr">
        <is>
          <t>ai.squads.reinforceReach</t>
        </is>
      </c>
      <c r="B391" t="inlineStr">
        <is>
          <t>squads</t>
        </is>
      </c>
      <c r="C391" t="inlineStr">
        <is>
          <t>reinforceReach</t>
        </is>
      </c>
      <c r="D391" t="n">
        <v>150</v>
      </c>
      <c r="F391" t="inlineStr">
        <is>
          <t>m</t>
        </is>
      </c>
      <c r="G391" t="inlineStr">
        <is>
          <t>ban_kinh</t>
        </is>
      </c>
      <c r="H391" t="inlineStr">
        <is>
          <t>06</t>
        </is>
      </c>
      <c r="I391" t="inlineStr">
        <is>
          <t>Squads.ReinforceReach (AI MASTER P2)</t>
        </is>
      </c>
      <c r="J391" t="inlineStr">
        <is>
          <t>Assets/MachineBrigade/Resources/Data/tunables.json: ai.squads.reinforceReach</t>
        </is>
      </c>
      <c r="K391" t="inlineStr">
        <is>
          <t>{"value":150.0,"unit":"m","kind":"ban_kinh","linh_vuc":"06","code":"Squads.ReinforceReach (AI MASTER P2)"}</t>
        </is>
      </c>
    </row>
    <row r="392">
      <c r="A392" t="inlineStr">
        <is>
          <t>ai.squads.rendezvousBack</t>
        </is>
      </c>
      <c r="B392" t="inlineStr">
        <is>
          <t>squads</t>
        </is>
      </c>
      <c r="C392" t="inlineStr">
        <is>
          <t>rendezvousBack</t>
        </is>
      </c>
      <c r="D392" t="n">
        <v>15</v>
      </c>
      <c r="F392" t="inlineStr">
        <is>
          <t>m</t>
        </is>
      </c>
      <c r="G392" t="inlineStr">
        <is>
          <t>ban_kinh</t>
        </is>
      </c>
      <c r="H392" t="inlineStr">
        <is>
          <t>06</t>
        </is>
      </c>
      <c r="I392" t="inlineStr">
        <is>
          <t>Squads.RendezvousBack (AI MASTER P2)</t>
        </is>
      </c>
      <c r="J392" t="inlineStr">
        <is>
          <t>Assets/MachineBrigade/Resources/Data/tunables.json: ai.squads.rendezvousBack</t>
        </is>
      </c>
      <c r="K392" t="inlineStr">
        <is>
          <t>{"value":15.0,"unit":"m","kind":"ban_kinh","linh_vuc":"06","code":"Squads.RendezvousBack (AI MASTER P2)"}</t>
        </is>
      </c>
    </row>
    <row r="393">
      <c r="A393" t="inlineStr">
        <is>
          <t>ai.squads.supportReach</t>
        </is>
      </c>
      <c r="B393" t="inlineStr">
        <is>
          <t>squads</t>
        </is>
      </c>
      <c r="C393" t="inlineStr">
        <is>
          <t>supportReach</t>
        </is>
      </c>
      <c r="D393" t="n">
        <v>25</v>
      </c>
      <c r="F393" t="inlineStr">
        <is>
          <t>m</t>
        </is>
      </c>
      <c r="G393" t="inlineStr">
        <is>
          <t>ban_kinh</t>
        </is>
      </c>
      <c r="H393" t="inlineStr">
        <is>
          <t>06</t>
        </is>
      </c>
      <c r="I393" t="inlineStr">
        <is>
          <t>Squads.SupportReach (AI MASTER P2)</t>
        </is>
      </c>
      <c r="J393" t="inlineStr">
        <is>
          <t>Assets/MachineBrigade/Resources/Data/tunables.json: ai.squads.supportReach</t>
        </is>
      </c>
      <c r="K393" t="inlineStr">
        <is>
          <t>{"value":25.0,"unit":"m","kind":"ban_kinh","linh_vuc":"06","code":"Squads.SupportReach (AI MASTER P2)"}</t>
        </is>
      </c>
    </row>
    <row r="394">
      <c r="A394" t="inlineStr">
        <is>
          <t>ai.stagger.window</t>
        </is>
      </c>
      <c r="B394" t="inlineStr">
        <is>
          <t>stagger</t>
        </is>
      </c>
      <c r="C394" t="inlineStr">
        <is>
          <t>window</t>
        </is>
      </c>
      <c r="E394" t="inlineStr">
        <is>
          <t>0.15;0.4</t>
        </is>
      </c>
      <c r="F394" t="inlineStr">
        <is>
          <t>s</t>
        </is>
      </c>
      <c r="G394" t="inlineStr">
        <is>
          <t>thoi_gian</t>
        </is>
      </c>
      <c r="H394" t="inlineStr">
        <is>
          <t>06</t>
        </is>
      </c>
      <c r="I394" t="inlineStr">
        <is>
          <t>Stagger.Window (AI MASTER P4)</t>
        </is>
      </c>
      <c r="J394" t="inlineStr">
        <is>
          <t>Assets/MachineBrigade/Resources/Data/tunables.json: ai.stagger.window</t>
        </is>
      </c>
      <c r="K394" t="inlineStr">
        <is>
          <t>{"value":[0.15,0.4],"unit":"s","kind":"thoi_gian","linh_vuc":"06","code":"Stagger.Window (AI MASTER P4)"}</t>
        </is>
      </c>
    </row>
    <row r="395">
      <c r="A395" t="inlineStr">
        <is>
          <t>ai.stance.ambushRange</t>
        </is>
      </c>
      <c r="B395" t="inlineStr">
        <is>
          <t>stance</t>
        </is>
      </c>
      <c r="C395" t="inlineStr">
        <is>
          <t>ambushRange</t>
        </is>
      </c>
      <c r="E395" t="inlineStr">
        <is>
          <t>0.55;0.7</t>
        </is>
      </c>
      <c r="F395" t="inlineStr">
        <is>
          <t>share</t>
        </is>
      </c>
      <c r="G395" t="inlineStr">
        <is>
          <t>nguong</t>
        </is>
      </c>
      <c r="H395" t="inlineStr">
        <is>
          <t>06</t>
        </is>
      </c>
      <c r="I395" t="inlineStr">
        <is>
          <t>Stance.AmbushRange (AI MASTER P3)</t>
        </is>
      </c>
      <c r="J395" t="inlineStr">
        <is>
          <t>Assets/MachineBrigade/Resources/Data/tunables.json: ai.stance.ambushRange</t>
        </is>
      </c>
      <c r="K395" t="inlineStr">
        <is>
          <t>{"value":[0.55,0.7],"unit":"share","kind":"nguong","linh_vuc":"06","code":"Stance.AmbushRange (AI MASTER P3)"}</t>
        </is>
      </c>
    </row>
    <row r="396">
      <c r="A396" t="inlineStr">
        <is>
          <t>ai.stance.ambushSyncRadius</t>
        </is>
      </c>
      <c r="B396" t="inlineStr">
        <is>
          <t>stance</t>
        </is>
      </c>
      <c r="C396" t="inlineStr">
        <is>
          <t>ambushSyncRadius</t>
        </is>
      </c>
      <c r="D396" t="n">
        <v>60</v>
      </c>
      <c r="F396" t="inlineStr">
        <is>
          <t>m</t>
        </is>
      </c>
      <c r="G396" t="inlineStr">
        <is>
          <t>ban_kinh</t>
        </is>
      </c>
      <c r="H396" t="inlineStr">
        <is>
          <t>06</t>
        </is>
      </c>
      <c r="I396" t="inlineStr">
        <is>
          <t>Stance.AmbushSyncRadius (AI MASTER P3)</t>
        </is>
      </c>
      <c r="J396" t="inlineStr">
        <is>
          <t>Assets/MachineBrigade/Resources/Data/tunables.json: ai.stance.ambushSyncRadius</t>
        </is>
      </c>
      <c r="K396" t="inlineStr">
        <is>
          <t>{"value":60.0,"unit":"m","kind":"ban_kinh","linh_vuc":"06","code":"Stance.AmbushSyncRadius (AI MASTER P3)"}</t>
        </is>
      </c>
    </row>
    <row r="397">
      <c r="A397" t="inlineStr">
        <is>
          <t>ai.stance.dispersalHoldS</t>
        </is>
      </c>
      <c r="B397" t="inlineStr">
        <is>
          <t>stance</t>
        </is>
      </c>
      <c r="C397" t="inlineStr">
        <is>
          <t>dispersalHoldS</t>
        </is>
      </c>
      <c r="D397" t="n">
        <v>8</v>
      </c>
      <c r="F397" t="inlineStr">
        <is>
          <t>s</t>
        </is>
      </c>
      <c r="G397" t="inlineStr">
        <is>
          <t>thoi_gian</t>
        </is>
      </c>
      <c r="H397" t="inlineStr">
        <is>
          <t>06</t>
        </is>
      </c>
      <c r="I397" t="inlineStr">
        <is>
          <t>Stance.DispersalHoldS (AI MASTER P3)</t>
        </is>
      </c>
      <c r="J397" t="inlineStr">
        <is>
          <t>Assets/MachineBrigade/Resources/Data/tunables.json: ai.stance.dispersalHoldS</t>
        </is>
      </c>
      <c r="K397" t="inlineStr">
        <is>
          <t>{"value":8.0,"unit":"s","kind":"thoi_gian","linh_vuc":"06","code":"Stance.DispersalHoldS (AI MASTER P3)"}</t>
        </is>
      </c>
    </row>
    <row r="398">
      <c r="A398" t="inlineStr">
        <is>
          <t>ai.stance.highValueReach</t>
        </is>
      </c>
      <c r="B398" t="inlineStr">
        <is>
          <t>stance</t>
        </is>
      </c>
      <c r="C398" t="inlineStr">
        <is>
          <t>highValueReach</t>
        </is>
      </c>
      <c r="D398" t="n">
        <v>0.85</v>
      </c>
      <c r="F398" t="inlineStr">
        <is>
          <t>share</t>
        </is>
      </c>
      <c r="G398" t="inlineStr">
        <is>
          <t>nguong</t>
        </is>
      </c>
      <c r="H398" t="inlineStr">
        <is>
          <t>06</t>
        </is>
      </c>
      <c r="I398" t="inlineStr">
        <is>
          <t>Stance.HighValueReach (AI MASTER P3)</t>
        </is>
      </c>
      <c r="J398" t="inlineStr">
        <is>
          <t>Assets/MachineBrigade/Resources/Data/tunables.json: ai.stance.highValueReach</t>
        </is>
      </c>
      <c r="K398" t="inlineStr">
        <is>
          <t>{"value":0.85,"unit":"share","kind":"nguong","linh_vuc":"06","code":"Stance.HighValueReach (AI MASTER P3)"}</t>
        </is>
      </c>
    </row>
    <row r="399">
      <c r="A399" t="inlineStr">
        <is>
          <t>ai.stance.returnFireSeconds</t>
        </is>
      </c>
      <c r="B399" t="inlineStr">
        <is>
          <t>stance</t>
        </is>
      </c>
      <c r="C399" t="inlineStr">
        <is>
          <t>returnFireSeconds</t>
        </is>
      </c>
      <c r="D399" t="n">
        <v>3</v>
      </c>
      <c r="F399" t="inlineStr">
        <is>
          <t>s</t>
        </is>
      </c>
      <c r="G399" t="inlineStr">
        <is>
          <t>thoi_gian</t>
        </is>
      </c>
      <c r="H399" t="inlineStr">
        <is>
          <t>06</t>
        </is>
      </c>
      <c r="I399" t="inlineStr">
        <is>
          <t>Stance.ReturnFireSeconds (AI MASTER P3)</t>
        </is>
      </c>
      <c r="J399" t="inlineStr">
        <is>
          <t>Assets/MachineBrigade/Resources/Data/tunables.json: ai.stance.returnFireSeconds</t>
        </is>
      </c>
      <c r="K399" t="inlineStr">
        <is>
          <t>{"value":3.0,"unit":"s","kind":"thoi_gian","linh_vuc":"06","code":"Stance.ReturnFireSeconds (AI MASTER P3)"}</t>
        </is>
      </c>
    </row>
    <row r="400">
      <c r="A400" t="inlineStr">
        <is>
          <t>ai.tacticalAi.assaultOdds</t>
        </is>
      </c>
      <c r="B400" t="inlineStr">
        <is>
          <t>tacticalAi</t>
        </is>
      </c>
      <c r="C400" t="inlineStr">
        <is>
          <t>assaultOdds</t>
        </is>
      </c>
      <c r="D400" t="n">
        <v>1.4</v>
      </c>
      <c r="F400" t="inlineStr">
        <is>
          <t>x</t>
        </is>
      </c>
      <c r="G400" t="inlineStr">
        <is>
          <t>nguong</t>
        </is>
      </c>
      <c r="H400" t="inlineStr">
        <is>
          <t>06</t>
        </is>
      </c>
      <c r="I400" t="inlineStr">
        <is>
          <t>TacticalAi.AssaultOdds</t>
        </is>
      </c>
      <c r="J400" t="inlineStr">
        <is>
          <t>Assets/MachineBrigade/Resources/Data/tunables.json: ai.tacticalAi.assaultOdds</t>
        </is>
      </c>
      <c r="K400" t="inlineStr">
        <is>
          <t>{"value":1.4,"unit":"x","kind":"nguong","linh_vuc":"06","code":"TacticalAi.AssaultOdds"}</t>
        </is>
      </c>
    </row>
    <row r="401">
      <c r="A401" t="inlineStr">
        <is>
          <t>ai.tacticalAi.bossReach</t>
        </is>
      </c>
      <c r="B401" t="inlineStr">
        <is>
          <t>tacticalAi</t>
        </is>
      </c>
      <c r="C401" t="inlineStr">
        <is>
          <t>bossReach</t>
        </is>
      </c>
      <c r="D401" t="n">
        <v>30</v>
      </c>
      <c r="F401" t="inlineStr">
        <is>
          <t>m</t>
        </is>
      </c>
      <c r="G401" t="inlineStr">
        <is>
          <t>ban_kinh</t>
        </is>
      </c>
      <c r="H401" t="inlineStr">
        <is>
          <t>06</t>
        </is>
      </c>
      <c r="I401" t="inlineStr">
        <is>
          <t>TacticalAi.BossReach</t>
        </is>
      </c>
      <c r="J401" t="inlineStr">
        <is>
          <t>Assets/MachineBrigade/Resources/Data/tunables.json: ai.tacticalAi.bossReach</t>
        </is>
      </c>
      <c r="K401" t="inlineStr">
        <is>
          <t>{"value":30.0,"unit":"m","kind":"ban_kinh","linh_vuc":"06","code":"TacticalAi.BossReach"}</t>
        </is>
      </c>
    </row>
    <row r="402">
      <c r="A402" t="inlineStr">
        <is>
          <t>ai.tacticalAi.boundLength</t>
        </is>
      </c>
      <c r="B402" t="inlineStr">
        <is>
          <t>tacticalAi</t>
        </is>
      </c>
      <c r="C402" t="inlineStr">
        <is>
          <t>boundLength</t>
        </is>
      </c>
      <c r="D402" t="n">
        <v>24</v>
      </c>
      <c r="F402" t="inlineStr">
        <is>
          <t>m</t>
        </is>
      </c>
      <c r="G402" t="inlineStr">
        <is>
          <t>ban_kinh</t>
        </is>
      </c>
      <c r="H402" t="inlineStr">
        <is>
          <t>06</t>
        </is>
      </c>
      <c r="I402" t="inlineStr">
        <is>
          <t>TacticalAi.BoundLength</t>
        </is>
      </c>
      <c r="J402" t="inlineStr">
        <is>
          <t>Assets/MachineBrigade/Resources/Data/tunables.json: ai.tacticalAi.boundLength</t>
        </is>
      </c>
      <c r="K402" t="inlineStr">
        <is>
          <t>{"value":24.0,"unit":"m","kind":"ban_kinh","linh_vuc":"06","code":"TacticalAi.BoundLength"}</t>
        </is>
      </c>
    </row>
    <row r="403">
      <c r="A403" t="inlineStr">
        <is>
          <t>ai.tacticalAi.breachReach</t>
        </is>
      </c>
      <c r="B403" t="inlineStr">
        <is>
          <t>tacticalAi</t>
        </is>
      </c>
      <c r="C403" t="inlineStr">
        <is>
          <t>breachReach</t>
        </is>
      </c>
      <c r="D403" t="n">
        <v>30</v>
      </c>
      <c r="F403" t="inlineStr">
        <is>
          <t>m</t>
        </is>
      </c>
      <c r="G403" t="inlineStr">
        <is>
          <t>ban_kinh</t>
        </is>
      </c>
      <c r="H403" t="inlineStr">
        <is>
          <t>06</t>
        </is>
      </c>
      <c r="I403" t="inlineStr">
        <is>
          <t>TacticalAi.BreachReach</t>
        </is>
      </c>
      <c r="J403" t="inlineStr">
        <is>
          <t>Assets/MachineBrigade/Resources/Data/tunables.json: ai.tacticalAi.breachReach</t>
        </is>
      </c>
      <c r="K403" t="inlineStr">
        <is>
          <t>{"value":30.0,"unit":"m","kind":"ban_kinh","linh_vuc":"06","code":"TacticalAi.BreachReach"}</t>
        </is>
      </c>
    </row>
    <row r="404">
      <c r="A404" t="inlineStr">
        <is>
          <t>ai.tacticalAi.breacherReach</t>
        </is>
      </c>
      <c r="B404" t="inlineStr">
        <is>
          <t>tacticalAi</t>
        </is>
      </c>
      <c r="C404" t="inlineStr">
        <is>
          <t>breacherReach</t>
        </is>
      </c>
      <c r="D404" t="n">
        <v>70</v>
      </c>
      <c r="F404" t="inlineStr">
        <is>
          <t>m</t>
        </is>
      </c>
      <c r="G404" t="inlineStr">
        <is>
          <t>ban_kinh</t>
        </is>
      </c>
      <c r="H404" t="inlineStr">
        <is>
          <t>06</t>
        </is>
      </c>
      <c r="I404" t="inlineStr">
        <is>
          <t>TacticalAi.BreacherReach</t>
        </is>
      </c>
      <c r="J404" t="inlineStr">
        <is>
          <t>Assets/MachineBrigade/Resources/Data/tunables.json: ai.tacticalAi.breacherReach</t>
        </is>
      </c>
      <c r="K404" t="inlineStr">
        <is>
          <t>{"value":70.0,"unit":"m","kind":"ban_kinh","linh_vuc":"06","code":"TacticalAi.BreacherReach"}</t>
        </is>
      </c>
    </row>
    <row r="405">
      <c r="A405" t="inlineStr">
        <is>
          <t>ai.tacticalAi.clusterRadius</t>
        </is>
      </c>
      <c r="B405" t="inlineStr">
        <is>
          <t>tacticalAi</t>
        </is>
      </c>
      <c r="C405" t="inlineStr">
        <is>
          <t>clusterRadius</t>
        </is>
      </c>
      <c r="D405" t="n">
        <v>7</v>
      </c>
      <c r="F405" t="inlineStr">
        <is>
          <t>m</t>
        </is>
      </c>
      <c r="G405" t="inlineStr">
        <is>
          <t>ban_kinh</t>
        </is>
      </c>
      <c r="H405" t="inlineStr">
        <is>
          <t>06</t>
        </is>
      </c>
      <c r="I405" t="inlineStr">
        <is>
          <t>TacticalAi.ClusterRadius</t>
        </is>
      </c>
      <c r="J405" t="inlineStr">
        <is>
          <t>Assets/MachineBrigade/Resources/Data/tunables.json: ai.tacticalAi.clusterRadius</t>
        </is>
      </c>
      <c r="K405" t="inlineStr">
        <is>
          <t>{"value":7.0,"unit":"m","kind":"ban_kinh","linh_vuc":"06","code":"TacticalAi.ClusterRadius"}</t>
        </is>
      </c>
    </row>
    <row r="406">
      <c r="A406" t="inlineStr">
        <is>
          <t>ai.tacticalAi.commitSeconds</t>
        </is>
      </c>
      <c r="B406" t="inlineStr">
        <is>
          <t>tacticalAi</t>
        </is>
      </c>
      <c r="C406" t="inlineStr">
        <is>
          <t>commitSeconds</t>
        </is>
      </c>
      <c r="D406" t="n">
        <v>60</v>
      </c>
      <c r="F406" t="inlineStr">
        <is>
          <t>s</t>
        </is>
      </c>
      <c r="G406" t="inlineStr">
        <is>
          <t>thoi_gian</t>
        </is>
      </c>
      <c r="H406" t="inlineStr">
        <is>
          <t>06</t>
        </is>
      </c>
      <c r="I406" t="inlineStr">
        <is>
          <t>TacticalAi.CommitSeconds</t>
        </is>
      </c>
      <c r="J406" t="inlineStr">
        <is>
          <t>Assets/MachineBrigade/Resources/Data/tunables.json: ai.tacticalAi.commitSeconds</t>
        </is>
      </c>
      <c r="K406" t="inlineStr">
        <is>
          <t>{"value":60.0,"unit":"s","kind":"thoi_gian","linh_vuc":"06","code":"TacticalAi.CommitSeconds"}</t>
        </is>
      </c>
    </row>
    <row r="407">
      <c r="A407" t="inlineStr">
        <is>
          <t>ai.tacticalAi.crateDetour</t>
        </is>
      </c>
      <c r="B407" t="inlineStr">
        <is>
          <t>tacticalAi</t>
        </is>
      </c>
      <c r="C407" t="inlineStr">
        <is>
          <t>crateDetour</t>
        </is>
      </c>
      <c r="D407" t="n">
        <v>50</v>
      </c>
      <c r="F407" t="inlineStr">
        <is>
          <t>m</t>
        </is>
      </c>
      <c r="G407" t="inlineStr">
        <is>
          <t>ban_kinh</t>
        </is>
      </c>
      <c r="H407" t="inlineStr">
        <is>
          <t>06</t>
        </is>
      </c>
      <c r="I407" t="inlineStr">
        <is>
          <t>TacticalAi.CrateDetour</t>
        </is>
      </c>
      <c r="J407" t="inlineStr">
        <is>
          <t>Assets/MachineBrigade/Resources/Data/tunables.json: ai.tacticalAi.crateDetour</t>
        </is>
      </c>
      <c r="K407" t="inlineStr">
        <is>
          <t>{"value":50.0,"unit":"m","kind":"ban_kinh","linh_vuc":"06","code":"TacticalAi.CrateDetour"}</t>
        </is>
      </c>
    </row>
    <row r="408">
      <c r="A408" t="inlineStr">
        <is>
          <t>ai.tacticalAi.decisionInterval</t>
        </is>
      </c>
      <c r="B408" t="inlineStr">
        <is>
          <t>tacticalAi</t>
        </is>
      </c>
      <c r="C408" t="inlineStr">
        <is>
          <t>decisionInterval</t>
        </is>
      </c>
      <c r="D408" t="n">
        <v>0.75</v>
      </c>
      <c r="F408" t="inlineStr">
        <is>
          <t>s</t>
        </is>
      </c>
      <c r="G408" t="inlineStr">
        <is>
          <t>thoi_gian</t>
        </is>
      </c>
      <c r="H408" t="inlineStr">
        <is>
          <t>06</t>
        </is>
      </c>
      <c r="I408" t="inlineStr">
        <is>
          <t>TacticalAi.DecisionInterval</t>
        </is>
      </c>
      <c r="J408" t="inlineStr">
        <is>
          <t>Assets/MachineBrigade/Resources/Data/tunables.json: ai.tacticalAi.decisionInterval</t>
        </is>
      </c>
      <c r="K408" t="inlineStr">
        <is>
          <t>{"value":0.75,"unit":"s","kind":"thoi_gian","linh_vuc":"06","code":"TacticalAi.DecisionInterval"}</t>
        </is>
      </c>
    </row>
    <row r="409">
      <c r="A409" t="inlineStr">
        <is>
          <t>ai.tacticalAi.depotReach</t>
        </is>
      </c>
      <c r="B409" t="inlineStr">
        <is>
          <t>tacticalAi</t>
        </is>
      </c>
      <c r="C409" t="inlineStr">
        <is>
          <t>depotReach</t>
        </is>
      </c>
      <c r="D409" t="n">
        <v>40</v>
      </c>
      <c r="F409" t="inlineStr">
        <is>
          <t>m</t>
        </is>
      </c>
      <c r="G409" t="inlineStr">
        <is>
          <t>ban_kinh</t>
        </is>
      </c>
      <c r="H409" t="inlineStr">
        <is>
          <t>06</t>
        </is>
      </c>
      <c r="I409" t="inlineStr">
        <is>
          <t>TacticalAi.DepotReach</t>
        </is>
      </c>
      <c r="J409" t="inlineStr">
        <is>
          <t>Assets/MachineBrigade/Resources/Data/tunables.json: ai.tacticalAi.depotReach</t>
        </is>
      </c>
      <c r="K409" t="inlineStr">
        <is>
          <t>{"value":40.0,"unit":"m","kind":"ban_kinh","linh_vuc":"06","code":"TacticalAi.DepotReach"}</t>
        </is>
      </c>
    </row>
    <row r="410">
      <c r="A410" t="inlineStr">
        <is>
          <t>ai.tacticalAi.fallBackSeconds</t>
        </is>
      </c>
      <c r="B410" t="inlineStr">
        <is>
          <t>tacticalAi</t>
        </is>
      </c>
      <c r="C410" t="inlineStr">
        <is>
          <t>fallBackSeconds</t>
        </is>
      </c>
      <c r="D410" t="n">
        <v>30</v>
      </c>
      <c r="F410" t="inlineStr">
        <is>
          <t>s</t>
        </is>
      </c>
      <c r="G410" t="inlineStr">
        <is>
          <t>thoi_gian</t>
        </is>
      </c>
      <c r="H410" t="inlineStr">
        <is>
          <t>06</t>
        </is>
      </c>
      <c r="I410" t="inlineStr">
        <is>
          <t>TacticalAi.FallBackSeconds</t>
        </is>
      </c>
      <c r="J410" t="inlineStr">
        <is>
          <t>Assets/MachineBrigade/Resources/Data/tunables.json: ai.tacticalAi.fallBackSeconds</t>
        </is>
      </c>
      <c r="K410" t="inlineStr">
        <is>
          <t>{"value":30.0,"unit":"s","kind":"thoi_gian","linh_vuc":"06","code":"TacticalAi.FallBackSeconds"}</t>
        </is>
      </c>
    </row>
    <row r="411">
      <c r="A411" t="inlineStr">
        <is>
          <t>ai.tacticalAi.fastSpeed</t>
        </is>
      </c>
      <c r="B411" t="inlineStr">
        <is>
          <t>tacticalAi</t>
        </is>
      </c>
      <c r="C411" t="inlineStr">
        <is>
          <t>fastSpeed</t>
        </is>
      </c>
      <c r="D411" t="n">
        <v>11</v>
      </c>
      <c r="F411" t="inlineStr">
        <is>
          <t>m/s</t>
        </is>
      </c>
      <c r="G411" t="inlineStr">
        <is>
          <t>tan_suat</t>
        </is>
      </c>
      <c r="H411" t="inlineStr">
        <is>
          <t>06</t>
        </is>
      </c>
      <c r="I411" t="inlineStr">
        <is>
          <t>TacticalAi.FastSpeed</t>
        </is>
      </c>
      <c r="J411" t="inlineStr">
        <is>
          <t>Assets/MachineBrigade/Resources/Data/tunables.json: ai.tacticalAi.fastSpeed</t>
        </is>
      </c>
      <c r="K411" t="inlineStr">
        <is>
          <t>{"value":11.0,"unit":"m/s","kind":"tan_suat","linh_vuc":"06","code":"TacticalAi.FastSpeed"}</t>
        </is>
      </c>
    </row>
    <row r="412">
      <c r="A412" t="inlineStr">
        <is>
          <t>ai.tacticalAi.flankOffset</t>
        </is>
      </c>
      <c r="B412" t="inlineStr">
        <is>
          <t>tacticalAi</t>
        </is>
      </c>
      <c r="C412" t="inlineStr">
        <is>
          <t>flankOffset</t>
        </is>
      </c>
      <c r="D412" t="n">
        <v>24</v>
      </c>
      <c r="F412" t="inlineStr">
        <is>
          <t>m</t>
        </is>
      </c>
      <c r="G412" t="inlineStr">
        <is>
          <t>ban_kinh</t>
        </is>
      </c>
      <c r="H412" t="inlineStr">
        <is>
          <t>06</t>
        </is>
      </c>
      <c r="I412" t="inlineStr">
        <is>
          <t>TacticalAi.FlankOffset</t>
        </is>
      </c>
      <c r="J412" t="inlineStr">
        <is>
          <t>Assets/MachineBrigade/Resources/Data/tunables.json: ai.tacticalAi.flankOffset</t>
        </is>
      </c>
      <c r="K412" t="inlineStr">
        <is>
          <t>{"value":24.0,"unit":"m","kind":"ban_kinh","linh_vuc":"06","code":"TacticalAi.FlankOffset"}</t>
        </is>
      </c>
    </row>
    <row r="413">
      <c r="A413" t="inlineStr">
        <is>
          <t>ai.tacticalAi.homeReach</t>
        </is>
      </c>
      <c r="B413" t="inlineStr">
        <is>
          <t>tacticalAi</t>
        </is>
      </c>
      <c r="C413" t="inlineStr">
        <is>
          <t>homeReach</t>
        </is>
      </c>
      <c r="D413" t="n">
        <v>45</v>
      </c>
      <c r="F413" t="inlineStr">
        <is>
          <t>m</t>
        </is>
      </c>
      <c r="G413" t="inlineStr">
        <is>
          <t>ban_kinh</t>
        </is>
      </c>
      <c r="H413" t="inlineStr">
        <is>
          <t>06</t>
        </is>
      </c>
      <c r="I413" t="inlineStr">
        <is>
          <t>TacticalAi.HomeReach</t>
        </is>
      </c>
      <c r="J413" t="inlineStr">
        <is>
          <t>Assets/MachineBrigade/Resources/Data/tunables.json: ai.tacticalAi.homeReach</t>
        </is>
      </c>
      <c r="K413" t="inlineStr">
        <is>
          <t>{"value":45.0,"unit":"m","kind":"ban_kinh","linh_vuc":"06","code":"TacticalAi.HomeReach"}</t>
        </is>
      </c>
    </row>
    <row r="414">
      <c r="A414" t="inlineStr">
        <is>
          <t>ai.tacticalAi.outmatchedRatio</t>
        </is>
      </c>
      <c r="B414" t="inlineStr">
        <is>
          <t>tacticalAi</t>
        </is>
      </c>
      <c r="C414" t="inlineStr">
        <is>
          <t>outmatchedRatio</t>
        </is>
      </c>
      <c r="D414" t="n">
        <v>0.6</v>
      </c>
      <c r="F414" t="inlineStr">
        <is>
          <t>share</t>
        </is>
      </c>
      <c r="G414" t="inlineStr">
        <is>
          <t>nguong</t>
        </is>
      </c>
      <c r="H414" t="inlineStr">
        <is>
          <t>06</t>
        </is>
      </c>
      <c r="I414" t="inlineStr">
        <is>
          <t>TacticalAi.OutmatchedRatio</t>
        </is>
      </c>
      <c r="J414" t="inlineStr">
        <is>
          <t>Assets/MachineBrigade/Resources/Data/tunables.json: ai.tacticalAi.outmatchedRatio</t>
        </is>
      </c>
      <c r="K414" t="inlineStr">
        <is>
          <t>{"value":0.6,"unit":"share","kind":"nguong","linh_vuc":"06","code":"TacticalAi.OutmatchedRatio"}</t>
        </is>
      </c>
    </row>
    <row r="415">
      <c r="A415" t="inlineStr">
        <is>
          <t>ai.tacticalAi.recoveredRatio</t>
        </is>
      </c>
      <c r="B415" t="inlineStr">
        <is>
          <t>tacticalAi</t>
        </is>
      </c>
      <c r="C415" t="inlineStr">
        <is>
          <t>recoveredRatio</t>
        </is>
      </c>
      <c r="D415" t="n">
        <v>0.95</v>
      </c>
      <c r="F415" t="inlineStr">
        <is>
          <t>share</t>
        </is>
      </c>
      <c r="G415" t="inlineStr">
        <is>
          <t>nguong</t>
        </is>
      </c>
      <c r="H415" t="inlineStr">
        <is>
          <t>06</t>
        </is>
      </c>
      <c r="I415" t="inlineStr">
        <is>
          <t>TacticalAi.RecoveredRatio</t>
        </is>
      </c>
      <c r="J415" t="inlineStr">
        <is>
          <t>Assets/MachineBrigade/Resources/Data/tunables.json: ai.tacticalAi.recoveredRatio</t>
        </is>
      </c>
      <c r="K415" t="inlineStr">
        <is>
          <t>{"value":0.95,"unit":"share","kind":"nguong","linh_vuc":"06","code":"TacticalAi.RecoveredRatio"}</t>
        </is>
      </c>
    </row>
    <row r="416">
      <c r="A416" t="inlineStr">
        <is>
          <t>ai.tacticalAi.reinforcementGap</t>
        </is>
      </c>
      <c r="B416" t="inlineStr">
        <is>
          <t>tacticalAi</t>
        </is>
      </c>
      <c r="C416" t="inlineStr">
        <is>
          <t>reinforcementGap</t>
        </is>
      </c>
      <c r="D416" t="n">
        <v>50</v>
      </c>
      <c r="F416" t="inlineStr">
        <is>
          <t>m</t>
        </is>
      </c>
      <c r="G416" t="inlineStr">
        <is>
          <t>thoi_gian</t>
        </is>
      </c>
      <c r="H416" t="inlineStr">
        <is>
          <t>06</t>
        </is>
      </c>
      <c r="I416" t="inlineStr">
        <is>
          <t>TacticalAi.ReinforcementGap</t>
        </is>
      </c>
      <c r="J416" t="inlineStr">
        <is>
          <t>Assets/MachineBrigade/Resources/Data/tunables.json: ai.tacticalAi.reinforcementGap</t>
        </is>
      </c>
      <c r="K416" t="inlineStr">
        <is>
          <t>{"value":50.0,"unit":"m","kind":"thoi_gian","linh_vuc":"06","code":"TacticalAi.ReinforcementGap"}</t>
        </is>
      </c>
    </row>
    <row r="417">
      <c r="A417" t="inlineStr">
        <is>
          <t>ai.tacticalAi.shellingTime</t>
        </is>
      </c>
      <c r="B417" t="inlineStr">
        <is>
          <t>tacticalAi</t>
        </is>
      </c>
      <c r="C417" t="inlineStr">
        <is>
          <t>shellingTime</t>
        </is>
      </c>
      <c r="D417" t="n">
        <v>35</v>
      </c>
      <c r="F417" t="inlineStr">
        <is>
          <t>s</t>
        </is>
      </c>
      <c r="G417" t="inlineStr">
        <is>
          <t>thoi_gian</t>
        </is>
      </c>
      <c r="H417" t="inlineStr">
        <is>
          <t>06</t>
        </is>
      </c>
      <c r="I417" t="inlineStr">
        <is>
          <t>TacticalAi.ShellingTime</t>
        </is>
      </c>
      <c r="J417" t="inlineStr">
        <is>
          <t>Assets/MachineBrigade/Resources/Data/tunables.json: ai.tacticalAi.shellingTime</t>
        </is>
      </c>
      <c r="K417" t="inlineStr">
        <is>
          <t>{"value":35.0,"unit":"s","kind":"thoi_gian","linh_vuc":"06","code":"TacticalAi.ShellingTime"}</t>
        </is>
      </c>
    </row>
    <row r="418">
      <c r="A418" t="inlineStr">
        <is>
          <t>ai.tacticalAi.waveSize</t>
        </is>
      </c>
      <c r="B418" t="inlineStr">
        <is>
          <t>tacticalAi</t>
        </is>
      </c>
      <c r="C418" t="inlineStr">
        <is>
          <t>waveSize</t>
        </is>
      </c>
      <c r="D418" t="n">
        <v>2</v>
      </c>
      <c r="F418" t="inlineStr">
        <is>
          <t>count</t>
        </is>
      </c>
      <c r="G418" t="inlineStr">
        <is>
          <t>gioi_han_thuc_the</t>
        </is>
      </c>
      <c r="H418" t="inlineStr">
        <is>
          <t>06</t>
        </is>
      </c>
      <c r="I418" t="inlineStr">
        <is>
          <t>TacticalAi.WaveSize</t>
        </is>
      </c>
      <c r="J418" t="inlineStr">
        <is>
          <t>Assets/MachineBrigade/Resources/Data/tunables.json: ai.tacticalAi.waveSize</t>
        </is>
      </c>
      <c r="K418" t="inlineStr">
        <is>
          <t>{"value":2,"unit":"count","kind":"gioi_han_thuc_the","linh_vuc":"06","code":"TacticalAi.WaveSize"}</t>
        </is>
      </c>
    </row>
    <row r="419">
      <c r="A419" t="inlineStr">
        <is>
          <t>ai.tacticalAi.waveWait</t>
        </is>
      </c>
      <c r="B419" t="inlineStr">
        <is>
          <t>tacticalAi</t>
        </is>
      </c>
      <c r="C419" t="inlineStr">
        <is>
          <t>waveWait</t>
        </is>
      </c>
      <c r="D419" t="n">
        <v>12</v>
      </c>
      <c r="F419" t="inlineStr">
        <is>
          <t>s</t>
        </is>
      </c>
      <c r="G419" t="inlineStr">
        <is>
          <t>thoi_gian</t>
        </is>
      </c>
      <c r="H419" t="inlineStr">
        <is>
          <t>06</t>
        </is>
      </c>
      <c r="I419" t="inlineStr">
        <is>
          <t>TacticalAi.WaveWait</t>
        </is>
      </c>
      <c r="J419" t="inlineStr">
        <is>
          <t>Assets/MachineBrigade/Resources/Data/tunables.json: ai.tacticalAi.waveWait</t>
        </is>
      </c>
      <c r="K419" t="inlineStr">
        <is>
          <t>{"value":12.0,"unit":"s","kind":"thoi_gian","linh_vuc":"06","code":"TacticalAi.WaveWait"}</t>
        </is>
      </c>
    </row>
    <row r="420">
      <c r="A420" t="inlineStr">
        <is>
          <t>ai.targeting.aimTimeConstant</t>
        </is>
      </c>
      <c r="B420" t="inlineStr">
        <is>
          <t>targeting</t>
        </is>
      </c>
      <c r="C420" t="inlineStr">
        <is>
          <t>aimTimeConstant</t>
        </is>
      </c>
      <c r="D420" t="n">
        <v>4</v>
      </c>
      <c r="F420" t="inlineStr">
        <is>
          <t>s</t>
        </is>
      </c>
      <c r="G420" t="inlineStr">
        <is>
          <t>thoi_gian</t>
        </is>
      </c>
      <c r="H420" t="inlineStr">
        <is>
          <t>06</t>
        </is>
      </c>
      <c r="I420" t="inlineStr">
        <is>
          <t>Targeting.AimTimeConstant</t>
        </is>
      </c>
      <c r="J420" t="inlineStr">
        <is>
          <t>Assets/MachineBrigade/Resources/Data/tunables.json: ai.targeting.aimTimeConstant</t>
        </is>
      </c>
      <c r="K420" t="inlineStr">
        <is>
          <t>{"value":4.0,"unit":"s","kind":"thoi_gian","linh_vuc":"06","code":"Targeting.AimTimeConstant"}</t>
        </is>
      </c>
    </row>
    <row r="421">
      <c r="A421" t="inlineStr">
        <is>
          <t>ai.targeting.breachCorridorWidth</t>
        </is>
      </c>
      <c r="B421" t="inlineStr">
        <is>
          <t>targeting</t>
        </is>
      </c>
      <c r="C421" t="inlineStr">
        <is>
          <t>breachCorridorWidth</t>
        </is>
      </c>
      <c r="D421" t="n">
        <v>12</v>
      </c>
      <c r="F421" t="inlineStr">
        <is>
          <t>m</t>
        </is>
      </c>
      <c r="G421" t="inlineStr">
        <is>
          <t>ban_kinh</t>
        </is>
      </c>
      <c r="H421" t="inlineStr">
        <is>
          <t>06</t>
        </is>
      </c>
      <c r="I421" t="inlineStr">
        <is>
          <t>Targeting.BreachCorridorWidth</t>
        </is>
      </c>
      <c r="J421" t="inlineStr">
        <is>
          <t>Assets/MachineBrigade/Resources/Data/tunables.json: ai.targeting.breachCorridorWidth</t>
        </is>
      </c>
      <c r="K421" t="inlineStr">
        <is>
          <t>{"value":12.0,"unit":"m","kind":"ban_kinh","linh_vuc":"06","code":"Targeting.BreachCorridorWidth"}</t>
        </is>
      </c>
    </row>
    <row r="422">
      <c r="A422" t="inlineStr">
        <is>
          <t>ai.targeting.breachStructureBonus</t>
        </is>
      </c>
      <c r="B422" t="inlineStr">
        <is>
          <t>targeting</t>
        </is>
      </c>
      <c r="C422" t="inlineStr">
        <is>
          <t>breachStructureBonus</t>
        </is>
      </c>
      <c r="D422" t="n">
        <v>25</v>
      </c>
      <c r="F422" t="inlineStr">
        <is>
          <t>x</t>
        </is>
      </c>
      <c r="G422" t="inlineStr">
        <is>
          <t>khac</t>
        </is>
      </c>
      <c r="H422" t="inlineStr">
        <is>
          <t>06</t>
        </is>
      </c>
      <c r="I422" t="inlineStr">
        <is>
          <t>Targeting.BreachStructureBonus</t>
        </is>
      </c>
      <c r="J422" t="inlineStr">
        <is>
          <t>Assets/MachineBrigade/Resources/Data/tunables.json: ai.targeting.breachStructureBonus</t>
        </is>
      </c>
      <c r="K422" t="inlineStr">
        <is>
          <t>{"value":25.0,"unit":"x","kind":"khac","linh_vuc":"06","code":"Targeting.BreachStructureBonus"}</t>
        </is>
      </c>
    </row>
    <row r="423">
      <c r="A423" t="inlineStr">
        <is>
          <t>ai.targeting.breacherDistraction</t>
        </is>
      </c>
      <c r="B423" t="inlineStr">
        <is>
          <t>targeting</t>
        </is>
      </c>
      <c r="C423" t="inlineStr">
        <is>
          <t>breacherDistraction</t>
        </is>
      </c>
      <c r="D423" t="n">
        <v>0.5</v>
      </c>
      <c r="F423" t="inlineStr">
        <is>
          <t>x</t>
        </is>
      </c>
      <c r="G423" t="inlineStr">
        <is>
          <t>khac</t>
        </is>
      </c>
      <c r="H423" t="inlineStr">
        <is>
          <t>06</t>
        </is>
      </c>
      <c r="I423" t="inlineStr">
        <is>
          <t>Targeting.BreacherDistraction</t>
        </is>
      </c>
      <c r="J423" t="inlineStr">
        <is>
          <t>Assets/MachineBrigade/Resources/Data/tunables.json: ai.targeting.breacherDistraction</t>
        </is>
      </c>
      <c r="K423" t="inlineStr">
        <is>
          <t>{"value":0.5,"unit":"x","kind":"khac","linh_vuc":"06","code":"Targeting.BreacherDistraction"}</t>
        </is>
      </c>
    </row>
    <row r="424">
      <c r="A424" t="inlineStr">
        <is>
          <t>ai.targeting.defendBreachReach</t>
        </is>
      </c>
      <c r="B424" t="inlineStr">
        <is>
          <t>targeting</t>
        </is>
      </c>
      <c r="C424" t="inlineStr">
        <is>
          <t>defendBreachReach</t>
        </is>
      </c>
      <c r="D424" t="n">
        <v>30</v>
      </c>
      <c r="F424" t="inlineStr">
        <is>
          <t>m</t>
        </is>
      </c>
      <c r="G424" t="inlineStr">
        <is>
          <t>ban_kinh</t>
        </is>
      </c>
      <c r="H424" t="inlineStr">
        <is>
          <t>06</t>
        </is>
      </c>
      <c r="I424" t="inlineStr">
        <is>
          <t>Targeting.DefendBreachReach</t>
        </is>
      </c>
      <c r="J424" t="inlineStr">
        <is>
          <t>Assets/MachineBrigade/Resources/Data/tunables.json: ai.targeting.defendBreachReach</t>
        </is>
      </c>
      <c r="K424" t="inlineStr">
        <is>
          <t>{"value":30.0,"unit":"m","kind":"ban_kinh","linh_vuc":"06","code":"Targeting.DefendBreachReach"}</t>
        </is>
      </c>
    </row>
    <row r="425">
      <c r="A425" t="inlineStr">
        <is>
          <t>ai.targeting.maxAimSeconds</t>
        </is>
      </c>
      <c r="B425" t="inlineStr">
        <is>
          <t>targeting</t>
        </is>
      </c>
      <c r="C425" t="inlineStr">
        <is>
          <t>maxAimSeconds</t>
        </is>
      </c>
      <c r="D425" t="n">
        <v>10</v>
      </c>
      <c r="F425" t="inlineStr">
        <is>
          <t>s</t>
        </is>
      </c>
      <c r="G425" t="inlineStr">
        <is>
          <t>thoi_gian</t>
        </is>
      </c>
      <c r="H425" t="inlineStr">
        <is>
          <t>06</t>
        </is>
      </c>
      <c r="I425" t="inlineStr">
        <is>
          <t>Targeting.MaxAimSeconds</t>
        </is>
      </c>
      <c r="J425" t="inlineStr">
        <is>
          <t>Assets/MachineBrigade/Resources/Data/tunables.json: ai.targeting.maxAimSeconds</t>
        </is>
      </c>
      <c r="K425" t="inlineStr">
        <is>
          <t>{"value":10.0,"unit":"s","kind":"thoi_gian","linh_vuc":"06","code":"Targeting.MaxAimSeconds"}</t>
        </is>
      </c>
    </row>
    <row r="426">
      <c r="A426" t="inlineStr">
        <is>
          <t>ai.targeting.overkillDangerWorth</t>
        </is>
      </c>
      <c r="B426" t="inlineStr">
        <is>
          <t>targeting</t>
        </is>
      </c>
      <c r="C426" t="inlineStr">
        <is>
          <t>overkillDangerWorth</t>
        </is>
      </c>
      <c r="D426" t="n">
        <v>20</v>
      </c>
      <c r="F426" t="inlineStr">
        <is>
          <t>CP</t>
        </is>
      </c>
      <c r="G426" t="inlineStr">
        <is>
          <t>nguong</t>
        </is>
      </c>
      <c r="H426" t="inlineStr">
        <is>
          <t>06</t>
        </is>
      </c>
      <c r="I426" t="inlineStr">
        <is>
          <t>Targeting.OverkillDangerWorth</t>
        </is>
      </c>
      <c r="J426" t="inlineStr">
        <is>
          <t>Assets/MachineBrigade/Resources/Data/tunables.json: ai.targeting.overkillDangerWorth</t>
        </is>
      </c>
      <c r="K426" t="inlineStr">
        <is>
          <t>{"value":20.0,"unit":"CP","kind":"nguong","linh_vuc":"06","code":"Targeting.OverkillDangerWorth"}</t>
        </is>
      </c>
    </row>
    <row r="427">
      <c r="A427" t="inlineStr">
        <is>
          <t>ai.targeting.overkillFloor</t>
        </is>
      </c>
      <c r="B427" t="inlineStr">
        <is>
          <t>targeting</t>
        </is>
      </c>
      <c r="C427" t="inlineStr">
        <is>
          <t>overkillFloor</t>
        </is>
      </c>
      <c r="D427" t="n">
        <v>0.001</v>
      </c>
      <c r="F427" t="inlineStr">
        <is>
          <t>x</t>
        </is>
      </c>
      <c r="G427" t="inlineStr">
        <is>
          <t>khac</t>
        </is>
      </c>
      <c r="H427" t="inlineStr">
        <is>
          <t>06</t>
        </is>
      </c>
      <c r="I427" t="inlineStr">
        <is>
          <t>Targeting.OverkillFloor</t>
        </is>
      </c>
      <c r="J427" t="inlineStr">
        <is>
          <t>Assets/MachineBrigade/Resources/Data/tunables.json: ai.targeting.overkillFloor</t>
        </is>
      </c>
      <c r="K427" t="inlineStr">
        <is>
          <t>{"value":0.001,"unit":"x","kind":"khac","linh_vuc":"06","code":"Targeting.OverkillFloor"}</t>
        </is>
      </c>
    </row>
    <row r="428">
      <c r="A428" t="inlineStr">
        <is>
          <t>ai.targeting.overkillShare</t>
        </is>
      </c>
      <c r="B428" t="inlineStr">
        <is>
          <t>targeting</t>
        </is>
      </c>
      <c r="C428" t="inlineStr">
        <is>
          <t>overkillShare</t>
        </is>
      </c>
      <c r="D428" t="n">
        <v>1.15</v>
      </c>
      <c r="F428" t="inlineStr">
        <is>
          <t>x</t>
        </is>
      </c>
      <c r="G428" t="inlineStr">
        <is>
          <t>nguong</t>
        </is>
      </c>
      <c r="H428" t="inlineStr">
        <is>
          <t>06</t>
        </is>
      </c>
      <c r="I428" t="inlineStr">
        <is>
          <t>Targeting.OverkillShare</t>
        </is>
      </c>
      <c r="J428" t="inlineStr">
        <is>
          <t>Assets/MachineBrigade/Resources/Data/tunables.json: ai.targeting.overkillShare</t>
        </is>
      </c>
      <c r="K428" t="inlineStr">
        <is>
          <t>{"value":1.15,"unit":"x","kind":"nguong","linh_vuc":"06","code":"Targeting.OverkillShare"}</t>
        </is>
      </c>
    </row>
    <row r="429">
      <c r="A429" t="inlineStr">
        <is>
          <t>ai.targeting.siegeEngagedTowerBonus</t>
        </is>
      </c>
      <c r="B429" t="inlineStr">
        <is>
          <t>targeting</t>
        </is>
      </c>
      <c r="C429" t="inlineStr">
        <is>
          <t>siegeEngagedTowerBonus</t>
        </is>
      </c>
      <c r="D429" t="n">
        <v>1.5</v>
      </c>
      <c r="F429" t="inlineStr">
        <is>
          <t>x</t>
        </is>
      </c>
      <c r="G429" t="inlineStr">
        <is>
          <t>khac</t>
        </is>
      </c>
      <c r="H429" t="inlineStr">
        <is>
          <t>06</t>
        </is>
      </c>
      <c r="I429" t="inlineStr">
        <is>
          <t>Targeting.SiegeEngagedTowerBonus</t>
        </is>
      </c>
      <c r="J429" t="inlineStr">
        <is>
          <t>Assets/MachineBrigade/Resources/Data/tunables.json: ai.targeting.siegeEngagedTowerBonus</t>
        </is>
      </c>
      <c r="K429" t="inlineStr">
        <is>
          <t>{"value":1.5,"unit":"x","kind":"khac","linh_vuc":"06","code":"Targeting.SiegeEngagedTowerBonus"}</t>
        </is>
      </c>
    </row>
    <row r="430">
      <c r="A430" t="inlineStr">
        <is>
          <t>ai.targeting.siegeLightPenalty</t>
        </is>
      </c>
      <c r="B430" t="inlineStr">
        <is>
          <t>targeting</t>
        </is>
      </c>
      <c r="C430" t="inlineStr">
        <is>
          <t>siegeLightPenalty</t>
        </is>
      </c>
      <c r="D430" t="n">
        <v>0.2</v>
      </c>
      <c r="F430" t="inlineStr">
        <is>
          <t>x</t>
        </is>
      </c>
      <c r="G430" t="inlineStr">
        <is>
          <t>khac</t>
        </is>
      </c>
      <c r="H430" t="inlineStr">
        <is>
          <t>06</t>
        </is>
      </c>
      <c r="I430" t="inlineStr">
        <is>
          <t>Targeting.SiegeLightPenalty</t>
        </is>
      </c>
      <c r="J430" t="inlineStr">
        <is>
          <t>Assets/MachineBrigade/Resources/Data/tunables.json: ai.targeting.siegeLightPenalty</t>
        </is>
      </c>
      <c r="K430" t="inlineStr">
        <is>
          <t>{"value":0.2,"unit":"x","kind":"khac","linh_vuc":"06","code":"Targeting.SiegeLightPenalty"}</t>
        </is>
      </c>
    </row>
    <row r="431">
      <c r="A431" t="inlineStr">
        <is>
          <t>ai.targeting.siegeStructureBonus</t>
        </is>
      </c>
      <c r="B431" t="inlineStr">
        <is>
          <t>targeting</t>
        </is>
      </c>
      <c r="C431" t="inlineStr">
        <is>
          <t>siegeStructureBonus</t>
        </is>
      </c>
      <c r="D431" t="n">
        <v>1.3</v>
      </c>
      <c r="F431" t="inlineStr">
        <is>
          <t>x</t>
        </is>
      </c>
      <c r="G431" t="inlineStr">
        <is>
          <t>khac</t>
        </is>
      </c>
      <c r="H431" t="inlineStr">
        <is>
          <t>06</t>
        </is>
      </c>
      <c r="I431" t="inlineStr">
        <is>
          <t>Targeting.SiegeStructureBonus</t>
        </is>
      </c>
      <c r="J431" t="inlineStr">
        <is>
          <t>Assets/MachineBrigade/Resources/Data/tunables.json: ai.targeting.siegeStructureBonus</t>
        </is>
      </c>
      <c r="K431" t="inlineStr">
        <is>
          <t>{"value":1.3,"unit":"x","kind":"khac","linh_vuc":"06","code":"Targeting.SiegeStructureBonus"}</t>
        </is>
      </c>
    </row>
    <row r="432">
      <c r="A432" t="inlineStr">
        <is>
          <t>ai.targeting.siegeTowerBonus</t>
        </is>
      </c>
      <c r="B432" t="inlineStr">
        <is>
          <t>targeting</t>
        </is>
      </c>
      <c r="C432" t="inlineStr">
        <is>
          <t>siegeTowerBonus</t>
        </is>
      </c>
      <c r="D432" t="n">
        <v>2</v>
      </c>
      <c r="F432" t="inlineStr">
        <is>
          <t>x</t>
        </is>
      </c>
      <c r="G432" t="inlineStr">
        <is>
          <t>khac</t>
        </is>
      </c>
      <c r="H432" t="inlineStr">
        <is>
          <t>06</t>
        </is>
      </c>
      <c r="I432" t="inlineStr">
        <is>
          <t>Targeting.SiegeTowerBonus</t>
        </is>
      </c>
      <c r="J432" t="inlineStr">
        <is>
          <t>Assets/MachineBrigade/Resources/Data/tunables.json: ai.targeting.siegeTowerBonus</t>
        </is>
      </c>
      <c r="K432" t="inlineStr">
        <is>
          <t>{"value":2.0,"unit":"x","kind":"khac","linh_vuc":"06","code":"Targeting.SiegeTowerBonus"}</t>
        </is>
      </c>
    </row>
    <row r="433">
      <c r="A433" t="inlineStr">
        <is>
          <t>ai.targeting.targetStickBonus</t>
        </is>
      </c>
      <c r="B433" t="inlineStr">
        <is>
          <t>targeting</t>
        </is>
      </c>
      <c r="C433" t="inlineStr">
        <is>
          <t>targetStickBonus</t>
        </is>
      </c>
      <c r="D433" t="n">
        <v>0.15</v>
      </c>
      <c r="F433" t="inlineStr">
        <is>
          <t>share</t>
        </is>
      </c>
      <c r="G433" t="inlineStr">
        <is>
          <t>khac</t>
        </is>
      </c>
      <c r="H433" t="inlineStr">
        <is>
          <t>06</t>
        </is>
      </c>
      <c r="I433" t="inlineStr">
        <is>
          <t>Targeting.TargetStickBonus</t>
        </is>
      </c>
      <c r="J433" t="inlineStr">
        <is>
          <t>Assets/MachineBrigade/Resources/Data/tunables.json: ai.targeting.targetStickBonus</t>
        </is>
      </c>
      <c r="K433" t="inlineStr">
        <is>
          <t>{"value":0.15,"unit":"share","kind":"khac","linh_vuc":"06","code":"Targeting.TargetStickBonus"}</t>
        </is>
      </c>
    </row>
    <row r="434">
      <c r="A434" t="inlineStr">
        <is>
          <t>ai.targeting.targetStickSeconds</t>
        </is>
      </c>
      <c r="B434" t="inlineStr">
        <is>
          <t>targeting</t>
        </is>
      </c>
      <c r="C434" t="inlineStr">
        <is>
          <t>targetStickSeconds</t>
        </is>
      </c>
      <c r="D434" t="n">
        <v>1.5</v>
      </c>
      <c r="F434" t="inlineStr">
        <is>
          <t>s</t>
        </is>
      </c>
      <c r="G434" t="inlineStr">
        <is>
          <t>thoi_gian</t>
        </is>
      </c>
      <c r="H434" t="inlineStr">
        <is>
          <t>06</t>
        </is>
      </c>
      <c r="I434" t="inlineStr">
        <is>
          <t>Targeting.TargetStickSeconds</t>
        </is>
      </c>
      <c r="J434" t="inlineStr">
        <is>
          <t>Assets/MachineBrigade/Resources/Data/tunables.json: ai.targeting.targetStickSeconds</t>
        </is>
      </c>
      <c r="K434" t="inlineStr">
        <is>
          <t>{"value":1.5,"unit":"s","kind":"thoi_gian","linh_vuc":"06","code":"Targeting.TargetStickSeconds"}</t>
        </is>
      </c>
    </row>
    <row r="435">
      <c r="A435" t="inlineStr">
        <is>
          <t>ai.targeting.threatToObjectiveWeight</t>
        </is>
      </c>
      <c r="B435" t="inlineStr">
        <is>
          <t>targeting</t>
        </is>
      </c>
      <c r="C435" t="inlineStr">
        <is>
          <t>threatToObjectiveWeight</t>
        </is>
      </c>
      <c r="D435" t="n">
        <v>0.22</v>
      </c>
      <c r="F435" t="inlineStr">
        <is>
          <t>share</t>
        </is>
      </c>
      <c r="G435" t="inlineStr">
        <is>
          <t>khac</t>
        </is>
      </c>
      <c r="H435" t="inlineStr">
        <is>
          <t>06</t>
        </is>
      </c>
      <c r="I435" t="inlineStr">
        <is>
          <t>Targeting.ThreatToObjectiveWeight</t>
        </is>
      </c>
      <c r="J435" t="inlineStr">
        <is>
          <t>Assets/MachineBrigade/Resources/Data/tunables.json: ai.targeting.threatToObjectiveWeight</t>
        </is>
      </c>
      <c r="K435" t="inlineStr">
        <is>
          <t>{"value":0.22,"unit":"share","kind":"khac","linh_vuc":"06","code":"Targeting.ThreatToObjectiveWeight"}</t>
        </is>
      </c>
    </row>
    <row r="436">
      <c r="A436" t="inlineStr">
        <is>
          <t>ai.targeting.threatToSelfWeight</t>
        </is>
      </c>
      <c r="B436" t="inlineStr">
        <is>
          <t>targeting</t>
        </is>
      </c>
      <c r="C436" t="inlineStr">
        <is>
          <t>threatToSelfWeight</t>
        </is>
      </c>
      <c r="D436" t="n">
        <v>0.2</v>
      </c>
      <c r="F436" t="inlineStr">
        <is>
          <t>share</t>
        </is>
      </c>
      <c r="G436" t="inlineStr">
        <is>
          <t>khac</t>
        </is>
      </c>
      <c r="H436" t="inlineStr">
        <is>
          <t>06</t>
        </is>
      </c>
      <c r="I436" t="inlineStr">
        <is>
          <t>Targeting.ThreatToSelfWeight</t>
        </is>
      </c>
      <c r="J436" t="inlineStr">
        <is>
          <t>Assets/MachineBrigade/Resources/Data/tunables.json: ai.targeting.threatToSelfWeight</t>
        </is>
      </c>
      <c r="K436" t="inlineStr">
        <is>
          <t>{"value":0.2,"unit":"share","kind":"khac","linh_vuc":"06","code":"Targeting.ThreatToSelfWeight"}</t>
        </is>
      </c>
    </row>
    <row r="437">
      <c r="A437" t="inlineStr">
        <is>
          <t>ai.topology.chokeWidth</t>
        </is>
      </c>
      <c r="B437" t="inlineStr">
        <is>
          <t>topology</t>
        </is>
      </c>
      <c r="C437" t="inlineStr">
        <is>
          <t>chokeWidth</t>
        </is>
      </c>
      <c r="D437" t="n">
        <v>8</v>
      </c>
      <c r="F437" t="inlineStr">
        <is>
          <t>m</t>
        </is>
      </c>
      <c r="G437" t="inlineStr">
        <is>
          <t>ban_kinh</t>
        </is>
      </c>
      <c r="H437" t="inlineStr">
        <is>
          <t>06</t>
        </is>
      </c>
      <c r="I437" t="inlineStr">
        <is>
          <t>MapTopology.FindChokes</t>
        </is>
      </c>
      <c r="J437" t="inlineStr">
        <is>
          <t>Assets/MachineBrigade/Resources/Data/tunables.json: ai.topology.chokeWidth</t>
        </is>
      </c>
      <c r="K437" t="inlineStr">
        <is>
          <t>{"value":8.0,"unit":"m","kind":"ban_kinh","linh_vuc":"06","code":"MapTopology.FindChokes"}</t>
        </is>
      </c>
    </row>
    <row r="438">
      <c r="A438" t="inlineStr">
        <is>
          <t>ai.topology.nearestRings</t>
        </is>
      </c>
      <c r="B438" t="inlineStr">
        <is>
          <t>topology</t>
        </is>
      </c>
      <c r="C438" t="inlineStr">
        <is>
          <t>nearestRings</t>
        </is>
      </c>
      <c r="D438" t="n">
        <v>8</v>
      </c>
      <c r="F438" t="inlineStr">
        <is>
          <t>count</t>
        </is>
      </c>
      <c r="G438" t="inlineStr">
        <is>
          <t>gioi_han_thuc_the</t>
        </is>
      </c>
      <c r="H438" t="inlineStr">
        <is>
          <t>06</t>
        </is>
      </c>
      <c r="I438" t="inlineStr">
        <is>
          <t>DomainGraph.NearestPassableCell</t>
        </is>
      </c>
      <c r="J438" t="inlineStr">
        <is>
          <t>Assets/MachineBrigade/Resources/Data/tunables.json: ai.topology.nearestRings</t>
        </is>
      </c>
      <c r="K438" t="inlineStr">
        <is>
          <t>{"value":8,"unit":"count","kind":"gioi_han_thuc_the","linh_vuc":"06","code":"DomainGraph.NearestPassableCell"}</t>
        </is>
      </c>
    </row>
    <row r="439">
      <c r="A439" t="inlineStr">
        <is>
          <t>ai.topology.rebuildSeconds</t>
        </is>
      </c>
      <c r="B439" t="inlineStr">
        <is>
          <t>topology</t>
        </is>
      </c>
      <c r="C439" t="inlineStr">
        <is>
          <t>rebuildSeconds</t>
        </is>
      </c>
      <c r="D439" t="n">
        <v>5</v>
      </c>
      <c r="F439" t="inlineStr">
        <is>
          <t>s</t>
        </is>
      </c>
      <c r="G439" t="inlineStr">
        <is>
          <t>thoi_gian</t>
        </is>
      </c>
      <c r="H439" t="inlineStr">
        <is>
          <t>06</t>
        </is>
      </c>
      <c r="I439" t="inlineStr">
        <is>
          <t>SimWorld.Topology (rebuild after ground changes)</t>
        </is>
      </c>
      <c r="J439" t="inlineStr">
        <is>
          <t>Assets/MachineBrigade/Resources/Data/tunables.json: ai.topology.rebuildSeconds</t>
        </is>
      </c>
      <c r="K439" t="inlineStr">
        <is>
          <t>{"value":5.0,"unit":"s","kind":"thoi_gian","linh_vuc":"06","code":"SimWorld.Topology (rebuild after ground changes)"}</t>
        </is>
      </c>
    </row>
    <row r="440">
      <c r="A440" t="inlineStr">
        <is>
          <t>ai.towers.airThreatWorth</t>
        </is>
      </c>
      <c r="B440" t="inlineStr">
        <is>
          <t>towers</t>
        </is>
      </c>
      <c r="C440" t="inlineStr">
        <is>
          <t>airThreatWorth</t>
        </is>
      </c>
      <c r="D440" t="n">
        <v>1.6</v>
      </c>
      <c r="F440" t="inlineStr">
        <is>
          <t>x</t>
        </is>
      </c>
      <c r="G440" t="inlineStr">
        <is>
          <t>nguong</t>
        </is>
      </c>
      <c r="H440" t="inlineStr">
        <is>
          <t>06</t>
        </is>
      </c>
      <c r="I440" t="inlineStr">
        <is>
          <t>Towers.AirThreatWorth (AI MASTER P5)</t>
        </is>
      </c>
      <c r="J440" t="inlineStr">
        <is>
          <t>Assets/MachineBrigade/Resources/Data/tunables.json: ai.towers.airThreatWorth</t>
        </is>
      </c>
      <c r="K440" t="inlineStr">
        <is>
          <t>{"value":1.6,"unit":"x","kind":"nguong","linh_vuc":"06","code":"Towers.AirThreatWorth (AI MASTER P5)"}</t>
        </is>
      </c>
    </row>
    <row r="441">
      <c r="A441" t="inlineStr">
        <is>
          <t>ai.towers.artilleryWorth</t>
        </is>
      </c>
      <c r="B441" t="inlineStr">
        <is>
          <t>towers</t>
        </is>
      </c>
      <c r="C441" t="inlineStr">
        <is>
          <t>artilleryWorth</t>
        </is>
      </c>
      <c r="D441" t="n">
        <v>1.4</v>
      </c>
      <c r="F441" t="inlineStr">
        <is>
          <t>x</t>
        </is>
      </c>
      <c r="G441" t="inlineStr">
        <is>
          <t>nguong</t>
        </is>
      </c>
      <c r="H441" t="inlineStr">
        <is>
          <t>06</t>
        </is>
      </c>
      <c r="I441" t="inlineStr">
        <is>
          <t>Towers.ArtilleryWorth (AI MASTER P5)</t>
        </is>
      </c>
      <c r="J441" t="inlineStr">
        <is>
          <t>Assets/MachineBrigade/Resources/Data/tunables.json: ai.towers.artilleryWorth</t>
        </is>
      </c>
      <c r="K441" t="inlineStr">
        <is>
          <t>{"value":1.4,"unit":"x","kind":"nguong","linh_vuc":"06","code":"Towers.ArtilleryWorth (AI MASTER P5)"}</t>
        </is>
      </c>
    </row>
    <row r="442">
      <c r="A442" t="inlineStr">
        <is>
          <t>ai.towers.criticalRadius</t>
        </is>
      </c>
      <c r="B442" t="inlineStr">
        <is>
          <t>towers</t>
        </is>
      </c>
      <c r="C442" t="inlineStr">
        <is>
          <t>criticalRadius</t>
        </is>
      </c>
      <c r="D442" t="n">
        <v>20</v>
      </c>
      <c r="F442" t="inlineStr">
        <is>
          <t>m</t>
        </is>
      </c>
      <c r="G442" t="inlineStr">
        <is>
          <t>ban_kinh</t>
        </is>
      </c>
      <c r="H442" t="inlineStr">
        <is>
          <t>06</t>
        </is>
      </c>
      <c r="I442" t="inlineStr">
        <is>
          <t>Towers.CriticalRadius (AI MASTER P5)</t>
        </is>
      </c>
      <c r="J442" t="inlineStr">
        <is>
          <t>Assets/MachineBrigade/Resources/Data/tunables.json: ai.towers.criticalRadius</t>
        </is>
      </c>
      <c r="K442" t="inlineStr">
        <is>
          <t>{"value":20.0,"unit":"m","kind":"ban_kinh","linh_vuc":"06","code":"Towers.CriticalRadius (AI MASTER P5)"}</t>
        </is>
      </c>
    </row>
    <row r="443">
      <c r="A443" t="inlineStr">
        <is>
          <t>ai.towers.criticalWorth</t>
        </is>
      </c>
      <c r="B443" t="inlineStr">
        <is>
          <t>towers</t>
        </is>
      </c>
      <c r="C443" t="inlineStr">
        <is>
          <t>criticalWorth</t>
        </is>
      </c>
      <c r="D443" t="n">
        <v>4</v>
      </c>
      <c r="F443" t="inlineStr">
        <is>
          <t>x</t>
        </is>
      </c>
      <c r="G443" t="inlineStr">
        <is>
          <t>nguong</t>
        </is>
      </c>
      <c r="H443" t="inlineStr">
        <is>
          <t>06</t>
        </is>
      </c>
      <c r="I443" t="inlineStr">
        <is>
          <t>Towers.CriticalWorth (AI MASTER P5)</t>
        </is>
      </c>
      <c r="J443" t="inlineStr">
        <is>
          <t>Assets/MachineBrigade/Resources/Data/tunables.json: ai.towers.criticalWorth</t>
        </is>
      </c>
      <c r="K443" t="inlineStr">
        <is>
          <t>{"value":4.0,"unit":"x","kind":"nguong","linh_vuc":"06","code":"Towers.CriticalWorth (AI MASTER P5)"}</t>
        </is>
      </c>
    </row>
    <row r="444">
      <c r="A444" t="inlineStr">
        <is>
          <t>ai.towers.enabled</t>
        </is>
      </c>
      <c r="B444" t="inlineStr">
        <is>
          <t>towers</t>
        </is>
      </c>
      <c r="C444" t="inlineStr">
        <is>
          <t>enabled</t>
        </is>
      </c>
      <c r="D444" t="b">
        <v>1</v>
      </c>
      <c r="F444" t="inlineStr">
        <is>
          <t>flag</t>
        </is>
      </c>
      <c r="G444" t="inlineStr">
        <is>
          <t>khac</t>
        </is>
      </c>
      <c r="H444" t="inlineStr">
        <is>
          <t>06</t>
        </is>
      </c>
      <c r="I444" t="inlineStr">
        <is>
          <t>Towers.Enabled (AI MASTER P5)</t>
        </is>
      </c>
      <c r="J444" t="inlineStr">
        <is>
          <t>Assets/MachineBrigade/Resources/Data/tunables.json: ai.towers.enabled</t>
        </is>
      </c>
      <c r="K444" t="inlineStr">
        <is>
          <t>{"value":true,"unit":"flag","kind":"khac","linh_vuc":"06","code":"Towers.Enabled (AI MASTER P5)"}</t>
        </is>
      </c>
    </row>
    <row r="445">
      <c r="A445" t="inlineStr">
        <is>
          <t>ai.towers.heavyWorth</t>
        </is>
      </c>
      <c r="B445" t="inlineStr">
        <is>
          <t>towers</t>
        </is>
      </c>
      <c r="C445" t="inlineStr">
        <is>
          <t>heavyWorth</t>
        </is>
      </c>
      <c r="D445" t="n">
        <v>1.3</v>
      </c>
      <c r="F445" t="inlineStr">
        <is>
          <t>x</t>
        </is>
      </c>
      <c r="G445" t="inlineStr">
        <is>
          <t>nguong</t>
        </is>
      </c>
      <c r="H445" t="inlineStr">
        <is>
          <t>06</t>
        </is>
      </c>
      <c r="I445" t="inlineStr">
        <is>
          <t>Towers.HeavyWorth (AI MASTER P5)</t>
        </is>
      </c>
      <c r="J445" t="inlineStr">
        <is>
          <t>Assets/MachineBrigade/Resources/Data/tunables.json: ai.towers.heavyWorth</t>
        </is>
      </c>
      <c r="K445" t="inlineStr">
        <is>
          <t>{"value":1.3,"unit":"x","kind":"nguong","linh_vuc":"06","code":"Towers.HeavyWorth (AI MASTER P5)"}</t>
        </is>
      </c>
    </row>
    <row r="446">
      <c r="A446" t="inlineStr">
        <is>
          <t>ai.towers.overkillFloor</t>
        </is>
      </c>
      <c r="B446" t="inlineStr">
        <is>
          <t>towers</t>
        </is>
      </c>
      <c r="C446" t="inlineStr">
        <is>
          <t>overkillFloor</t>
        </is>
      </c>
      <c r="D446" t="n">
        <v>0.35</v>
      </c>
      <c r="F446" t="inlineStr">
        <is>
          <t>x</t>
        </is>
      </c>
      <c r="G446" t="inlineStr">
        <is>
          <t>nguong</t>
        </is>
      </c>
      <c r="H446" t="inlineStr">
        <is>
          <t>06</t>
        </is>
      </c>
      <c r="I446" t="inlineStr">
        <is>
          <t>Towers.OverkillFloor (AI MASTER P5)</t>
        </is>
      </c>
      <c r="J446" t="inlineStr">
        <is>
          <t>Assets/MachineBrigade/Resources/Data/tunables.json: ai.towers.overkillFloor</t>
        </is>
      </c>
      <c r="K446" t="inlineStr">
        <is>
          <t>{"value":0.35,"unit":"x","kind":"nguong","linh_vuc":"06","code":"Towers.OverkillFloor (AI MASTER P5)"}</t>
        </is>
      </c>
    </row>
    <row r="447">
      <c r="A447" t="inlineStr">
        <is>
          <t>ai.towers.overkillShare</t>
        </is>
      </c>
      <c r="B447" t="inlineStr">
        <is>
          <t>towers</t>
        </is>
      </c>
      <c r="C447" t="inlineStr">
        <is>
          <t>overkillShare</t>
        </is>
      </c>
      <c r="D447" t="n">
        <v>1.15</v>
      </c>
      <c r="F447" t="inlineStr">
        <is>
          <t>x</t>
        </is>
      </c>
      <c r="G447" t="inlineStr">
        <is>
          <t>nguong</t>
        </is>
      </c>
      <c r="H447" t="inlineStr">
        <is>
          <t>06</t>
        </is>
      </c>
      <c r="I447" t="inlineStr">
        <is>
          <t>Towers.OverkillShare (AI MASTER P5)</t>
        </is>
      </c>
      <c r="J447" t="inlineStr">
        <is>
          <t>Assets/MachineBrigade/Resources/Data/tunables.json: ai.towers.overkillShare</t>
        </is>
      </c>
      <c r="K447" t="inlineStr">
        <is>
          <t>{"value":1.15,"unit":"x","kind":"nguong","linh_vuc":"06","code":"Towers.OverkillShare (AI MASTER P5)"}</t>
        </is>
      </c>
    </row>
    <row r="448">
      <c r="A448" t="inlineStr">
        <is>
          <t>ai.towers.protectRadius</t>
        </is>
      </c>
      <c r="B448" t="inlineStr">
        <is>
          <t>towers</t>
        </is>
      </c>
      <c r="C448" t="inlineStr">
        <is>
          <t>protectRadius</t>
        </is>
      </c>
      <c r="D448" t="n">
        <v>45</v>
      </c>
      <c r="F448" t="inlineStr">
        <is>
          <t>m</t>
        </is>
      </c>
      <c r="G448" t="inlineStr">
        <is>
          <t>ban_kinh</t>
        </is>
      </c>
      <c r="H448" t="inlineStr">
        <is>
          <t>06</t>
        </is>
      </c>
      <c r="I448" t="inlineStr">
        <is>
          <t>Towers.ProtectRadius (AI MASTER P5)</t>
        </is>
      </c>
      <c r="J448" t="inlineStr">
        <is>
          <t>Assets/MachineBrigade/Resources/Data/tunables.json: ai.towers.protectRadius</t>
        </is>
      </c>
      <c r="K448" t="inlineStr">
        <is>
          <t>{"value":45.0,"unit":"m","kind":"ban_kinh","linh_vuc":"06","code":"Towers.ProtectRadius (AI MASTER P5)"}</t>
        </is>
      </c>
    </row>
    <row r="449">
      <c r="A449" t="inlineStr">
        <is>
          <t>ai.traffic.alternateSeconds</t>
        </is>
      </c>
      <c r="B449" t="inlineStr">
        <is>
          <t>traffic</t>
        </is>
      </c>
      <c r="C449" t="inlineStr">
        <is>
          <t>alternateSeconds</t>
        </is>
      </c>
      <c r="D449" t="n">
        <v>8</v>
      </c>
      <c r="F449" t="inlineStr">
        <is>
          <t>s</t>
        </is>
      </c>
      <c r="G449" t="inlineStr">
        <is>
          <t>thoi_gian</t>
        </is>
      </c>
      <c r="H449" t="inlineStr">
        <is>
          <t>06</t>
        </is>
      </c>
      <c r="I449" t="inlineStr">
        <is>
          <t>TrafficCoordinator.Request (alternation)</t>
        </is>
      </c>
      <c r="J449" t="inlineStr">
        <is>
          <t>Assets/MachineBrigade/Resources/Data/tunables.json: ai.traffic.alternateSeconds</t>
        </is>
      </c>
      <c r="K449" t="inlineStr">
        <is>
          <t>{"value":8.0,"unit":"s","kind":"thoi_gian","linh_vuc":"06","code":"TrafficCoordinator.Request (alternation)"}</t>
        </is>
      </c>
    </row>
    <row r="450">
      <c r="A450" t="inlineStr">
        <is>
          <t>ai.traffic.approachM</t>
        </is>
      </c>
      <c r="B450" t="inlineStr">
        <is>
          <t>traffic</t>
        </is>
      </c>
      <c r="C450" t="inlineStr">
        <is>
          <t>approachM</t>
        </is>
      </c>
      <c r="D450" t="n">
        <v>60</v>
      </c>
      <c r="F450" t="inlineStr">
        <is>
          <t>m</t>
        </is>
      </c>
      <c r="G450" t="inlineStr">
        <is>
          <t>ban_kinh</t>
        </is>
      </c>
      <c r="H450" t="inlineStr">
        <is>
          <t>06</t>
        </is>
      </c>
      <c r="I450" t="inlineStr">
        <is>
          <t>SquadLayer.PlanTraffic</t>
        </is>
      </c>
      <c r="J450" t="inlineStr">
        <is>
          <t>Assets/MachineBrigade/Resources/Data/tunables.json: ai.traffic.approachM</t>
        </is>
      </c>
      <c r="K450" t="inlineStr">
        <is>
          <t>{"value":60.0,"unit":"m","kind":"ban_kinh","linh_vuc":"06","code":"SquadLayer.PlanTraffic"}</t>
        </is>
      </c>
    </row>
    <row r="451">
      <c r="A451" t="inlineStr">
        <is>
          <t>ai.traffic.bossCorridorCost</t>
        </is>
      </c>
      <c r="B451" t="inlineStr">
        <is>
          <t>traffic</t>
        </is>
      </c>
      <c r="C451" t="inlineStr">
        <is>
          <t>bossCorridorCost</t>
        </is>
      </c>
      <c r="D451" t="n">
        <v>200</v>
      </c>
      <c r="F451" t="inlineStr">
        <is>
          <t>cost</t>
        </is>
      </c>
      <c r="G451" t="inlineStr">
        <is>
          <t>nguong</t>
        </is>
      </c>
      <c r="H451" t="inlineStr">
        <is>
          <t>06</t>
        </is>
      </c>
      <c r="I451" t="inlineStr">
        <is>
          <t>TrafficCoordinator.StampCosts (spec 84)</t>
        </is>
      </c>
      <c r="J451" t="inlineStr">
        <is>
          <t>Assets/MachineBrigade/Resources/Data/tunables.json: ai.traffic.bossCorridorCost</t>
        </is>
      </c>
      <c r="K451" t="inlineStr">
        <is>
          <t>{"value":200,"unit":"cost","kind":"nguong","linh_vuc":"06","code":"TrafficCoordinator.StampCosts (spec 84)"}</t>
        </is>
      </c>
    </row>
    <row r="452">
      <c r="A452" t="inlineStr">
        <is>
          <t>ai.traffic.chokeBatchGapS</t>
        </is>
      </c>
      <c r="B452" t="inlineStr">
        <is>
          <t>traffic</t>
        </is>
      </c>
      <c r="C452" t="inlineStr">
        <is>
          <t>chokeBatchGapS</t>
        </is>
      </c>
      <c r="D452" t="n">
        <v>2.5</v>
      </c>
      <c r="F452" t="inlineStr">
        <is>
          <t>s</t>
        </is>
      </c>
      <c r="G452" t="inlineStr">
        <is>
          <t>thoi_gian</t>
        </is>
      </c>
      <c r="H452" t="inlineStr">
        <is>
          <t>06</t>
        </is>
      </c>
      <c r="I452" t="inlineStr">
        <is>
          <t>SquadLayer.IssueSlot (packets 2-4 s apart, spec 86)</t>
        </is>
      </c>
      <c r="J452" t="inlineStr">
        <is>
          <t>Assets/MachineBrigade/Resources/Data/tunables.json: ai.traffic.chokeBatchGapS</t>
        </is>
      </c>
      <c r="K452" t="inlineStr">
        <is>
          <t>{"value":2.5,"unit":"s","kind":"thoi_gian","linh_vuc":"06","code":"SquadLayer.IssueSlot (packets 2-4 s apart, spec 86)"}</t>
        </is>
      </c>
    </row>
    <row r="453">
      <c r="A453" t="inlineStr">
        <is>
          <t>ai.traffic.corridorMinDistance</t>
        </is>
      </c>
      <c r="B453" t="inlineStr">
        <is>
          <t>traffic</t>
        </is>
      </c>
      <c r="C453" t="inlineStr">
        <is>
          <t>corridorMinDistance</t>
        </is>
      </c>
      <c r="D453" t="n">
        <v>30</v>
      </c>
      <c r="F453" t="inlineStr">
        <is>
          <t>m</t>
        </is>
      </c>
      <c r="G453" t="inlineStr">
        <is>
          <t>ban_kinh</t>
        </is>
      </c>
      <c r="H453" t="inlineStr">
        <is>
          <t>06</t>
        </is>
      </c>
      <c r="I453" t="inlineStr">
        <is>
          <t>SquadLayer.PlanTraffic (spec 28)</t>
        </is>
      </c>
      <c r="J453" t="inlineStr">
        <is>
          <t>Assets/MachineBrigade/Resources/Data/tunables.json: ai.traffic.corridorMinDistance</t>
        </is>
      </c>
      <c r="K453" t="inlineStr">
        <is>
          <t>{"value":30.0,"unit":"m","kind":"ban_kinh","linh_vuc":"06","code":"SquadLayer.PlanTraffic (spec 28)"}</t>
        </is>
      </c>
    </row>
    <row r="454">
      <c r="A454" t="inlineStr">
        <is>
          <t>ai.traffic.corridorMinMembers</t>
        </is>
      </c>
      <c r="B454" t="inlineStr">
        <is>
          <t>traffic</t>
        </is>
      </c>
      <c r="C454" t="inlineStr">
        <is>
          <t>corridorMinMembers</t>
        </is>
      </c>
      <c r="D454" t="n">
        <v>3</v>
      </c>
      <c r="F454" t="inlineStr">
        <is>
          <t>count</t>
        </is>
      </c>
      <c r="G454" t="inlineStr">
        <is>
          <t>gioi_han_thuc_the</t>
        </is>
      </c>
      <c r="H454" t="inlineStr">
        <is>
          <t>06</t>
        </is>
      </c>
      <c r="I454" t="inlineStr">
        <is>
          <t>SquadLayer.PlanTraffic (spec 28)</t>
        </is>
      </c>
      <c r="J454" t="inlineStr">
        <is>
          <t>Assets/MachineBrigade/Resources/Data/tunables.json: ai.traffic.corridorMinMembers</t>
        </is>
      </c>
      <c r="K454" t="inlineStr">
        <is>
          <t>{"value":3,"unit":"count","kind":"gioi_han_thuc_the","linh_vuc":"06","code":"SquadLayer.PlanTraffic (spec 28)"}</t>
        </is>
      </c>
    </row>
    <row r="455">
      <c r="A455" t="inlineStr">
        <is>
          <t>ai.traffic.corridorNodes</t>
        </is>
      </c>
      <c r="B455" t="inlineStr">
        <is>
          <t>traffic</t>
        </is>
      </c>
      <c r="C455" t="inlineStr">
        <is>
          <t>corridorNodes</t>
        </is>
      </c>
      <c r="D455" t="n">
        <v>6000</v>
      </c>
      <c r="F455" t="inlineStr">
        <is>
          <t>cells</t>
        </is>
      </c>
      <c r="G455" t="inlineStr">
        <is>
          <t>gioi_han_thuc_the</t>
        </is>
      </c>
      <c r="H455" t="inlineStr">
        <is>
          <t>06</t>
        </is>
      </c>
      <c r="I455" t="inlineStr">
        <is>
          <t>SquadCorridors.Plan (search budget)</t>
        </is>
      </c>
      <c r="J455" t="inlineStr">
        <is>
          <t>Assets/MachineBrigade/Resources/Data/tunables.json: ai.traffic.corridorNodes</t>
        </is>
      </c>
      <c r="K455" t="inlineStr">
        <is>
          <t>{"value":6000,"unit":"cells","kind":"gioi_han_thuc_the","linh_vuc":"06","code":"SquadCorridors.Plan (search budget)"}</t>
        </is>
      </c>
    </row>
    <row r="456">
      <c r="A456" t="inlineStr">
        <is>
          <t>ai.traffic.corridorRefreshS</t>
        </is>
      </c>
      <c r="B456" t="inlineStr">
        <is>
          <t>traffic</t>
        </is>
      </c>
      <c r="C456" t="inlineStr">
        <is>
          <t>corridorRefreshS</t>
        </is>
      </c>
      <c r="D456" t="n">
        <v>8</v>
      </c>
      <c r="F456" t="inlineStr">
        <is>
          <t>s</t>
        </is>
      </c>
      <c r="G456" t="inlineStr">
        <is>
          <t>thoi_gian</t>
        </is>
      </c>
      <c r="H456" t="inlineStr">
        <is>
          <t>06</t>
        </is>
      </c>
      <c r="I456" t="inlineStr">
        <is>
          <t>SquadCorridors.Get</t>
        </is>
      </c>
      <c r="J456" t="inlineStr">
        <is>
          <t>Assets/MachineBrigade/Resources/Data/tunables.json: ai.traffic.corridorRefreshS</t>
        </is>
      </c>
      <c r="K456" t="inlineStr">
        <is>
          <t>{"value":8.0,"unit":"s","kind":"thoi_gian","linh_vuc":"06","code":"SquadCorridors.Get"}</t>
        </is>
      </c>
    </row>
    <row r="457">
      <c r="A457" t="inlineStr">
        <is>
          <t>ai.traffic.deadlockTicks</t>
        </is>
      </c>
      <c r="B457" t="inlineStr">
        <is>
          <t>traffic</t>
        </is>
      </c>
      <c r="C457" t="inlineStr">
        <is>
          <t>deadlockTicks</t>
        </is>
      </c>
      <c r="D457" t="n">
        <v>20</v>
      </c>
      <c r="F457" t="inlineStr">
        <is>
          <t>steps</t>
        </is>
      </c>
      <c r="G457" t="inlineStr">
        <is>
          <t>tan_suat</t>
        </is>
      </c>
      <c r="H457" t="inlineStr">
        <is>
          <t>06</t>
        </is>
      </c>
      <c r="I457" t="inlineStr">
        <is>
          <t>MovementSystem.ResolveDeadlocks (spec 190, 1 Hz)</t>
        </is>
      </c>
      <c r="J457" t="inlineStr">
        <is>
          <t>Assets/MachineBrigade/Resources/Data/tunables.json: ai.traffic.deadlockTicks</t>
        </is>
      </c>
      <c r="K457" t="inlineStr">
        <is>
          <t>{"value":20,"unit":"steps","kind":"tan_suat","linh_vuc":"06","code":"MovementSystem.ResolveDeadlocks (spec 190, 1 Hz)"}</t>
        </is>
      </c>
    </row>
    <row r="458">
      <c r="A458" t="inlineStr">
        <is>
          <t>ai.traffic.enabled</t>
        </is>
      </c>
      <c r="B458" t="inlineStr">
        <is>
          <t>traffic</t>
        </is>
      </c>
      <c r="C458" t="inlineStr">
        <is>
          <t>enabled</t>
        </is>
      </c>
      <c r="D458" t="b">
        <v>1</v>
      </c>
      <c r="F458" t="inlineStr">
        <is>
          <t>flag</t>
        </is>
      </c>
      <c r="G458" t="inlineStr">
        <is>
          <t>khac</t>
        </is>
      </c>
      <c r="H458" t="inlineStr">
        <is>
          <t>06</t>
        </is>
      </c>
      <c r="I458" t="inlineStr">
        <is>
          <t>SquadLayer.PlanTraffic / TrafficCoordinator (spec 28-33, 40-41)</t>
        </is>
      </c>
      <c r="J458" t="inlineStr">
        <is>
          <t>Assets/MachineBrigade/Resources/Data/tunables.json: ai.traffic.enabled</t>
        </is>
      </c>
      <c r="K458" t="inlineStr">
        <is>
          <t>{"value":true,"unit":"flag","kind":"khac","linh_vuc":"06","code":"SquadLayer.PlanTraffic / TrafficCoordinator (spec 28-33, 40-41)"}</t>
        </is>
      </c>
    </row>
    <row r="459">
      <c r="A459" t="inlineStr">
        <is>
          <t>ai.traffic.overload</t>
        </is>
      </c>
      <c r="B459" t="inlineStr">
        <is>
          <t>traffic</t>
        </is>
      </c>
      <c r="C459" t="inlineStr">
        <is>
          <t>overload</t>
        </is>
      </c>
      <c r="D459" t="n">
        <v>1</v>
      </c>
      <c r="F459" t="inlineStr">
        <is>
          <t>x</t>
        </is>
      </c>
      <c r="G459" t="inlineStr">
        <is>
          <t>nguong</t>
        </is>
      </c>
      <c r="H459" t="inlineStr">
        <is>
          <t>06</t>
        </is>
      </c>
      <c r="I459" t="inlineStr">
        <is>
          <t>TrafficCoordinator.Overloaded (spec 188-189)</t>
        </is>
      </c>
      <c r="J459" t="inlineStr">
        <is>
          <t>Assets/MachineBrigade/Resources/Data/tunables.json: ai.traffic.overload</t>
        </is>
      </c>
      <c r="K459" t="inlineStr">
        <is>
          <t>{"value":1.0,"unit":"x","kind":"nguong","linh_vuc":"06","code":"TrafficCoordinator.Overloaded (spec 188-189)"}</t>
        </is>
      </c>
    </row>
    <row r="460">
      <c r="A460" t="inlineStr">
        <is>
          <t>ai.traffic.parkingLeaveM</t>
        </is>
      </c>
      <c r="B460" t="inlineStr">
        <is>
          <t>traffic</t>
        </is>
      </c>
      <c r="C460" t="inlineStr">
        <is>
          <t>parkingLeaveM</t>
        </is>
      </c>
      <c r="D460" t="n">
        <v>5</v>
      </c>
      <c r="F460" t="inlineStr">
        <is>
          <t>m</t>
        </is>
      </c>
      <c r="G460" t="inlineStr">
        <is>
          <t>ban_kinh</t>
        </is>
      </c>
      <c r="H460" t="inlineStr">
        <is>
          <t>06</t>
        </is>
      </c>
      <c r="I460" t="inlineStr">
        <is>
          <t>LaneMap.InUse (artillery parking lease, spec 41)</t>
        </is>
      </c>
      <c r="J460" t="inlineStr">
        <is>
          <t>Assets/MachineBrigade/Resources/Data/tunables.json: ai.traffic.parkingLeaveM</t>
        </is>
      </c>
      <c r="K460" t="inlineStr">
        <is>
          <t>{"value":5.0,"unit":"m","kind":"ban_kinh","linh_vuc":"06","code":"LaneMap.InUse (artillery parking lease, spec 41)"}</t>
        </is>
      </c>
    </row>
    <row r="461">
      <c r="A461" t="inlineStr">
        <is>
          <t>ai.traffic.parkingSplashSpacing</t>
        </is>
      </c>
      <c r="B461" t="inlineStr">
        <is>
          <t>traffic</t>
        </is>
      </c>
      <c r="C461" t="inlineStr">
        <is>
          <t>parkingSplashSpacing</t>
        </is>
      </c>
      <c r="D461" t="n">
        <v>1.5</v>
      </c>
      <c r="F461" t="inlineStr">
        <is>
          <t>x</t>
        </is>
      </c>
      <c r="G461" t="inlineStr">
        <is>
          <t>nguong</t>
        </is>
      </c>
      <c r="H461" t="inlineStr">
        <is>
          <t>06</t>
        </is>
      </c>
      <c r="I461" t="inlineStr">
        <is>
          <t>TrafficCoordinator.CanPark (spec 41)</t>
        </is>
      </c>
      <c r="J461" t="inlineStr">
        <is>
          <t>Assets/MachineBrigade/Resources/Data/tunables.json: ai.traffic.parkingSplashSpacing</t>
        </is>
      </c>
      <c r="K461" t="inlineStr">
        <is>
          <t>{"value":1.5,"unit":"x","kind":"nguong","linh_vuc":"06","code":"TrafficCoordinator.CanPark (spec 41)"}</t>
        </is>
      </c>
    </row>
    <row r="462">
      <c r="A462" t="inlineStr">
        <is>
          <t>ai.traffic.predictWindowS</t>
        </is>
      </c>
      <c r="B462" t="inlineStr">
        <is>
          <t>traffic</t>
        </is>
      </c>
      <c r="C462" t="inlineStr">
        <is>
          <t>predictWindowS</t>
        </is>
      </c>
      <c r="D462" t="n">
        <v>5</v>
      </c>
      <c r="F462" t="inlineStr">
        <is>
          <t>s</t>
        </is>
      </c>
      <c r="G462" t="inlineStr">
        <is>
          <t>thoi_gian</t>
        </is>
      </c>
      <c r="H462" t="inlineStr">
        <is>
          <t>06</t>
        </is>
      </c>
      <c r="I462" t="inlineStr">
        <is>
          <t>TrafficCoordinator.PredictArrivals (spec 188)</t>
        </is>
      </c>
      <c r="J462" t="inlineStr">
        <is>
          <t>Assets/MachineBrigade/Resources/Data/tunables.json: ai.traffic.predictWindowS</t>
        </is>
      </c>
      <c r="K462" t="inlineStr">
        <is>
          <t>{"value":5.0,"unit":"s","kind":"thoi_gian","linh_vuc":"06","code":"TrafficCoordinator.PredictArrivals (spec 188)"}</t>
        </is>
      </c>
    </row>
    <row r="463">
      <c r="A463" t="inlineStr">
        <is>
          <t>ai.traffic.preemptMargin</t>
        </is>
      </c>
      <c r="B463" t="inlineStr">
        <is>
          <t>traffic</t>
        </is>
      </c>
      <c r="C463" t="inlineStr">
        <is>
          <t>preemptMargin</t>
        </is>
      </c>
      <c r="D463" t="n">
        <v>20</v>
      </c>
      <c r="F463" t="inlineStr">
        <is>
          <t>points</t>
        </is>
      </c>
      <c r="G463" t="inlineStr">
        <is>
          <t>nguong</t>
        </is>
      </c>
      <c r="H463" t="inlineStr">
        <is>
          <t>06</t>
        </is>
      </c>
      <c r="I463" t="inlineStr">
        <is>
          <t>TrafficCoordinator.Request (preemption)</t>
        </is>
      </c>
      <c r="J463" t="inlineStr">
        <is>
          <t>Assets/MachineBrigade/Resources/Data/tunables.json: ai.traffic.preemptMargin</t>
        </is>
      </c>
      <c r="K463" t="inlineStr">
        <is>
          <t>{"value":20,"unit":"points","kind":"nguong","linh_vuc":"06","code":"TrafficCoordinator.Request (preemption)"}</t>
        </is>
      </c>
    </row>
    <row r="464">
      <c r="A464" t="inlineStr">
        <is>
          <t>ai.traffic.priorityHoldS</t>
        </is>
      </c>
      <c r="B464" t="inlineStr">
        <is>
          <t>traffic</t>
        </is>
      </c>
      <c r="C464" t="inlineStr">
        <is>
          <t>priorityHoldS</t>
        </is>
      </c>
      <c r="D464" t="n">
        <v>2</v>
      </c>
      <c r="F464" t="inlineStr">
        <is>
          <t>s</t>
        </is>
      </c>
      <c r="G464" t="inlineStr">
        <is>
          <t>thoi_gian</t>
        </is>
      </c>
      <c r="H464" t="inlineStr">
        <is>
          <t>06</t>
        </is>
      </c>
      <c r="I464" t="inlineStr">
        <is>
          <t>TrafficCoordinator.RightOfWay (spec 32)</t>
        </is>
      </c>
      <c r="J464" t="inlineStr">
        <is>
          <t>Assets/MachineBrigade/Resources/Data/tunables.json: ai.traffic.priorityHoldS</t>
        </is>
      </c>
      <c r="K464" t="inlineStr">
        <is>
          <t>{"value":2.0,"unit":"s","kind":"thoi_gian","linh_vuc":"06","code":"TrafficCoordinator.RightOfWay (spec 32)"}</t>
        </is>
      </c>
    </row>
    <row r="465">
      <c r="A465" t="inlineStr">
        <is>
          <t>ai.traffic.queueSpacing</t>
        </is>
      </c>
      <c r="B465" t="inlineStr">
        <is>
          <t>traffic</t>
        </is>
      </c>
      <c r="C465" t="inlineStr">
        <is>
          <t>queueSpacing</t>
        </is>
      </c>
      <c r="D465" t="n">
        <v>8</v>
      </c>
      <c r="F465" t="inlineStr">
        <is>
          <t>m</t>
        </is>
      </c>
      <c r="G465" t="inlineStr">
        <is>
          <t>ban_kinh</t>
        </is>
      </c>
      <c r="H465" t="inlineStr">
        <is>
          <t>06</t>
        </is>
      </c>
      <c r="I465" t="inlineStr">
        <is>
          <t>Passage.QueuePoint (spec 85)</t>
        </is>
      </c>
      <c r="J465" t="inlineStr">
        <is>
          <t>Assets/MachineBrigade/Resources/Data/tunables.json: ai.traffic.queueSpacing</t>
        </is>
      </c>
      <c r="K465" t="inlineStr">
        <is>
          <t>{"value":8.0,"unit":"m","kind":"ban_kinh","linh_vuc":"06","code":"Passage.QueuePoint (spec 85)"}</t>
        </is>
      </c>
    </row>
    <row r="466">
      <c r="A466" t="inlineStr">
        <is>
          <t>ai.traffic.queueStart</t>
        </is>
      </c>
      <c r="B466" t="inlineStr">
        <is>
          <t>traffic</t>
        </is>
      </c>
      <c r="C466" t="inlineStr">
        <is>
          <t>queueStart</t>
        </is>
      </c>
      <c r="D466" t="n">
        <v>8</v>
      </c>
      <c r="F466" t="inlineStr">
        <is>
          <t>m</t>
        </is>
      </c>
      <c r="G466" t="inlineStr">
        <is>
          <t>ban_kinh</t>
        </is>
      </c>
      <c r="H466" t="inlineStr">
        <is>
          <t>06</t>
        </is>
      </c>
      <c r="I466" t="inlineStr">
        <is>
          <t>Passage.QueuePoint (spec 85)</t>
        </is>
      </c>
      <c r="J466" t="inlineStr">
        <is>
          <t>Assets/MachineBrigade/Resources/Data/tunables.json: ai.traffic.queueStart</t>
        </is>
      </c>
      <c r="K466" t="inlineStr">
        <is>
          <t>{"value":8.0,"unit":"m","kind":"ban_kinh","linh_vuc":"06","code":"Passage.QueuePoint (spec 85)"}</t>
        </is>
      </c>
    </row>
    <row r="467">
      <c r="A467" t="inlineStr">
        <is>
          <t>ai.traffic.reservationSeconds</t>
        </is>
      </c>
      <c r="B467" t="inlineStr">
        <is>
          <t>traffic</t>
        </is>
      </c>
      <c r="C467" t="inlineStr">
        <is>
          <t>reservationSeconds</t>
        </is>
      </c>
      <c r="D467" t="n">
        <v>6</v>
      </c>
      <c r="F467" t="inlineStr">
        <is>
          <t>s</t>
        </is>
      </c>
      <c r="G467" t="inlineStr">
        <is>
          <t>thoi_gian</t>
        </is>
      </c>
      <c r="H467" t="inlineStr">
        <is>
          <t>06</t>
        </is>
      </c>
      <c r="I467" t="inlineStr">
        <is>
          <t>TrafficCoordinator.Request (spec 31)</t>
        </is>
      </c>
      <c r="J467" t="inlineStr">
        <is>
          <t>Assets/MachineBrigade/Resources/Data/tunables.json: ai.traffic.reservationSeconds</t>
        </is>
      </c>
      <c r="K467" t="inlineStr">
        <is>
          <t>{"value":6.0,"unit":"s","kind":"thoi_gian","linh_vuc":"06","code":"TrafficCoordinator.Request (spec 31)"}</t>
        </is>
      </c>
    </row>
    <row r="468">
      <c r="A468" t="inlineStr">
        <is>
          <t>ai.traffic.reservedSpotCost</t>
        </is>
      </c>
      <c r="B468" t="inlineStr">
        <is>
          <t>traffic</t>
        </is>
      </c>
      <c r="C468" t="inlineStr">
        <is>
          <t>reservedSpotCost</t>
        </is>
      </c>
      <c r="D468" t="n">
        <v>120</v>
      </c>
      <c r="F468" t="inlineStr">
        <is>
          <t>cost</t>
        </is>
      </c>
      <c r="G468" t="inlineStr">
        <is>
          <t>nguong</t>
        </is>
      </c>
      <c r="H468" t="inlineStr">
        <is>
          <t>06</t>
        </is>
      </c>
      <c r="I468" t="inlineStr">
        <is>
          <t>TrafficCoordinator.StampCosts (spec 84)</t>
        </is>
      </c>
      <c r="J468" t="inlineStr">
        <is>
          <t>Assets/MachineBrigade/Resources/Data/tunables.json: ai.traffic.reservedSpotCost</t>
        </is>
      </c>
      <c r="K468" t="inlineStr">
        <is>
          <t>{"value":120,"unit":"cost","kind":"nguong","linh_vuc":"06","code":"TrafficCoordinator.StampCosts (spec 84)"}</t>
        </is>
      </c>
    </row>
    <row r="469">
      <c r="A469" t="inlineStr">
        <is>
          <t>ai.traffic.spawnBlockedS</t>
        </is>
      </c>
      <c r="B469" t="inlineStr">
        <is>
          <t>traffic</t>
        </is>
      </c>
      <c r="C469" t="inlineStr">
        <is>
          <t>spawnBlockedS</t>
        </is>
      </c>
      <c r="D469" t="n">
        <v>2</v>
      </c>
      <c r="F469" t="inlineStr">
        <is>
          <t>s</t>
        </is>
      </c>
      <c r="G469" t="inlineStr">
        <is>
          <t>thoi_gian</t>
        </is>
      </c>
      <c r="H469" t="inlineStr">
        <is>
          <t>06</t>
        </is>
      </c>
      <c r="I469" t="inlineStr">
        <is>
          <t>TrafficCoordinator.ClearBlockedExits (spec 40)</t>
        </is>
      </c>
      <c r="J469" t="inlineStr">
        <is>
          <t>Assets/MachineBrigade/Resources/Data/tunables.json: ai.traffic.spawnBlockedS</t>
        </is>
      </c>
      <c r="K469" t="inlineStr">
        <is>
          <t>{"value":2.0,"unit":"s","kind":"thoi_gian","linh_vuc":"06","code":"TrafficCoordinator.ClearBlockedExits (spec 40)"}</t>
        </is>
      </c>
    </row>
    <row r="470">
      <c r="A470" t="inlineStr">
        <is>
          <t>ai.traffic.spawnClearRadius</t>
        </is>
      </c>
      <c r="B470" t="inlineStr">
        <is>
          <t>traffic</t>
        </is>
      </c>
      <c r="C470" t="inlineStr">
        <is>
          <t>spawnClearRadius</t>
        </is>
      </c>
      <c r="D470" t="n">
        <v>16</v>
      </c>
      <c r="F470" t="inlineStr">
        <is>
          <t>m</t>
        </is>
      </c>
      <c r="G470" t="inlineStr">
        <is>
          <t>ban_kinh</t>
        </is>
      </c>
      <c r="H470" t="inlineStr">
        <is>
          <t>06</t>
        </is>
      </c>
      <c r="I470" t="inlineStr">
        <is>
          <t>SpawnExit.ClearZone (spec 40)</t>
        </is>
      </c>
      <c r="J470" t="inlineStr">
        <is>
          <t>Assets/MachineBrigade/Resources/Data/tunables.json: ai.traffic.spawnClearRadius</t>
        </is>
      </c>
      <c r="K470" t="inlineStr">
        <is>
          <t>{"value":16.0,"unit":"m","kind":"ban_kinh","linh_vuc":"06","code":"SpawnExit.ClearZone (spec 40)"}</t>
        </is>
      </c>
    </row>
    <row r="471">
      <c r="A471" t="inlineStr">
        <is>
          <t>ai.traffic.spawnExitRadius</t>
        </is>
      </c>
      <c r="B471" t="inlineStr">
        <is>
          <t>traffic</t>
        </is>
      </c>
      <c r="C471" t="inlineStr">
        <is>
          <t>spawnExitRadius</t>
        </is>
      </c>
      <c r="D471" t="n">
        <v>10</v>
      </c>
      <c r="F471" t="inlineStr">
        <is>
          <t>m</t>
        </is>
      </c>
      <c r="G471" t="inlineStr">
        <is>
          <t>ban_kinh</t>
        </is>
      </c>
      <c r="H471" t="inlineStr">
        <is>
          <t>06</t>
        </is>
      </c>
      <c r="I471" t="inlineStr">
        <is>
          <t>SpawnExit.ExitBox (spec 40)</t>
        </is>
      </c>
      <c r="J471" t="inlineStr">
        <is>
          <t>Assets/MachineBrigade/Resources/Data/tunables.json: ai.traffic.spawnExitRadius</t>
        </is>
      </c>
      <c r="K471" t="inlineStr">
        <is>
          <t>{"value":10.0,"unit":"m","kind":"ban_kinh","linh_vuc":"06","code":"SpawnExit.ExitBox (spec 40)"}</t>
        </is>
      </c>
    </row>
    <row r="472">
      <c r="A472" t="inlineStr">
        <is>
          <t>ai.traffic.spawnPriorityS</t>
        </is>
      </c>
      <c r="B472" t="inlineStr">
        <is>
          <t>traffic</t>
        </is>
      </c>
      <c r="C472" t="inlineStr">
        <is>
          <t>spawnPriorityS</t>
        </is>
      </c>
      <c r="D472" t="n">
        <v>3</v>
      </c>
      <c r="F472" t="inlineStr">
        <is>
          <t>s</t>
        </is>
      </c>
      <c r="G472" t="inlineStr">
        <is>
          <t>thoi_gian</t>
        </is>
      </c>
      <c r="H472" t="inlineStr">
        <is>
          <t>06</t>
        </is>
      </c>
      <c r="I472" t="inlineStr">
        <is>
          <t>TrafficCoordinator.RightOfWay (newly spawned, spec 40)</t>
        </is>
      </c>
      <c r="J472" t="inlineStr">
        <is>
          <t>Assets/MachineBrigade/Resources/Data/tunables.json: ai.traffic.spawnPriorityS</t>
        </is>
      </c>
      <c r="K472" t="inlineStr">
        <is>
          <t>{"value":3.0,"unit":"s","kind":"thoi_gian","linh_vuc":"06","code":"TrafficCoordinator.RightOfWay (newly spawned, spec 40)"}</t>
        </is>
      </c>
    </row>
    <row r="473">
      <c r="A473" t="inlineStr">
        <is>
          <t>ai.traffic.spawnRallyRadius</t>
        </is>
      </c>
      <c r="B473" t="inlineStr">
        <is>
          <t>traffic</t>
        </is>
      </c>
      <c r="C473" t="inlineStr">
        <is>
          <t>spawnRallyRadius</t>
        </is>
      </c>
      <c r="D473" t="n">
        <v>24</v>
      </c>
      <c r="F473" t="inlineStr">
        <is>
          <t>m</t>
        </is>
      </c>
      <c r="G473" t="inlineStr">
        <is>
          <t>ban_kinh</t>
        </is>
      </c>
      <c r="H473" t="inlineStr">
        <is>
          <t>06</t>
        </is>
      </c>
      <c r="I473" t="inlineStr">
        <is>
          <t>SpawnExit.RallyRing (spec 40)</t>
        </is>
      </c>
      <c r="J473" t="inlineStr">
        <is>
          <t>Assets/MachineBrigade/Resources/Data/tunables.json: ai.traffic.spawnRallyRadius</t>
        </is>
      </c>
      <c r="K473" t="inlineStr">
        <is>
          <t>{"value":24.0,"unit":"m","kind":"ban_kinh","linh_vuc":"06","code":"SpawnExit.RallyRing (spec 40)"}</t>
        </is>
      </c>
    </row>
  </sheetData>
  <autoFilter ref="A1:K4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Tools/export</dc:creator>
  <dcterms:created xsi:type="dcterms:W3CDTF">2000-01-01T00:00:00Z</dcterms:created>
  <dcterms:modified xsi:type="dcterms:W3CDTF">2000-01-01T00:00:00Z</dcterms:modified>
</cp:coreProperties>
</file>