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15.xml.rels" ContentType="application/vnd.openxmlformats-package.relationships+xml"/>
  <Override PartName="/xl/worksheets/_rels/sheet14.xml.rels" ContentType="application/vnd.openxmlformats-package.relationships+xml"/>
  <Override PartName="/xl/worksheets/_rels/sheet2.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ục lục" sheetId="1" state="visible" r:id="rId3"/>
    <sheet name="Tổng quan" sheetId="2" state="visible" r:id="rId4"/>
    <sheet name="Vai trò" sheetId="3" state="visible" r:id="rId5"/>
    <sheet name="Phương tiện" sheetId="4" state="visible" r:id="rId6"/>
    <sheet name="Công trình" sheetId="5" state="visible" r:id="rId7"/>
    <sheet name="Boss" sheetId="6" state="visible" r:id="rId8"/>
    <sheet name="Chiến thuật" sheetId="7" state="visible" r:id="rId9"/>
    <sheet name="Tham số AI" sheetId="8" state="visible" r:id="rId10"/>
    <sheet name="Trạng thái đội" sheetId="9" state="visible" r:id="rId11"/>
    <sheet name="Emergency Reposition" sheetId="10" state="visible" r:id="rId12"/>
    <sheet name="Hành động đội" sheetId="11" state="visible" r:id="rId13"/>
    <sheet name="Sự kiện" sheetId="12" state="visible" r:id="rId14"/>
    <sheet name="Đội hình" sheetId="13" state="visible" r:id="rId15"/>
    <sheet name="Kiểu hành vi boss" sheetId="14" state="visible" r:id="rId16"/>
    <sheet name="Dấu vân hành vi" sheetId="15" state="visible" r:id="rId17"/>
    <sheet name="Chỉ số đo" sheetId="16" state="visible" r:id="rId18"/>
    <sheet name="Tính năng chọn chiến thuật" sheetId="17" state="visible" r:id="rId19"/>
    <sheet name="Kỹ thuật AI" sheetId="18" state="visible" r:id="rId20"/>
    <sheet name="Cân bằng kinh tế" sheetId="19" state="visible" r:id="rId21"/>
    <sheet name="Nguồn" sheetId="20" state="visible" r:id="rId22"/>
  </sheets>
  <definedNames>
    <definedName function="false" hidden="true" localSheetId="5" name="_xlnm._FilterDatabase" vbProcedure="false">Boss!$A$1:$C$7</definedName>
    <definedName function="false" hidden="true" localSheetId="15" name="_xlnm._FilterDatabase" vbProcedure="false">'Chỉ số đo'!$A$1:$B$6</definedName>
    <definedName function="false" hidden="true" localSheetId="6" name="_xlnm._FilterDatabase" vbProcedure="false">'Chiến thuật'!$A$1:$X$17</definedName>
    <definedName function="false" hidden="true" localSheetId="4" name="_xlnm._FilterDatabase" vbProcedure="false">'Công trình'!$A$1:$E$14</definedName>
    <definedName function="false" hidden="true" localSheetId="14" name="_xlnm._FilterDatabase" vbProcedure="false">'Dấu vân hành vi'!$A$1:$B$9</definedName>
    <definedName function="false" hidden="true" localSheetId="12" name="_xlnm._FilterDatabase" vbProcedure="false">'Đội hình'!$A$1:$C$6</definedName>
    <definedName function="false" hidden="true" localSheetId="9" name="_xlnm._FilterDatabase" vbProcedure="false">'Emergency Reposition'!$A$1:$D$4</definedName>
    <definedName function="false" hidden="true" localSheetId="10" name="_xlnm._FilterDatabase" vbProcedure="false">'Hành động đội'!$A$1:$D$9</definedName>
    <definedName function="false" hidden="true" localSheetId="13" name="_xlnm._FilterDatabase" vbProcedure="false">'Kiểu hành vi boss'!$A$1:$C$13</definedName>
    <definedName function="false" hidden="true" localSheetId="17" name="_xlnm._FilterDatabase" vbProcedure="false">'Kỹ thuật AI'!$A$1:$C$9</definedName>
    <definedName function="false" hidden="true" localSheetId="19" name="_xlnm._FilterDatabase" vbProcedure="false">Nguồn!$A$1:$C$6</definedName>
    <definedName function="false" hidden="true" localSheetId="3" name="_xlnm._FilterDatabase" vbProcedure="false">'Phương tiện'!$A$1:$K$59</definedName>
    <definedName function="false" hidden="true" localSheetId="11" name="_xlnm._FilterDatabase" vbProcedure="false">'Sự kiện'!$A$1:$D$6</definedName>
    <definedName function="false" hidden="true" localSheetId="7" name="_xlnm._FilterDatabase" vbProcedure="false">'Tham số AI'!$A$1:$G$22</definedName>
    <definedName function="false" hidden="true" localSheetId="16" name="_xlnm._FilterDatabase" vbProcedure="false">'Tính năng chọn chiến thuật'!$A$1:$B$18</definedName>
    <definedName function="false" hidden="true" localSheetId="1" name="_xlnm._FilterDatabase" vbProcedure="false">'Tổng quan'!$A$1:$B$6</definedName>
    <definedName function="false" hidden="true" localSheetId="8" name="_xlnm._FilterDatabase" vbProcedure="false">'Trạng thái đội'!$A$1:$F$8</definedName>
    <definedName function="false" hidden="true" localSheetId="2" name="_xlnm._FilterDatabase" vbProcedure="false">'Vai trò'!$A$1:$K$29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<sst xmlns="http://schemas.openxmlformats.org/spreadsheetml/2006/main" count="1896" uniqueCount="1256">
  <si>
    <t xml:space="preserve">Sheet</t>
  </si>
  <si>
    <t xml:space="preserve">Nội dung</t>
  </si>
  <si>
    <t xml:space="preserve">Tổng quan</t>
  </si>
  <si>
    <t xml:space="preserve">Mục đích, ý tưởng chính, cách đọc</t>
  </si>
  <si>
    <t xml:space="preserve">Vai trò</t>
  </si>
  <si>
    <t xml:space="preserve">28 vai trò: học thuyết ngoài đời, game, hành vi AI đề xuất</t>
  </si>
  <si>
    <t xml:space="preserve">Phương tiện</t>
  </si>
  <si>
    <t xml:space="preserve">58 phương tiện: vai trò và hành vi riêng</t>
  </si>
  <si>
    <t xml:space="preserve">Công trình</t>
  </si>
  <si>
    <t xml:space="preserve">Chế độ chọn mục tiêu và hành vi của tháp</t>
  </si>
  <si>
    <t xml:space="preserve">Boss</t>
  </si>
  <si>
    <t xml:space="preserve">Hành vi AI theo nhóm boss</t>
  </si>
  <si>
    <t xml:space="preserve">Chiến thuật</t>
  </si>
  <si>
    <t xml:space="preserve">16 chiến thuật: hành vi cốt lõi, dấu vân, tỷ lệ lực lượng, ưu tiên mua</t>
  </si>
  <si>
    <t xml:space="preserve">Tham số AI</t>
  </si>
  <si>
    <t xml:space="preserve">Mọi tham số AI có khởi điểm, nhỏ nhất, lớn nhất, chỉ số đo</t>
  </si>
  <si>
    <t xml:space="preserve">Trạng thái đội</t>
  </si>
  <si>
    <t xml:space="preserve">7 trạng thái của đội: vào, ra, hành động, cam kết</t>
  </si>
  <si>
    <t xml:space="preserve">Emergency Reposition</t>
  </si>
  <si>
    <t xml:space="preserve">Hành động khẩn cấp (không rút theo máu)</t>
  </si>
  <si>
    <t xml:space="preserve">Hành động đội</t>
  </si>
  <si>
    <t xml:space="preserve">Hành động ứng viên, điều kiện hợp lệ, yếu tố chấm điểm</t>
  </si>
  <si>
    <t xml:space="preserve">Sự kiện</t>
  </si>
  <si>
    <t xml:space="preserve">5 loại sự kiện của bộ phân tích</t>
  </si>
  <si>
    <t xml:space="preserve">Đội hình</t>
  </si>
  <si>
    <t xml:space="preserve">5 chế độ đội hình theo ngữ cảnh</t>
  </si>
  <si>
    <t xml:space="preserve">Kiểu hành vi boss</t>
  </si>
  <si>
    <t xml:space="preserve">Kiểu hành vi cho 12 boss chủ lực</t>
  </si>
  <si>
    <t xml:space="preserve">Dấu vân hành vi</t>
  </si>
  <si>
    <t xml:space="preserve">Cách đo chiến thuật có khác nhau thật không</t>
  </si>
  <si>
    <t xml:space="preserve">Chỉ số đo</t>
  </si>
  <si>
    <t xml:space="preserve">Các nhóm chỉ số kiểm tra</t>
  </si>
  <si>
    <t xml:space="preserve">Tính năng chọn chiến thuật</t>
  </si>
  <si>
    <t xml:space="preserve">Cách người chơi chọn, đổi, mở khóa; tướng địch; cân bằng</t>
  </si>
  <si>
    <t xml:space="preserve">Cân bằng kinh tế</t>
  </si>
  <si>
    <t xml:space="preserve">Giới hạn số quân, thu nhập CP, ép giao chiến, mục tiêu đo; có bảng tính thu nhập theo số quân</t>
  </si>
  <si>
    <t xml:space="preserve">Kỹ thuật AI</t>
  </si>
  <si>
    <t xml:space="preserve">Các kỹ thuật AI dùng để làm</t>
  </si>
  <si>
    <t xml:space="preserve">Nguồn</t>
  </si>
  <si>
    <t xml:space="preserve">Nguồn tham khảo</t>
  </si>
  <si>
    <t xml:space="preserve">Mục</t>
  </si>
  <si>
    <t xml:space="preserve">Phiên bản</t>
  </si>
  <si>
    <t xml:space="preserve">v2: thêm khung chấm điểm ở cấp đội, trạng thái đội, Emergency Reposition (không rút theo máu), sự kiện chuẩn hóa, đội hình theo ngữ cảnh, kiểu hành vi boss, dấu vân hành vi, khoảng tham số; kinh tế khởi điểm 0,80.</t>
  </si>
  <si>
    <t xml:space="preserve">Mục đích</t>
  </si>
  <si>
    <t xml:space="preserve">Nghiên cứu trước khi viết prompt 28 (làm lại AI): hành vi theo vai trò và theo từng phương tiện, AI công trình, AI boss, và hệ chọn chiến thuật.</t>
  </si>
  <si>
    <t xml:space="preserve">Ý tưởng chính</t>
  </si>
  <si>
    <t xml:space="preserve">Một bộ phân tích chiến trường dùng chung quan sát cả hai phe (mỗi phe chỉ thấy trong tầm nhìn của mình), cung cấp gợi ý cho tướng AI của mỗi bên: tránh cụm bị kẹt, tránh đứng yên, dàn ra trước bắn lan, dồn hỏa lực, đánh sườn. Không có luật rút về sửa khi thấp máu: xe đánh tới khi bị hạ, để số quân hai bên không tích lũy quá nhiều. AI chia ba tầng: tướng AI (chiến lược), đội, đơn vị.</t>
  </si>
  <si>
    <t xml:space="preserve">Hệ chọn chiến thuật</t>
  </si>
  <si>
    <t xml:space="preserve">Người chơi chọn một chiến thuật trước trận (đổi được giữa trận, có hồi chiêu). Chiến thuật đổi tham số của AI (ngưỡng tấn công, chuyển tuyến, khoảng cách, đánh sườn, dồn hỏa lực…), không cộng chỉ số lớn. Tham khảo cách Hearts of Iron IV chọn chiến thuật theo giai đoạn trận và có bảng khắc chế, và cách Command: Modern Operations đặt học thuyết theo cấp và thế giữ lửa FREE / TIGHT / HOLD.</t>
  </si>
  <si>
    <t xml:space="preserve">Cách đọc</t>
  </si>
  <si>
    <t xml:space="preserve">Sheet Vai trò là mẫu hành vi chung; sheet Phương tiện gán mỗi xe vào một vai trò và ghi phần riêng. Sheet Chiến thuật và Tham số chiến thuật là đề xuất cho hệ chọn chiến thuật; sheet Tính năng mô tả cách người chơi dùng. Các ngưỡng là điểm khởi đầu để mô phỏng.</t>
  </si>
  <si>
    <t xml:space="preserve">Mã</t>
  </si>
  <si>
    <t xml:space="preserve">Học thuyết ngoài đời</t>
  </si>
  <si>
    <t xml:space="preserve">Tham khảo game</t>
  </si>
  <si>
    <t xml:space="preserve">Di chuyển</t>
  </si>
  <si>
    <t xml:space="preserve">Khoảng cách giao chiến</t>
  </si>
  <si>
    <t xml:space="preserve">Ưu tiên mục tiêu</t>
  </si>
  <si>
    <t xml:space="preserve">Phối hợp</t>
  </si>
  <si>
    <t xml:space="preserve">Rút lui</t>
  </si>
  <si>
    <t xml:space="preserve">Hành vi đặc biệt</t>
  </si>
  <si>
    <t xml:space="preserve">Cần tránh</t>
  </si>
  <si>
    <t xml:space="preserve">MBT</t>
  </si>
  <si>
    <t xml:space="preserve">Tăng chủ lực</t>
  </si>
  <si>
    <t xml:space="preserve">Đi đầu đội hình, đánh xe giáp ở 2–2,5 km; dùng thế "thân khuất" (hull-down) để chỉ lộ tháp; di chuyển theo kiểu yểm hộ luân phiên khi sắp chạm địch.</t>
  </si>
  <si>
    <t xml:space="preserve">Company of Heroes (quay mặt giáp, thân khuất), Steel Beasts, WARNO</t>
  </si>
  <si>
    <t xml:space="preserve">Đi trước đội; khi sắp chạm địch thì chia đôi đội, nửa dừng yểm hộ, nửa tiến (yểm hộ luân phiên)</t>
  </si>
  <si>
    <t xml:space="preserve">75–90% tầm tối đa</t>
  </si>
  <si>
    <t xml:space="preserve">Xe tăng và xe diệt tăng địch &gt; xe bộ binh &gt; xe nhẹ &gt; công trình</t>
  </si>
  <si>
    <t xml:space="preserve">Có xe bộ binh và phòng không đi kèm; dựa vào xe trinh sát để thấy trước</t>
  </si>
  <si>
    <t xml:space="preserve">Không rút theo máu. Khi bị áp đảo: dừng ở vật che gần nhất, quay mặt trước về địch và tiếp tục bắn</t>
  </si>
  <si>
    <t xml:space="preserve">Quay mặt trước về mối đe dọa lớn nhất; dừng ở chỗ có vật che khi đứng bắn</t>
  </si>
  <si>
    <t xml:space="preserve">Lao một mình vào vùng chống tăng dày; phơi hông cho xe diệt tăng</t>
  </si>
  <si>
    <t xml:space="preserve">Heavy</t>
  </si>
  <si>
    <t xml:space="preserve">Tăng hạng nặng / siêu tăng</t>
  </si>
  <si>
    <t xml:space="preserve">Mũi đột phá: hút hỏa lực và mở đường cho đội; chậm, nên đi giữa đội để không bị bỏ lại.</t>
  </si>
  <si>
    <t xml:space="preserve">Supreme Commander (đơn vị thực nghiệm), C&amp;C (Mammoth/Overlord)</t>
  </si>
  <si>
    <t xml:space="preserve">Đi đầu mũi đột phá, tốc độ đội theo xe này</t>
  </si>
  <si>
    <t xml:space="preserve">60–80% tầm tối đa</t>
  </si>
  <si>
    <t xml:space="preserve">Công trình và xe giáp dày trên đường đột phá &gt; xe tăng &gt; xe nhẹ</t>
  </si>
  <si>
    <t xml:space="preserve">Phòng không và công binh sửa đi sát; xe nhanh không vượt lên trước</t>
  </si>
  <si>
    <t xml:space="preserve">Không rút theo máu; đứng chắn để đồng đội đánh</t>
  </si>
  <si>
    <t xml:space="preserve">Đứng chắn trước đồng đội khi địch dồn hỏa lực</t>
  </si>
  <si>
    <t xml:space="preserve">Đi một mình (quá chậm để thoát); vào vùng không kích khi chưa có phòng không</t>
  </si>
  <si>
    <t xml:space="preserve">IFV</t>
  </si>
  <si>
    <t xml:space="preserve">Xe chiến đấu bộ binh</t>
  </si>
  <si>
    <t xml:space="preserve">Đi cùng xe tăng, diệt xe nhẹ và hạ tăng bằng tên lửa ở tầm xa; dừng lại để phóng tên lửa.</t>
  </si>
  <si>
    <t xml:space="preserve">WARNO, Wargame</t>
  </si>
  <si>
    <t xml:space="preserve">Theo sau xe tăng 15–25 m</t>
  </si>
  <si>
    <t xml:space="preserve">Pháo: 70–90% tầm; tên lửa: dừng ở 80–95% tầm tên lửa</t>
  </si>
  <si>
    <t xml:space="preserve">Xe nhẹ, xe hỗ trợ (pháo) &gt; xe tăng (bằng tên lửa) &gt; drone</t>
  </si>
  <si>
    <t xml:space="preserve">Bảo vệ hông xe tăng; chặn xe nhẹ đánh sườn</t>
  </si>
  <si>
    <t xml:space="preserve">Không rút theo máu; khi gặp xe tăng địch thì lùi ra sau xe tăng ta để bắn tên lửa (đổi vị trí, không rời trận)</t>
  </si>
  <si>
    <t xml:space="preserve">Phóng tên lửa chống tăng khi đứng yên, bắn pháo khi chạy</t>
  </si>
  <si>
    <t xml:space="preserve">Đi đầu đội trước xe tăng</t>
  </si>
  <si>
    <t xml:space="preserve">Light</t>
  </si>
  <si>
    <t xml:space="preserve">Xe nhẹ / bọc thép bánh lốp</t>
  </si>
  <si>
    <t xml:space="preserve">Trinh sát vũ trang và đánh nhanh: phát hiện, quấy rối, rồi chuyển sang mục tiêu khác ở sườn.</t>
  </si>
  <si>
    <t xml:space="preserve">Company of Heroes (xe trinh sát), WARNO</t>
  </si>
  <si>
    <t xml:space="preserve">Nhanh, đi sườn và mép tầm nhìn</t>
  </si>
  <si>
    <t xml:space="preserve">85–100% tầm (vừa chạy vừa bắn)</t>
  </si>
  <si>
    <t xml:space="preserve">Xe hỗ trợ, pháo binh, xe phóng tên lửa đứng lẻ &gt; xe nhẹ &gt; drone</t>
  </si>
  <si>
    <t xml:space="preserve">Làm mắt cho đội; săn xe hỗ trợ phía sau địch</t>
  </si>
  <si>
    <t xml:space="preserve">Không rút theo máu; khi gặp xe tăng thì chuyển sang mục tiêu khác ở sườn</t>
  </si>
  <si>
    <t xml:space="preserve">Vừa lùi vừa bắn khi bị xe chậm đuổi</t>
  </si>
  <si>
    <t xml:space="preserve">Đấu trực diện với xe tăng</t>
  </si>
  <si>
    <t xml:space="preserve">Recon</t>
  </si>
  <si>
    <t xml:space="preserve">Trinh sát</t>
  </si>
  <si>
    <t xml:space="preserve">Đi trước để thấy địch, không giao chiến; giữ khoảng cách ở mép tầm nhìn; ẩn khi đứng yên.</t>
  </si>
  <si>
    <t xml:space="preserve">Wargame/WARNO (đơn vị trinh sát), Company of Heroes</t>
  </si>
  <si>
    <t xml:space="preserve">Đi trước đội 1,2–1,5 lần tầm nhìn đội</t>
  </si>
  <si>
    <t xml:space="preserve">Không chủ động đánh; chỉ tự vệ</t>
  </si>
  <si>
    <t xml:space="preserve">Không có (chỉ soi)</t>
  </si>
  <si>
    <t xml:space="preserve">Soi mục tiêu cho pháo binh, tên lửa ngoài tầm nhìn, máy bay</t>
  </si>
  <si>
    <t xml:space="preserve">Không rút theo máu; khi bị phát hiện thì đổi chỗ quan sát (vẫn ở tiền tuyến)</t>
  </si>
  <si>
    <t xml:space="preserve">Đứng ở chỗ cao hoặc mép rừng; đổi chỗ sau khi bị bắn</t>
  </si>
  <si>
    <t xml:space="preserve">Lao vào giao tranh</t>
  </si>
  <si>
    <t xml:space="preserve">TD</t>
  </si>
  <si>
    <t xml:space="preserve">Xe diệt tăng</t>
  </si>
  <si>
    <t xml:space="preserve">Phục kích xe tăng từ xa và từ sườn; bắn rồi đổi vị trí.</t>
  </si>
  <si>
    <t xml:space="preserve">Company of Heroes (pháo chống tăng, xe diệt tăng), WARNO</t>
  </si>
  <si>
    <t xml:space="preserve">Đi sau và lệch sườn đội; chọn chỗ có tầm nhìn xa</t>
  </si>
  <si>
    <t xml:space="preserve">90–100% tầm tối đa</t>
  </si>
  <si>
    <t xml:space="preserve">Xe tăng hạng nặng &gt; xe tăng &gt; xe bộ binh; bỏ qua xe nhẹ nếu có xe giáp</t>
  </si>
  <si>
    <t xml:space="preserve">Đi cùng trinh sát; được xe bộ binh che khỏi xe nhẹ</t>
  </si>
  <si>
    <t xml:space="preserve">Không rút theo máu; khi bị áp sát thì đổi vị trí bắn ngắn (vài chục mét)</t>
  </si>
  <si>
    <t xml:space="preserve">Ưu tiên bắn vào hông và sau</t>
  </si>
  <si>
    <t xml:space="preserve">Đứng đầu đội; đấu với xe nhẹ nhanh</t>
  </si>
  <si>
    <t xml:space="preserve">Rail</t>
  </si>
  <si>
    <t xml:space="preserve">Xe pháo điện từ / la-de diệt tăng</t>
  </si>
  <si>
    <t xml:space="preserve">Vũ khí năng lượng tầm xa, cần đồng đội soi mục tiêu.</t>
  </si>
  <si>
    <t xml:space="preserve">(giả tưởng) C&amp;C Generals (laser), Supreme Commander</t>
  </si>
  <si>
    <t xml:space="preserve">Đi sau đội, chọn đường bắn thẳng dài</t>
  </si>
  <si>
    <t xml:space="preserve">90–100% tầm (phát xuyên nhiều mục tiêu)</t>
  </si>
  <si>
    <t xml:space="preserve">Hàng xe xếp thẳng (pháo điện từ), xe giáp dày (la-de)</t>
  </si>
  <si>
    <t xml:space="preserve">Cần trinh sát hoặc UAV soi</t>
  </si>
  <si>
    <t xml:space="preserve">Không rút theo máu; khi bị áp sát thì đổi vị trí bắn ngắn</t>
  </si>
  <si>
    <t xml:space="preserve">Chọn góc bắn xuyên được nhiều xe nhất (pháo điện từ); giữ một mục tiêu (la-de tăng dần)</t>
  </si>
  <si>
    <t xml:space="preserve">Đứng trong khói (la-de bị khói giảm 80%)</t>
  </si>
  <si>
    <t xml:space="preserve">Arty</t>
  </si>
  <si>
    <t xml:space="preserve">Lựu pháo / cối / pháo công thành</t>
  </si>
  <si>
    <t xml:space="preserve">Bắn gián tiếp từ xa theo soi của trinh sát; bắn rồi dời vị trí để tránh phản pháo.</t>
  </si>
  <si>
    <t xml:space="preserve">WARNO (shoot-and-scoot), Company of Heroes</t>
  </si>
  <si>
    <t xml:space="preserve">Đứng xa phía sau, cách tiền tuyến ~60–80% tầm</t>
  </si>
  <si>
    <t xml:space="preserve">Theo soi của đồng đội; ưu tiên mục tiêu đứng yên và cụm</t>
  </si>
  <si>
    <t xml:space="preserve">Cụm xe, công trình, pháo binh địch vừa lộ, xe đứng yên</t>
  </si>
  <si>
    <t xml:space="preserve">Đồng bộ với đợt tấn công (dọn đường trước khi xe tăng tiến)</t>
  </si>
  <si>
    <t xml:space="preserve">Không rút theo máu; dời vị trí theo nhịp bắn rồi chạy, không về căn cứ</t>
  </si>
  <si>
    <t xml:space="preserve">Bắn 3 loạt rồi dời; tránh vị trí đã bị đánh dấu</t>
  </si>
  <si>
    <t xml:space="preserve">Đứng trong tầm bắn thẳng của địch</t>
  </si>
  <si>
    <t xml:space="preserve">MLRS</t>
  </si>
  <si>
    <t xml:space="preserve">Pháo phản lực</t>
  </si>
  <si>
    <t xml:space="preserve">Một loạt lớn phủ vùng rồi chạy đi nạp (HIMARS: bắn rồi chạy).</t>
  </si>
  <si>
    <t xml:space="preserve">Đứng xa; sau mỗi loạt dời vị trí</t>
  </si>
  <si>
    <t xml:space="preserve">Theo soi; ưu tiên cụm lớn</t>
  </si>
  <si>
    <t xml:space="preserve">Cụm xe, cụm công trình, đội đang tập kết</t>
  </si>
  <si>
    <t xml:space="preserve">Chờ đội địch dồn cụm hoặc chờ lệnh của tướng AI để mở màn đợt tấn công</t>
  </si>
  <si>
    <t xml:space="preserve">Không rút theo máu; dời vị trí sau mỗi loạt</t>
  </si>
  <si>
    <t xml:space="preserve">Không bắn lẻ vào một xe; giữ loạt cho mục tiêu đông</t>
  </si>
  <si>
    <t xml:space="preserve">Phí cả loạt vào một xe nhẹ</t>
  </si>
  <si>
    <t xml:space="preserve">Strike</t>
  </si>
  <si>
    <t xml:space="preserve">Tên lửa chiến thuật / drone cảm tử tầm xa</t>
  </si>
  <si>
    <t xml:space="preserve">Đánh mục tiêu giá trị cao, đứng yên, ở rất xa.</t>
  </si>
  <si>
    <t xml:space="preserve">C&amp;C (siêu vũ khí nhỏ), WARNO</t>
  </si>
  <si>
    <t xml:space="preserve">Đứng rất xa</t>
  </si>
  <si>
    <t xml:space="preserve">Theo soi, tầm cực xa</t>
  </si>
  <si>
    <t xml:space="preserve">Công trình lớn, pháo binh, xe chỉ huy, cụm đứng yên</t>
  </si>
  <si>
    <t xml:space="preserve">Theo lệnh tướng AI (đòn mở màn, phá phòng không trước)</t>
  </si>
  <si>
    <t xml:space="preserve">Không rút theo máu; dời vị trí sau khi phóng</t>
  </si>
  <si>
    <t xml:space="preserve">Không phóng vào mục tiêu đang di chuyển nhanh</t>
  </si>
  <si>
    <t xml:space="preserve">Phóng vào vùng có PAC-3, Vòm Sắt dày khi có mục tiêu khác</t>
  </si>
  <si>
    <t xml:space="preserve">SPAAG</t>
  </si>
  <si>
    <t xml:space="preserve">Pháo phòng không</t>
  </si>
  <si>
    <t xml:space="preserve">Che ô phòng không tầm gần cho đội; bắn được cả xe nhẹ.</t>
  </si>
  <si>
    <t xml:space="preserve">Đi giữa đội</t>
  </si>
  <si>
    <t xml:space="preserve">70–90% tầm</t>
  </si>
  <si>
    <t xml:space="preserve">Trực thăng &gt; drone &gt; cường kích &gt; xe nhẹ</t>
  </si>
  <si>
    <t xml:space="preserve">Giữ trong đội để che ô cho xe tăng và pháo</t>
  </si>
  <si>
    <t xml:space="preserve">Không rút theo máu; ở lại trong đội</t>
  </si>
  <si>
    <t xml:space="preserve">Ưu tiên máy bay đang tấn công đồng đội</t>
  </si>
  <si>
    <t xml:space="preserve">Đi đầu đội (giáp mỏng)</t>
  </si>
  <si>
    <t xml:space="preserve">SAM</t>
  </si>
  <si>
    <t xml:space="preserve">Tên lửa phòng không</t>
  </si>
  <si>
    <t xml:space="preserve">Che ô phòng không tầm trung–xa; dừng mới bắn; bị áp sát thì yếu.</t>
  </si>
  <si>
    <t xml:space="preserve">WARNO, Wargame, Command: Modern Operations</t>
  </si>
  <si>
    <t xml:space="preserve">Đứng sau đội, ở chỗ nhìn được bầu trời rộng</t>
  </si>
  <si>
    <t xml:space="preserve">80–100% tầm</t>
  </si>
  <si>
    <t xml:space="preserve">Máy bay nguy hiểm nhất cho đội (oanh tạc cơ, cường kích, pháo hạm) &gt; trực thăng &gt; drone</t>
  </si>
  <si>
    <t xml:space="preserve">Cần phòng không tầm gần và xe bộ binh che khỏi xe nhẹ</t>
  </si>
  <si>
    <t xml:space="preserve">Không rút theo máu; khi bị xe nhẹ áp sát thì lùi vào giữa đội</t>
  </si>
  <si>
    <t xml:space="preserve">Không phí tên lửa lớn vào drone nhỏ khi có máy bay (giống WRA của Command: Modern Operations)</t>
  </si>
  <si>
    <t xml:space="preserve">Laser</t>
  </si>
  <si>
    <t xml:space="preserve">La-de phòng không</t>
  </si>
  <si>
    <t xml:space="preserve">Đánh chặn drone, rốc-két, cối; chi phí mỗi phát rất thấp.</t>
  </si>
  <si>
    <t xml:space="preserve">(thật) Iron Beam</t>
  </si>
  <si>
    <t xml:space="preserve">Đi giữa đội hoặc gần pháo binh ta</t>
  </si>
  <si>
    <t xml:space="preserve">Trong vùng bảo vệ 30 m</t>
  </si>
  <si>
    <t xml:space="preserve">Drone, rốc-két, đạn cối đang bay vào &gt; máy bay</t>
  </si>
  <si>
    <t xml:space="preserve">Đứng gần thứ cần bảo vệ (pháo binh, căn cứ)</t>
  </si>
  <si>
    <t xml:space="preserve">Không rút theo máu; ra khỏi khói nếu đang ở trong khói</t>
  </si>
  <si>
    <t xml:space="preserve">Tắt khi trong khói (bị giảm 80%), đổi chỗ ra khỏi khói</t>
  </si>
  <si>
    <t xml:space="preserve">Đứng trong khói</t>
  </si>
  <si>
    <t xml:space="preserve">AttackHeli</t>
  </si>
  <si>
    <t xml:space="preserve">Trực thăng tấn công</t>
  </si>
  <si>
    <t xml:space="preserve">Đánh từ ngoài tầm phòng không gần, núp sau địa hình, bắn tên lửa rồi đổi vị trí.</t>
  </si>
  <si>
    <t xml:space="preserve">WARNO, Company of Heroes, Battlefield</t>
  </si>
  <si>
    <t xml:space="preserve">Bay thấp, tiếp cận theo hướng ít phòng không</t>
  </si>
  <si>
    <t xml:space="preserve">85–100% tầm tên lửa</t>
  </si>
  <si>
    <t xml:space="preserve">Xe tăng (bằng tên lửa), xe phóng tên lửa phòng không đứng lẻ, xe nhẹ (bằng pháo)</t>
  </si>
  <si>
    <t xml:space="preserve">Đi theo sau mũi tấn công mặt đất; tránh vùng có phòng không dày</t>
  </si>
  <si>
    <t xml:space="preserve">Không rút theo máu; hết tên lửa thì về nạp theo hệ đạn</t>
  </si>
  <si>
    <t xml:space="preserve">Dùng pháo sáng khi bị khóa; bay vòng ra khỏi vùng phòng không</t>
  </si>
  <si>
    <t xml:space="preserve">Bay lơ lửng trong tầm phòng không gần</t>
  </si>
  <si>
    <t xml:space="preserve">ScoutHeli</t>
  </si>
  <si>
    <t xml:space="preserve">Trực thăng trinh sát vũ trang</t>
  </si>
  <si>
    <t xml:space="preserve">Soi mục tiêu và quấy rối xe nhẹ; rất mỏng.</t>
  </si>
  <si>
    <t xml:space="preserve">WARNO (OH-58)</t>
  </si>
  <si>
    <t xml:space="preserve">Bay mép tiền tuyến</t>
  </si>
  <si>
    <t xml:space="preserve">90–100% tầm</t>
  </si>
  <si>
    <t xml:space="preserve">Xe nhẹ, xe hỗ trợ, drone</t>
  </si>
  <si>
    <t xml:space="preserve">Soi cho trực thăng tấn công và pháo binh</t>
  </si>
  <si>
    <t xml:space="preserve">Không rút theo máu; hết đạn thì về nạp</t>
  </si>
  <si>
    <t xml:space="preserve">Đổi hướng tiếp cận sau mỗi lượt</t>
  </si>
  <si>
    <t xml:space="preserve">Bay vào giữa đội địch</t>
  </si>
  <si>
    <t xml:space="preserve">GunshipHeli</t>
  </si>
  <si>
    <t xml:space="preserve">Trực thăng vũ trang bọc giáp</t>
  </si>
  <si>
    <t xml:space="preserve">Bay như "xe tăng bay": chịu được súng máy, yểm trợ gần cho đội mặt đất.</t>
  </si>
  <si>
    <t xml:space="preserve">Battlefield, Company of Heroes</t>
  </si>
  <si>
    <t xml:space="preserve">Bay sát đội mặt đất ta</t>
  </si>
  <si>
    <t xml:space="preserve">Cụm xe nhẹ, xe bộ binh, trận địa phòng không gần</t>
  </si>
  <si>
    <t xml:space="preserve">Yểm trợ gần mũi tấn công</t>
  </si>
  <si>
    <t xml:space="preserve">Dùng rốc-két vào cụm, tên lửa vào xe giáp</t>
  </si>
  <si>
    <t xml:space="preserve">Đối đầu tên lửa phòng không tầm trung</t>
  </si>
  <si>
    <t xml:space="preserve">Fighter</t>
  </si>
  <si>
    <t xml:space="preserve">Tiêm kích</t>
  </si>
  <si>
    <t xml:space="preserve">Giành ưu thế trên không; hạ máy bay địch trước khi chúng đánh đội.</t>
  </si>
  <si>
    <t xml:space="preserve">Ace Combat, WARNO, Command: Modern Operations</t>
  </si>
  <si>
    <t xml:space="preserve">Tuần tra trên đội; đánh chặn máy bay địch đang bay vào</t>
  </si>
  <si>
    <t xml:space="preserve">Tên lửa tầm trung ở 80–100% tầm</t>
  </si>
  <si>
    <t xml:space="preserve">Máy bay đang tấn công đội ta &gt; máy bay lớn &gt; tiêm kích &gt; drone</t>
  </si>
  <si>
    <t xml:space="preserve">Mở đường cho cường kích và oanh tạc cơ</t>
  </si>
  <si>
    <t xml:space="preserve">Không rút theo máu; hết tên lửa thì về nạp</t>
  </si>
  <si>
    <t xml:space="preserve">Tránh vùng phòng không mặt đất dày; không đuổi theo vào sâu</t>
  </si>
  <si>
    <t xml:space="preserve">Bay vào vùng tên lửa phòng không tầm xa của địch</t>
  </si>
  <si>
    <t xml:space="preserve">Stealth</t>
  </si>
  <si>
    <t xml:space="preserve">Tiêm kích tàng hình</t>
  </si>
  <si>
    <t xml:space="preserve">Bắn trước khi bị thấy; chọn mục tiêu giá trị cao.</t>
  </si>
  <si>
    <t xml:space="preserve">Ace Combat, Command: Modern Operations</t>
  </si>
  <si>
    <t xml:space="preserve">Tiếp cận từ hướng không có radar</t>
  </si>
  <si>
    <t xml:space="preserve">Máy bay hỗ trợ, máy bay lớn &gt; tiêm kích &gt; radar, phòng không</t>
  </si>
  <si>
    <t xml:space="preserve">Mở màn trước đợt không kích</t>
  </si>
  <si>
    <t xml:space="preserve">Không rút theo máu; sau khi bị lộ thì đổi hướng bay để ẩn lại</t>
  </si>
  <si>
    <t xml:space="preserve">Bắn rồi rời đi để hết bị lộ</t>
  </si>
  <si>
    <t xml:space="preserve">Ở lâu trong vùng radar</t>
  </si>
  <si>
    <t xml:space="preserve">CAS</t>
  </si>
  <si>
    <t xml:space="preserve">Cường kích</t>
  </si>
  <si>
    <t xml:space="preserve">Yểm trợ gần: đánh cụm xe và công trình ở tuyến đầu.</t>
  </si>
  <si>
    <t xml:space="preserve">WARNO, Company of Heroes (đòn không kích)</t>
  </si>
  <si>
    <t xml:space="preserve">Bay theo đường ít phòng không; một lượt tấn công rồi vòng lại</t>
  </si>
  <si>
    <t xml:space="preserve">Theo kiểu bổ nhào: bắn ở 60–100% tầm</t>
  </si>
  <si>
    <t xml:space="preserve">Cụm xe, phòng không gần đã bị chế áp, công trình tuyến đầu</t>
  </si>
  <si>
    <t xml:space="preserve">Chờ chế áp phòng không hoặc tiêm kích dọn trời</t>
  </si>
  <si>
    <t xml:space="preserve">Đổi hướng tiếp cận mỗi lượt; dùng pháo sáng</t>
  </si>
  <si>
    <t xml:space="preserve">Bay vòng nhiều lần trong vùng phòng không dày</t>
  </si>
  <si>
    <t xml:space="preserve">Bomber</t>
  </si>
  <si>
    <t xml:space="preserve">Oanh tạc cơ</t>
  </si>
  <si>
    <t xml:space="preserve">Một lượt lớn vào mục tiêu đã chọn từ trước rồi rời đi.</t>
  </si>
  <si>
    <t xml:space="preserve">Ace Combat, Hearts of Iron (ném bom chiến lược)</t>
  </si>
  <si>
    <t xml:space="preserve">Bay thẳng một lượt qua mục tiêu</t>
  </si>
  <si>
    <t xml:space="preserve">Thả theo dải trên mục tiêu</t>
  </si>
  <si>
    <t xml:space="preserve">Cụm công trình, đội đang tập kết, căn cứ</t>
  </si>
  <si>
    <t xml:space="preserve">Đi sau khi tiêm kích hoặc chế áp phòng không mở đường</t>
  </si>
  <si>
    <t xml:space="preserve">Không rút theo máu; sau lượt bom thì rời đi theo đường bay đã định</t>
  </si>
  <si>
    <t xml:space="preserve">Chọn đường bay tránh phòng không tầm xa</t>
  </si>
  <si>
    <t xml:space="preserve">Bay vòng lại vùng phòng không</t>
  </si>
  <si>
    <t xml:space="preserve">Gunship</t>
  </si>
  <si>
    <t xml:space="preserve">Pháo hạm bay</t>
  </si>
  <si>
    <t xml:space="preserve">Bay vòng chậm trên vùng ít phòng không, bắn liên tục.</t>
  </si>
  <si>
    <t xml:space="preserve">Call of Duty (AC-130), Battlefield</t>
  </si>
  <si>
    <t xml:space="preserve">Bay vòng tròn trên mục tiêu</t>
  </si>
  <si>
    <t xml:space="preserve">Theo vòng bay</t>
  </si>
  <si>
    <t xml:space="preserve">Cụm xe nhẹ, xe bộ binh, công trình nhỏ</t>
  </si>
  <si>
    <t xml:space="preserve">Chỉ vào khi phòng không địch đã bị chế áp</t>
  </si>
  <si>
    <t xml:space="preserve">Không rút theo máu; phát hiện tên lửa phòng không thì dời tâm vòng bay</t>
  </si>
  <si>
    <t xml:space="preserve">Dời tâm vòng bay ra khỏi vùng phòng không</t>
  </si>
  <si>
    <t xml:space="preserve">Bay vòng trên vùng có tên lửa phòng không</t>
  </si>
  <si>
    <t xml:space="preserve">UAV</t>
  </si>
  <si>
    <t xml:space="preserve">Trinh sát lâu trên trời, hoặc đánh từ xa bằng tên lửa nhỏ.</t>
  </si>
  <si>
    <t xml:space="preserve">WARNO, chiến sự hiện đại</t>
  </si>
  <si>
    <t xml:space="preserve">Bay vòng chậm trên vùng cần soi</t>
  </si>
  <si>
    <t xml:space="preserve">Xe đứng lẻ, xe hỗ trợ, pháo binh</t>
  </si>
  <si>
    <t xml:space="preserve">Soi cho pháo binh và tên lửa</t>
  </si>
  <si>
    <t xml:space="preserve">Không rút theo máu; bị khóa thì đổi vùng bay</t>
  </si>
  <si>
    <t xml:space="preserve">Bay cao ở mép tầm phòng không gần</t>
  </si>
  <si>
    <t xml:space="preserve">Bay thấp trên vùng có cao xạ</t>
  </si>
  <si>
    <t xml:space="preserve">Drone</t>
  </si>
  <si>
    <t xml:space="preserve">Xe phóng drone / đạn lảng vảng</t>
  </si>
  <si>
    <t xml:space="preserve">Đứng xa, phóng drone đánh nóc xe giáp và pháo binh.</t>
  </si>
  <si>
    <t xml:space="preserve">Chiến sự Ukraine, Mechabellum</t>
  </si>
  <si>
    <t xml:space="preserve">Đứng sau đội, khuất tầm nhìn</t>
  </si>
  <si>
    <t xml:space="preserve">Theo tầm drone</t>
  </si>
  <si>
    <t xml:space="preserve">FPV: xe tăng; Lancet: pháo binh, xe phòng không, xe đứng yên</t>
  </si>
  <si>
    <t xml:space="preserve">Cần trinh sát soi</t>
  </si>
  <si>
    <t xml:space="preserve">Không rút theo máu</t>
  </si>
  <si>
    <t xml:space="preserve">Không phóng vào vùng EW và C-RAM dày khi có mục tiêu khác</t>
  </si>
  <si>
    <t xml:space="preserve">Đứng gần tiền tuyến</t>
  </si>
  <si>
    <t xml:space="preserve">Support</t>
  </si>
  <si>
    <t xml:space="preserve">Xe hỗ trợ</t>
  </si>
  <si>
    <t xml:space="preserve">Đứng sau đội, trong tầm tác dụng của mình.</t>
  </si>
  <si>
    <t xml:space="preserve">Company of Heroes, Supreme Commander</t>
  </si>
  <si>
    <t xml:space="preserve">Theo sau đội 10–20 m</t>
  </si>
  <si>
    <t xml:space="preserve">Không giao chiến</t>
  </si>
  <si>
    <t xml:space="preserve">Không có (tự vệ)</t>
  </si>
  <si>
    <t xml:space="preserve">Ưu tiên giúp đơn vị giá trị cao nhất đang cần (sửa xe tăng nặng, tiếp đạn pháo binh)</t>
  </si>
  <si>
    <t xml:space="preserve">Không rút theo máu; đi theo đội</t>
  </si>
  <si>
    <t xml:space="preserve">Dời theo đội; không đứng vào vùng bắn lan</t>
  </si>
  <si>
    <t xml:space="preserve">Đi đầu đội</t>
  </si>
  <si>
    <t xml:space="preserve">Siege</t>
  </si>
  <si>
    <t xml:space="preserve">Xe công thành</t>
  </si>
  <si>
    <t xml:space="preserve">Phá công trình từ ngoài tầm tháp.</t>
  </si>
  <si>
    <t xml:space="preserve">Company of Heroes (pháo công thành), C&amp;C</t>
  </si>
  <si>
    <t xml:space="preserve">Theo sau xe tăng, dừng ngoài tầm tháp</t>
  </si>
  <si>
    <t xml:space="preserve">Ngoài tầm của tháp mục tiêu</t>
  </si>
  <si>
    <t xml:space="preserve">Tháp và công trình &gt; cụm xe</t>
  </si>
  <si>
    <t xml:space="preserve">Cần xe tăng che phía trước</t>
  </si>
  <si>
    <t xml:space="preserve">Không rút theo máu; giữ ngoài tầm tháp</t>
  </si>
  <si>
    <t xml:space="preserve">Chọn tháp nguy hiểm nhất mà nó bắn được từ ngoài tầm</t>
  </si>
  <si>
    <t xml:space="preserve">Vào tầm tháp</t>
  </si>
  <si>
    <t xml:space="preserve">Bunker</t>
  </si>
  <si>
    <t xml:space="preserve">Xe công sự / xe ủi</t>
  </si>
  <si>
    <t xml:space="preserve">Triển khai ở điểm giữ, chịu đòn; xe ủi phá chướng ngại mở đường.</t>
  </si>
  <si>
    <t xml:space="preserve">Company of Heroes (công binh), C&amp;C</t>
  </si>
  <si>
    <t xml:space="preserve">Xe công sự: tới điểm giữ rồi triển khai; xe ủi: đi đầu khi có chướng ngại</t>
  </si>
  <si>
    <t xml:space="preserve">Xe công sự: tầm đầy đủ khi triển khai</t>
  </si>
  <si>
    <t xml:space="preserve">Xe ủi: chướng ngại, mìn, tường; xe công sự: theo vũ khí</t>
  </si>
  <si>
    <t xml:space="preserve">Xe công sự là điểm tựa cho đội phòng thủ</t>
  </si>
  <si>
    <t xml:space="preserve">Không rút; đã triển khai thì đánh tới cùng</t>
  </si>
  <si>
    <t xml:space="preserve">Triển khai ở chỗ có vật che, quay mặt về hướng địch</t>
  </si>
  <si>
    <t xml:space="preserve">Triển khai ngoài vùng tranh chấp</t>
  </si>
  <si>
    <t xml:space="preserve">Flame</t>
  </si>
  <si>
    <t xml:space="preserve">Tăng phun lửa</t>
  </si>
  <si>
    <t xml:space="preserve">Dọn công sự và xe nhẹ ở tầm rất gần, đi sau khói hoặc xe tăng.</t>
  </si>
  <si>
    <t xml:space="preserve">Company of Heroes (xe phun lửa)</t>
  </si>
  <si>
    <t xml:space="preserve">Áp sát dưới khói hoặc sau xe tăng</t>
  </si>
  <si>
    <t xml:space="preserve">Tầm phun (rất gần)</t>
  </si>
  <si>
    <t xml:space="preserve">Công sự, lô cốt, xe nhẹ, cụm xe</t>
  </si>
  <si>
    <t xml:space="preserve">Đi sau xe tăng, dùng khói của xe khói</t>
  </si>
  <si>
    <t xml:space="preserve">Chờ khói hoặc lúc địch đang nạp đạn mới lao vào</t>
  </si>
  <si>
    <t xml:space="preserve">Lao qua bãi trống trước xe tăng</t>
  </si>
  <si>
    <t xml:space="preserve">VBIED</t>
  </si>
  <si>
    <t xml:space="preserve">Xe bom</t>
  </si>
  <si>
    <t xml:space="preserve">Lao thẳng vào cụm hoặc công trình, chọn lúc địch phân tán hỏa lực.</t>
  </si>
  <si>
    <t xml:space="preserve">Chiến sự Mosul</t>
  </si>
  <si>
    <t xml:space="preserve">Đi sau mũi tấn công rồi bứt lên</t>
  </si>
  <si>
    <t xml:space="preserve">Va chạm</t>
  </si>
  <si>
    <t xml:space="preserve">Cụm xe dày, tháp, cổng</t>
  </si>
  <si>
    <t xml:space="preserve">Lao vào khi xe tăng ta đang hút hỏa lực</t>
  </si>
  <si>
    <t xml:space="preserve">Không rút</t>
  </si>
  <si>
    <t xml:space="preserve">Đổi đường tránh phòng tuyến chống tăng</t>
  </si>
  <si>
    <t xml:space="preserve">Lao một mình qua bãi trống</t>
  </si>
  <si>
    <t xml:space="preserve">id</t>
  </si>
  <si>
    <t xml:space="preserve">Tên</t>
  </si>
  <si>
    <t xml:space="preserve">Hành vi đặc biệt (vai trò)</t>
  </si>
  <si>
    <t xml:space="preserve">Hành vi riêng của xe</t>
  </si>
  <si>
    <t xml:space="preserve">hover_gunboat</t>
  </si>
  <si>
    <t xml:space="preserve">Xuồng đệm khí hộ tống</t>
  </si>
  <si>
    <t xml:space="preserve">Hộ tống boss; chạy vòng trên nước, giữ khoảng cách.</t>
  </si>
  <si>
    <t xml:space="preserve">armored_car</t>
  </si>
  <si>
    <t xml:space="preserve">Xe bọc thép bánh lốp</t>
  </si>
  <si>
    <t xml:space="preserve">Xe bánh lốp nhanh nhất nhóm bọc thép: đi sườn, săn xe hỗ trợ.</t>
  </si>
  <si>
    <t xml:space="preserve">ifv</t>
  </si>
  <si>
    <t xml:space="preserve">—</t>
  </si>
  <si>
    <t xml:space="preserve">supply_truck</t>
  </si>
  <si>
    <t xml:space="preserve">Xe tải tiếp tế</t>
  </si>
  <si>
    <t xml:space="preserve">Xe nhiệm vụ: đi đường an toàn nhất trên bảng thông tin, không đường ngắn nhất.</t>
  </si>
  <si>
    <t xml:space="preserve">engineer_vehicle</t>
  </si>
  <si>
    <t xml:space="preserve">Xe công binh</t>
  </si>
  <si>
    <t xml:space="preserve">Ưu tiên sửa xe giá trị cao; gỡ mìn và phá chướng ngại trên đường đội đi.</t>
  </si>
  <si>
    <t xml:space="preserve">smoke_carrier</t>
  </si>
  <si>
    <t xml:space="preserve">Xe thả khói</t>
  </si>
  <si>
    <t xml:space="preserve">Thả khói giữa đội và hướng địch khi đội tiến qua bãi trống hoặc khi pháo địch bắn.</t>
  </si>
  <si>
    <t xml:space="preserve">ammo_carrier</t>
  </si>
  <si>
    <t xml:space="preserve">Xe tiếp đạn</t>
  </si>
  <si>
    <t xml:space="preserve">Tiếp đạn cho pháo binh và xe hết đạn trước; đứng ngoài vùng bắn lan.</t>
  </si>
  <si>
    <t xml:space="preserve">counter_battery_radar</t>
  </si>
  <si>
    <t xml:space="preserve">Xe radar phản pháo</t>
  </si>
  <si>
    <t xml:space="preserve">Đứng sau pháo binh ta; báo vị trí pháo địch cho tướng AI.</t>
  </si>
  <si>
    <t xml:space="preserve">ew_jammer</t>
  </si>
  <si>
    <t xml:space="preserve">Xe gây nhiễu điện tử</t>
  </si>
  <si>
    <t xml:space="preserve">Đứng giữa đội khi địch có nhiều drone hoặc tên lửa dẫn đường.</t>
  </si>
  <si>
    <t xml:space="preserve">mine_layer</t>
  </si>
  <si>
    <t xml:space="preserve">Xe rải mìn</t>
  </si>
  <si>
    <t xml:space="preserve">Rải mìn ở lối địch sẽ đi theo bảng thông tin (lối hẹp, hướng tấn công dự đoán).</t>
  </si>
  <si>
    <t xml:space="preserve">command_vehicle</t>
  </si>
  <si>
    <t xml:space="preserve">Xe chỉ huy</t>
  </si>
  <si>
    <t xml:space="preserve">Đứng sau đội, làm bãi thả tiền phương ở nơi an toàn gần tiền tuyến.</t>
  </si>
  <si>
    <t xml:space="preserve">shield_carrier</t>
  </si>
  <si>
    <t xml:space="preserve">Xe phát khiên</t>
  </si>
  <si>
    <t xml:space="preserve">Đứng ở nơi đội bị bắn nhiều nhất; theo đội tăng.</t>
  </si>
  <si>
    <t xml:space="preserve">scout_jeep</t>
  </si>
  <si>
    <t xml:space="preserve">Xe trinh sát hạng nhẹ</t>
  </si>
  <si>
    <t xml:space="preserve">Đi trước, ẩn khi đứng yên ở mép tầm nhìn.</t>
  </si>
  <si>
    <t xml:space="preserve">vbied</t>
  </si>
  <si>
    <t xml:space="preserve">Xe bom bọc thép</t>
  </si>
  <si>
    <t xml:space="preserve">light_tank</t>
  </si>
  <si>
    <t xml:space="preserve">Tăng nhẹ lội nước</t>
  </si>
  <si>
    <t xml:space="preserve">Trinh sát vũ trang, lội nước qua sông; dùng tên lửa qua nòng với xe giáp.</t>
  </si>
  <si>
    <t xml:space="preserve">flame_tank</t>
  </si>
  <si>
    <t xml:space="preserve">turtle_tank</t>
  </si>
  <si>
    <t xml:space="preserve">Tăng mái che</t>
  </si>
  <si>
    <t xml:space="preserve">Đi đầu đoàn khi địch có nhiều drone (mái che); hút drone cho đội.</t>
  </si>
  <si>
    <t xml:space="preserve">bmpt</t>
  </si>
  <si>
    <t xml:space="preserve">Xe hỗ trợ tăng</t>
  </si>
  <si>
    <t xml:space="preserve">Đi kèm xe tăng trong đô thị và chỗ nhiều xe nhẹ; dọn xe nhẹ và drone quanh xe tăng.</t>
  </si>
  <si>
    <t xml:space="preserve">rocket_technical</t>
  </si>
  <si>
    <t xml:space="preserve">Bán tải rốc-két</t>
  </si>
  <si>
    <t xml:space="preserve">Rẻ, mỏng: bắn một loạt rồi chạy; dùng để quấy rối.</t>
  </si>
  <si>
    <t xml:space="preserve">mortar_carrier</t>
  </si>
  <si>
    <t xml:space="preserve">Xe cối tự hành</t>
  </si>
  <si>
    <t xml:space="preserve">Tầm ngắn: đứng gần hơn lựu pháo; bắn qua tường vào sau vật che.</t>
  </si>
  <si>
    <t xml:space="preserve">artillery</t>
  </si>
  <si>
    <t xml:space="preserve">Lựu pháo tự hành</t>
  </si>
  <si>
    <t xml:space="preserve">mlrs</t>
  </si>
  <si>
    <t xml:space="preserve">Pháo phản lực dẫn đường</t>
  </si>
  <si>
    <t xml:space="preserve">shahed_truck</t>
  </si>
  <si>
    <t xml:space="preserve">Xe phóng drone cảm tử tầm xa</t>
  </si>
  <si>
    <t xml:space="preserve">Nhắm công trình và pháo binh ở rất xa; phóng nhiều chiếc cùng lúc để quá tải phòng không.</t>
  </si>
  <si>
    <t xml:space="preserve">thermobaric_launcher</t>
  </si>
  <si>
    <t xml:space="preserve">Pháo phản lực nhiệt áp</t>
  </si>
  <si>
    <t xml:space="preserve">Tầm ngắn hơn pháo phản lực: chỉ tiến lên khi có xe tăng che; nhắm công sự và cụm.</t>
  </si>
  <si>
    <t xml:space="preserve">ballistic_launcher</t>
  </si>
  <si>
    <t xml:space="preserve">Xe phóng tên lửa chiến thuật</t>
  </si>
  <si>
    <t xml:space="preserve">heavy_rocket_artillery</t>
  </si>
  <si>
    <t xml:space="preserve">Pháo phản lực hạng nặng</t>
  </si>
  <si>
    <t xml:space="preserve">siege_tank</t>
  </si>
  <si>
    <t xml:space="preserve">Pháo cối công thành</t>
  </si>
  <si>
    <t xml:space="preserve">zu23_technical</t>
  </si>
  <si>
    <t xml:space="preserve">Bán tải cao xạ</t>
  </si>
  <si>
    <t xml:space="preserve">Rẻ: đi kèm các đội nhỏ chống trực thăng và drone.</t>
  </si>
  <si>
    <t xml:space="preserve">aa_vehicle</t>
  </si>
  <si>
    <t xml:space="preserve">Pháo cao xạ tự hành</t>
  </si>
  <si>
    <t xml:space="preserve">sam_launcher</t>
  </si>
  <si>
    <t xml:space="preserve">Xe tên lửa phòng không tầm trung</t>
  </si>
  <si>
    <t xml:space="preserve">Sau khi bỏ súng máy: luôn cần đội che.</t>
  </si>
  <si>
    <t xml:space="preserve">heavy_aa</t>
  </si>
  <si>
    <t xml:space="preserve">Xe phòng không pháo – tên lửa</t>
  </si>
  <si>
    <t xml:space="preserve">Vừa pháo vừa tên lửa: che cả tầm gần và tầm trung.</t>
  </si>
  <si>
    <t xml:space="preserve">iron_beam</t>
  </si>
  <si>
    <t xml:space="preserve">Xe la-de phòng không</t>
  </si>
  <si>
    <t xml:space="preserve">long_sam</t>
  </si>
  <si>
    <t xml:space="preserve">Xe tên lửa phòng không tầm xa</t>
  </si>
  <si>
    <t xml:space="preserve">Đứng xa nhất trong đội; ưu tiên máy bay lớn.</t>
  </si>
  <si>
    <t xml:space="preserve">scout_heli</t>
  </si>
  <si>
    <t xml:space="preserve">recon_drone</t>
  </si>
  <si>
    <t xml:space="preserve">UAV trinh sát</t>
  </si>
  <si>
    <t xml:space="preserve">Soi; không có vũ khí mạnh.</t>
  </si>
  <si>
    <t xml:space="preserve">wingman_drone</t>
  </si>
  <si>
    <t xml:space="preserve">Drone hộ vệ</t>
  </si>
  <si>
    <t xml:space="preserve">Bay theo máy bay có người lái, hút tên lửa; không tự đi một mình.</t>
  </si>
  <si>
    <t xml:space="preserve">strike_drone</t>
  </si>
  <si>
    <t xml:space="preserve">UAV tấn công</t>
  </si>
  <si>
    <t xml:space="preserve">Tên lửa chống tăng từ xa; tránh vùng cao xạ.</t>
  </si>
  <si>
    <t xml:space="preserve">swarm_carrier</t>
  </si>
  <si>
    <t xml:space="preserve">Máy bay mẹ thả drone</t>
  </si>
  <si>
    <t xml:space="preserve">Bay một lượt thả drone và Rapid Dragon rồi rời đi; không bay vòng.</t>
  </si>
  <si>
    <t xml:space="preserve">attack_helicopter</t>
  </si>
  <si>
    <t xml:space="preserve">fighter_jet</t>
  </si>
  <si>
    <t xml:space="preserve">stealth_fighter</t>
  </si>
  <si>
    <t xml:space="preserve">gunship_heli</t>
  </si>
  <si>
    <t xml:space="preserve">attack_jet</t>
  </si>
  <si>
    <t xml:space="preserve">Máy bay cường kích</t>
  </si>
  <si>
    <t xml:space="preserve">stealth_bomber</t>
  </si>
  <si>
    <t xml:space="preserve">Oanh tạc cơ tàng hình</t>
  </si>
  <si>
    <t xml:space="preserve">Tiếp cận từ hướng không có radar; nhắm công trình lớn.</t>
  </si>
  <si>
    <t xml:space="preserve">heavy_bomber</t>
  </si>
  <si>
    <t xml:space="preserve">Oanh tạc cơ chiến lược</t>
  </si>
  <si>
    <t xml:space="preserve">sky_gunship</t>
  </si>
  <si>
    <t xml:space="preserve">bunker_vehicle</t>
  </si>
  <si>
    <t xml:space="preserve">Xe công sự triển khai</t>
  </si>
  <si>
    <t xml:space="preserve">armored_bulldozer</t>
  </si>
  <si>
    <t xml:space="preserve">Xe ủi bọc thép</t>
  </si>
  <si>
    <t xml:space="preserve">Đi đầu khi có chướng ngại, mìn, tường; sau đó lùi về sau đội.</t>
  </si>
  <si>
    <t xml:space="preserve">main_battle_tank</t>
  </si>
  <si>
    <t xml:space="preserve">twin_tank</t>
  </si>
  <si>
    <t xml:space="preserve">Tăng hai nòng</t>
  </si>
  <si>
    <t xml:space="preserve">Săn xe tăng nặng: chờ cơ hội bắn loạt đôi vào hông.</t>
  </si>
  <si>
    <t xml:space="preserve">heavy_tank</t>
  </si>
  <si>
    <t xml:space="preserve">Tăng hạng nặng</t>
  </si>
  <si>
    <t xml:space="preserve">titan_tank</t>
  </si>
  <si>
    <t xml:space="preserve">Siêu tăng</t>
  </si>
  <si>
    <t xml:space="preserve">fpv_carrier</t>
  </si>
  <si>
    <t xml:space="preserve">Xe phóng drone FPV</t>
  </si>
  <si>
    <t xml:space="preserve">FPV săn xe tăng.</t>
  </si>
  <si>
    <t xml:space="preserve">lancet_truck</t>
  </si>
  <si>
    <t xml:space="preserve">Xe phóng đạn lảng vảng</t>
  </si>
  <si>
    <t xml:space="preserve">Lancet săn pháo binh, phòng không, xe đứng yên.</t>
  </si>
  <si>
    <t xml:space="preserve">wheeled_gun</t>
  </si>
  <si>
    <t xml:space="preserve">Pháo xung kích bánh lốp</t>
  </si>
  <si>
    <t xml:space="preserve">Đánh sườn nhanh: chạy vòng, bắn hông rồi đổi vị trí; không đấu trực diện.</t>
  </si>
  <si>
    <t xml:space="preserve">tank_destroyer</t>
  </si>
  <si>
    <t xml:space="preserve">Pháo chống tăng tự hành</t>
  </si>
  <si>
    <t xml:space="preserve">Giáp mỏng: bắn tỉa từ xa nhất có thể.</t>
  </si>
  <si>
    <t xml:space="preserve">railgun_truck</t>
  </si>
  <si>
    <t xml:space="preserve">Xe pháo điện từ</t>
  </si>
  <si>
    <t xml:space="preserve">Xếp góc bắn xuyên nhiều xe.</t>
  </si>
  <si>
    <t xml:space="preserve">laser_tank</t>
  </si>
  <si>
    <t xml:space="preserve">Xe la-de diệt tăng</t>
  </si>
  <si>
    <t xml:space="preserve">Giữ một mục tiêu để sát thương tăng dần; tránh khói.</t>
  </si>
  <si>
    <t xml:space="preserve">Loại</t>
  </si>
  <si>
    <t xml:space="preserve">Chế độ mặc định</t>
  </si>
  <si>
    <t xml:space="preserve">Chế độ khác người chơi chọn được</t>
  </si>
  <si>
    <t xml:space="preserve">Tham khảo</t>
  </si>
  <si>
    <t xml:space="preserve">Tháp canh</t>
  </si>
  <si>
    <t xml:space="preserve">Gần nhất</t>
  </si>
  <si>
    <t xml:space="preserve">Yếu nhất, Máy bay trước</t>
  </si>
  <si>
    <t xml:space="preserve">Lộ tàng hình trong tầm; ưu tiên xe nhẹ và drone</t>
  </si>
  <si>
    <t xml:space="preserve">Kingdom Rush, Bloons TD 6 (chế độ chọn mục tiêu)</t>
  </si>
  <si>
    <t xml:space="preserve">Lô cốt súng máy</t>
  </si>
  <si>
    <t xml:space="preserve">Yếu nhất</t>
  </si>
  <si>
    <t xml:space="preserve">Phun lửa: ưu tiên cụm xe nhẹ gần</t>
  </si>
  <si>
    <t xml:space="preserve">Company of Heroes</t>
  </si>
  <si>
    <t xml:space="preserve">Tháp phòng không</t>
  </si>
  <si>
    <t xml:space="preserve">Máy bay trước</t>
  </si>
  <si>
    <t xml:space="preserve">Nhánh cao xạ: ưu tiên drone; nhánh tên lửa: ưu tiên trực thăng và máy bay</t>
  </si>
  <si>
    <t xml:space="preserve">WARNO</t>
  </si>
  <si>
    <t xml:space="preserve">Tháp gây nhiễu EW</t>
  </si>
  <si>
    <t xml:space="preserve">(không bắn)</t>
  </si>
  <si>
    <t xml:space="preserve">Bật mạnh nhất khi có bầy drone hoặc tên lửa dẫn đường bay vào</t>
  </si>
  <si>
    <t xml:space="preserve">Command: Modern Operations (EMCON)</t>
  </si>
  <si>
    <t xml:space="preserve">Tháp pháo</t>
  </si>
  <si>
    <t xml:space="preserve">Mạnh nhất</t>
  </si>
  <si>
    <t xml:space="preserve">Gần nhất, Đầu đoàn</t>
  </si>
  <si>
    <t xml:space="preserve">Nhánh bắn tỉa: ưu tiên xe tăng nặng; nhánh tự động: xe nhẹ và máy bay</t>
  </si>
  <si>
    <t xml:space="preserve">Kingdom Rush</t>
  </si>
  <si>
    <t xml:space="preserve">Tháp ATGM</t>
  </si>
  <si>
    <t xml:space="preserve">Đầu đoàn</t>
  </si>
  <si>
    <t xml:space="preserve">Không bắn xe nhẹ khi có xe giáp trong tầm</t>
  </si>
  <si>
    <t xml:space="preserve">Command: Modern Operations (WRA: không dùng tên lửa lớn vào mục tiêu nhỏ)</t>
  </si>
  <si>
    <t xml:space="preserve">Dàn rốc-két</t>
  </si>
  <si>
    <t xml:space="preserve">Cụm đông nhất</t>
  </si>
  <si>
    <t xml:space="preserve">Chờ cụm từ 3 xe trở lên nếu có thể</t>
  </si>
  <si>
    <t xml:space="preserve">Supreme Commander</t>
  </si>
  <si>
    <t xml:space="preserve">Trạm C-RAM / Vòm Sắt</t>
  </si>
  <si>
    <t xml:space="preserve">Đạn bay vào công trình quan trọng nhất</t>
  </si>
  <si>
    <t xml:space="preserve">Đạn gần nhất</t>
  </si>
  <si>
    <t xml:space="preserve">Ưu tiên tên lửa đòn lớn của boss và đạn bay vào sở chỉ huy</t>
  </si>
  <si>
    <t xml:space="preserve">Iron Dome ngoài đời</t>
  </si>
  <si>
    <t xml:space="preserve">Trận địa pháo</t>
  </si>
  <si>
    <t xml:space="preserve">Mạnh nhất, Pháo binh trước</t>
  </si>
  <si>
    <t xml:space="preserve">Nhánh phản pháo: luôn ưu tiên pháo vừa khai hỏa</t>
  </si>
  <si>
    <t xml:space="preserve">WARNO (phản pháo)</t>
  </si>
  <si>
    <t xml:space="preserve">Patriot</t>
  </si>
  <si>
    <t xml:space="preserve">Máy bay lớn nhất</t>
  </si>
  <si>
    <t xml:space="preserve">Máy bay trước, Tên lửa trước (PAC-3)</t>
  </si>
  <si>
    <t xml:space="preserve">PAC-3: ưu tiên tên lửa hành trình, đạn đạo, siêu vũ khí boss</t>
  </si>
  <si>
    <t xml:space="preserve">Command: Modern Operations</t>
  </si>
  <si>
    <t xml:space="preserve">Nhà chứa drone</t>
  </si>
  <si>
    <t xml:space="preserve">Pháo binh trước</t>
  </si>
  <si>
    <t xml:space="preserve">Lancet: ưu tiên pháo binh và xe đứng yên</t>
  </si>
  <si>
    <t xml:space="preserve">Chiến sự hiện đại</t>
  </si>
  <si>
    <t xml:space="preserve">Tháp pháo hạng nặng</t>
  </si>
  <si>
    <t xml:space="preserve">Pháo bờ biển: ưu tiên tàu</t>
  </si>
  <si>
    <t xml:space="preserve">Máy phát khiên</t>
  </si>
  <si>
    <t xml:space="preserve">Tập trung khiên khi căn cứ bị đánh mạnh</t>
  </si>
  <si>
    <t xml:space="preserve">Nhóm</t>
  </si>
  <si>
    <t xml:space="preserve">Hành vi AI</t>
  </si>
  <si>
    <t xml:space="preserve">Luật chung</t>
  </si>
  <si>
    <t xml:space="preserve">Chỉ thấy những gì phe địch thấy; vũ khí đánh vùng nhắm cụm đông nhất; vũ khí bắn thẳng nhắm xe đắt nhất trong tầm; siêu vũ khí nhắm cụm giá trị cao nhất, luôn giữ đủ cảnh báo; quay mặt trước (giáp 5) về phía nhiều hỏa lực nhất nhưng quay chậm để người chơi đánh vòng được; hộ tống chắn hướng địch đông nhất.</t>
  </si>
  <si>
    <t xml:space="preserve">Dark Souls/Monster Hunter (boss có nhịp, có cửa sổ phản công), Left 4 Dead (AI Director điều nhịp)</t>
  </si>
  <si>
    <t xml:space="preserve">Boss mặt đất chậm (Bastion, Behemoth, Jötunn, Moloch, Kronos)</t>
  </si>
  <si>
    <t xml:space="preserve">Tiến theo hướng có nhiều mục tiêu; khi bị đánh sau, quay chậm; dùng vòng nổ quanh thân khi bị áp sát.</t>
  </si>
  <si>
    <t xml:space="preserve">Supreme Commander (đơn vị thực nghiệm)</t>
  </si>
  <si>
    <t xml:space="preserve">Boss tàu (Leviathan, Typhon, Scylla, Caspian)</t>
  </si>
  <si>
    <t xml:space="preserve">Chạy theo tuyến biển; giữ khoảng cách bằng tầm pháo chính; quay mạn để dùng nhiều tháp nhất.</t>
  </si>
  <si>
    <t xml:space="preserve">World of Warships (đánh mạn)</t>
  </si>
  <si>
    <t xml:space="preserve">Boss trên không (Matriarch, Roc, Daedalus, Icarus)</t>
  </si>
  <si>
    <t xml:space="preserve">Bay theo đường cố định; chọn vòng bay tránh vùng phòng không dày nếu thiết kế cho phép; tầng thấp là cửa sổ phản công.</t>
  </si>
  <si>
    <t xml:space="preserve">Ace Combat (boss bay)</t>
  </si>
  <si>
    <t xml:space="preserve">Boss tàu hỏa (Nemesis, Juggernaut, Gungnir)</t>
  </si>
  <si>
    <t xml:space="preserve">Dừng ở các điểm định sẵn để bắn; toa phòng không bảo vệ toa vũ khí chính.</t>
  </si>
  <si>
    <t xml:space="preserve">Mini boss</t>
  </si>
  <si>
    <t xml:space="preserve">Cùng luật; không siêu vũ khí; vũ khí bản sắc dùng theo đúng điều kiện (Ixion lao khi có hàng xe thẳng; Morrigan săn máy bay).</t>
  </si>
  <si>
    <t xml:space="preserve">Hành vi cốt lõi</t>
  </si>
  <si>
    <t xml:space="preserve">Dấu vân hành vi dự kiến</t>
  </si>
  <si>
    <t xml:space="preserve">Cặp cần kiểm tra gộp</t>
  </si>
  <si>
    <t xml:space="preserve">Mô tả</t>
  </si>
  <si>
    <t xml:space="preserve">Ngoài đời</t>
  </si>
  <si>
    <t xml:space="preserve">Tác động lên AI</t>
  </si>
  <si>
    <t xml:space="preserve">Ưu tiên mua</t>
  </si>
  <si>
    <t xml:space="preserve">% CP: Tăng, hạng nặng</t>
  </si>
  <si>
    <t xml:space="preserve">% CP: Xe nhẹ, xe bộ binh</t>
  </si>
  <si>
    <t xml:space="preserve">% CP: Diệt tăng, drone chống tăng</t>
  </si>
  <si>
    <t xml:space="preserve">% CP: Pháo binh, tên lửa đất đối đất</t>
  </si>
  <si>
    <t xml:space="preserve">% CP: Phòng không</t>
  </si>
  <si>
    <t xml:space="preserve">% CP: Trực thăng</t>
  </si>
  <si>
    <t xml:space="preserve">% CP: Máy bay</t>
  </si>
  <si>
    <t xml:space="preserve">% CP: Hỗ trợ</t>
  </si>
  <si>
    <t xml:space="preserve">Tổng %</t>
  </si>
  <si>
    <t xml:space="preserve">Mạnh khi</t>
  </si>
  <si>
    <t xml:space="preserve">Yếu khi</t>
  </si>
  <si>
    <t xml:space="preserve">Khắc chế được</t>
  </si>
  <si>
    <t xml:space="preserve">Bị khắc chế bởi</t>
  </si>
  <si>
    <t xml:space="preserve">Mở khóa</t>
  </si>
  <si>
    <t xml:space="preserve">Hợp chỉ huy</t>
  </si>
  <si>
    <t xml:space="preserve">Cân bằng</t>
  </si>
  <si>
    <t xml:space="preserve">Phối hợp nhiều vai trò, không thiên lệch</t>
  </si>
  <si>
    <t xml:space="preserve">vừa ở mọi chỉ số</t>
  </si>
  <si>
    <t xml:space="preserve">Mặc định: các tầng AI dùng ngưỡng chuẩn.</t>
  </si>
  <si>
    <t xml:space="preserve">Vũ khí phối hợp (combined arms)</t>
  </si>
  <si>
    <t xml:space="preserve">Không đổi tham số</t>
  </si>
  <si>
    <t xml:space="preserve">Theo AI khắc chế hiện có; không ưu tiên riêng.</t>
  </si>
  <si>
    <t xml:space="preserve">Mọi tình huống ở mức vừa</t>
  </si>
  <si>
    <t xml:space="preserve">Không nổi trội ở đâu</t>
  </si>
  <si>
    <t xml:space="preserve">Có sẵn</t>
  </si>
  <si>
    <t xml:space="preserve">Kade</t>
  </si>
  <si>
    <t xml:space="preserve">Tấn công chớp nhoáng</t>
  </si>
  <si>
    <t xml:space="preserve">Giữ đà tiến, đánh trước khi địch kịp dựng phòng tuyến</t>
  </si>
  <si>
    <t xml:space="preserve">tấn công sớm; giao chiến gần; ít giữ lửa</t>
  </si>
  <si>
    <t xml:space="preserve">Tiến nhanh, đánh sớm, không chờ gom đủ quân.</t>
  </si>
  <si>
    <t xml:space="preserve">Chiến tranh cơ động</t>
  </si>
  <si>
    <t xml:space="preserve">Hearts of Iron IV (Mobile Warfare, chiến thuật Unexpected Thrust)</t>
  </si>
  <si>
    <t xml:space="preserve">Ngưỡng tấn công 1,2 → 0,9 lần sức mạnh địch; đội không chờ xe chậm; xe nhanh được ưu tiên mua</t>
  </si>
  <si>
    <t xml:space="preserve">Xe bọc thép bánh lốp, Xe chiến đấu bộ binh, Pháo xung kích bánh lốp, Tăng chủ lực, Trực thăng tấn công. Tránh Tăng hạng nặng, Siêu tăng (quá chậm).</t>
  </si>
  <si>
    <t xml:space="preserve">Địch chưa kịp dựng phòng tuyến; map ngắn</t>
  </si>
  <si>
    <t xml:space="preserve">Gặp phòng thủ chiều sâu, phục kích, bãi mìn</t>
  </si>
  <si>
    <t xml:space="preserve">Hỏa lực áp đảo (đánh trước khi pháo kịp bắn)</t>
  </si>
  <si>
    <t xml:space="preserve">Phòng thủ chiều sâu, Phục kích</t>
  </si>
  <si>
    <t xml:space="preserve">Chương 2</t>
  </si>
  <si>
    <t xml:space="preserve">Rush</t>
  </si>
  <si>
    <t xml:space="preserve">Hỏa lực áp đảo</t>
  </si>
  <si>
    <t xml:space="preserve">Pháo dọn đường rồi mới tiến</t>
  </si>
  <si>
    <t xml:space="preserve">CP pháo cao; tấn công muộn; giao chiến xa</t>
  </si>
  <si>
    <t xml:space="preserve">Pháo binh và rốc-két dọn đường trước, xe tăng chỉ tiến sau đợt pháo.</t>
  </si>
  <si>
    <t xml:space="preserve">Hỏa lực vượt trội</t>
  </si>
  <si>
    <t xml:space="preserve">Hearts of Iron IV (Superior Firepower)</t>
  </si>
  <si>
    <t xml:space="preserve">Tướng AI ưu tiên mua pháo binh; đội chờ 1 đợt pháo trước khi tiến; pháo được giao mục tiêu theo hướng tấn công</t>
  </si>
  <si>
    <t xml:space="preserve">Lựu pháo tự hành, Pháo phản lực dẫn đường, Pháo phản lực hạng nặng, Xe cối tự hành, Xe radar phản pháo, Xe tiếp đạn.</t>
  </si>
  <si>
    <t xml:space="preserve">Địch đứng yên, nhiều công trình</t>
  </si>
  <si>
    <t xml:space="preserve">Địch tiến nhanh hoặc phân tán</t>
  </si>
  <si>
    <t xml:space="preserve">Phòng thủ chiều sâu, Bảo vệ căn cứ</t>
  </si>
  <si>
    <t xml:space="preserve">Tấn công chớp nhoáng, Phân tán, Bắn và chạy</t>
  </si>
  <si>
    <t xml:space="preserve">Chương 3</t>
  </si>
  <si>
    <t xml:space="preserve">Longshot</t>
  </si>
  <si>
    <t xml:space="preserve">Phòng thủ chiều sâu</t>
  </si>
  <si>
    <t xml:space="preserve">Hấp thụ đợt tấn công qua nhiều tuyến, rồi phản công</t>
  </si>
  <si>
    <t xml:space="preserve">giữ lửa cao; tấn công muộn; chuyển tuyến</t>
  </si>
  <si>
    <t xml:space="preserve">Giữ nhiều tuyến; mất tuyến trước thì lùi về tuyến sau, rồi phản công khi địch kiệt sức.</t>
  </si>
  <si>
    <t xml:space="preserve">Phòng thủ đàn hồi (elastic defense)</t>
  </si>
  <si>
    <t xml:space="preserve">Hearts of Iron IV (Elastic Defense)</t>
  </si>
  <si>
    <t xml:space="preserve">Đội giữ điểm gần tháp; khi tuyến trước thất thủ (sức mạnh ta dưới 0,6 lần địch trong vùng) cả đội chuyển về tuyến sau, không xe nào rút riêng theo máu; phản công khi sức mạnh ta ≥ 1,3 lần trong vùng</t>
  </si>
  <si>
    <t xml:space="preserve">Xe công sự triển khai, Pháo chống tăng tự hành, Tăng chủ lực, Xe rải mìn, Xe cối tự hành, Xe tên lửa phòng không tầm trung.</t>
  </si>
  <si>
    <t xml:space="preserve">Chế độ Phòng thủ, map dài, căn cứ nhiều lớp</t>
  </si>
  <si>
    <t xml:space="preserve">Đối thủ dùng pháo binh tầm xa liên tục</t>
  </si>
  <si>
    <t xml:space="preserve">Tấn công chớp nhoáng, Tập trung đột phá</t>
  </si>
  <si>
    <t xml:space="preserve">Hỏa lực áp đảo, Bao vây</t>
  </si>
  <si>
    <t xml:space="preserve">Chương 1</t>
  </si>
  <si>
    <t xml:space="preserve">Bulwark</t>
  </si>
  <si>
    <t xml:space="preserve">Bao vây</t>
  </si>
  <si>
    <t xml:space="preserve">Đánh hai hướng cùng lúc vào hông và sau</t>
  </si>
  <si>
    <t xml:space="preserve">đánh sườn cao; tập trung thấp</t>
  </si>
  <si>
    <t xml:space="preserve">Chia quân đánh hai hướng cùng lúc, nhắm hông và sau.</t>
  </si>
  <si>
    <t xml:space="preserve">Gọng kìm, bao vây</t>
  </si>
  <si>
    <t xml:space="preserve">Total War (đánh sườn), Hearts of Iron IV (Encirclement)</t>
  </si>
  <si>
    <t xml:space="preserve">Tướng AI chia 2–3 đội theo hai hướng; trọng số đánh sườn tăng; hẹn giờ cho các đội cùng chạm địch</t>
  </si>
  <si>
    <t xml:space="preserve">Xe bọc thép bánh lốp, Xe chiến đấu bộ binh, Pháo xung kích bánh lốp, Tăng nhẹ lội nước, Trực thăng tấn công.</t>
  </si>
  <si>
    <t xml:space="preserve">Địch dồn ở một chỗ, map rộng</t>
  </si>
  <si>
    <t xml:space="preserve">Địch tập trung đột phá vào một đội khi quân ta bị chia</t>
  </si>
  <si>
    <t xml:space="preserve">Tập trung đột phá</t>
  </si>
  <si>
    <t xml:space="preserve">Chương 4</t>
  </si>
  <si>
    <t xml:space="preserve">Flag</t>
  </si>
  <si>
    <t xml:space="preserve">Yểm hộ luân phiên</t>
  </si>
  <si>
    <t xml:space="preserve">Tiến chậm, an toàn, một nhóm luôn yểm hộ</t>
  </si>
  <si>
    <t xml:space="preserve">OVERWATCH cao; tiến chậm</t>
  </si>
  <si>
    <t xml:space="preserve">Một nửa đội dừng yểm hộ, một nửa tiến, đổi vai liên tục khi sắp chạm địch.</t>
  </si>
  <si>
    <t xml:space="preserve">Bounding overwatch</t>
  </si>
  <si>
    <t xml:space="preserve">Steel Beasts, ArmA</t>
  </si>
  <si>
    <t xml:space="preserve">Đội chia 2 nhóm; nhóm tiến không vượt quá tầm yểm hộ của nhóm dừng; tốc độ tiến giảm ~30%</t>
  </si>
  <si>
    <t xml:space="preserve">Tăng chủ lực, Xe chiến đấu bộ binh, Xe hỗ trợ tăng, Xe thả khói.</t>
  </si>
  <si>
    <t xml:space="preserve">Tiến qua vùng chưa rõ, có phục kích</t>
  </si>
  <si>
    <t xml:space="preserve">Cần tốc độ, đối thủ dùng pháo binh vào nhóm đứng yên</t>
  </si>
  <si>
    <t xml:space="preserve">Phục kích</t>
  </si>
  <si>
    <t xml:space="preserve">Hỏa lực áp đảo, Tấn công chớp nhoáng</t>
  </si>
  <si>
    <t xml:space="preserve">Ẩn và kỷ luật hỏa lực, phát đầu đồng loạt</t>
  </si>
  <si>
    <t xml:space="preserve">giữ lửa rất cao; giao chiến ở 60% tầm</t>
  </si>
  <si>
    <t xml:space="preserve">Giữ lửa tới khi địch vào sâu tầm, rồi bắn đồng loạt.</t>
  </si>
  <si>
    <t xml:space="preserve">Phục kích, giữ lửa</t>
  </si>
  <si>
    <t xml:space="preserve">Command: Modern Operations (Weapons HOLD/TIGHT), Company of Heroes</t>
  </si>
  <si>
    <t xml:space="preserve">Đội dừng ở chỗ có vật che; giữ lửa tới khi địch vào ~60% tầm hoặc bị phát hiện; phát đầu đồng loạt; xe tàng hình được lợi</t>
  </si>
  <si>
    <t xml:space="preserve">Pháo chống tăng tự hành, Xe pháo điện từ, Xe phóng drone FPV, Xe trinh sát hạng nhẹ, Xe gây nhiễu điện tử.</t>
  </si>
  <si>
    <t xml:space="preserve">Địch tiến nhanh, không trinh sát</t>
  </si>
  <si>
    <t xml:space="preserve">Địch có trinh sát, UAV quét, yểm hộ luân phiên</t>
  </si>
  <si>
    <t xml:space="preserve">Yểm hộ luân phiên, đối thủ có trinh sát</t>
  </si>
  <si>
    <t xml:space="preserve">Xen kẽ I</t>
  </si>
  <si>
    <t xml:space="preserve">Nadia</t>
  </si>
  <si>
    <t xml:space="preserve">Bắn và chạy</t>
  </si>
  <si>
    <t xml:space="preserve">Giữ cự ly tối đa, không để địch áp sát</t>
  </si>
  <si>
    <t xml:space="preserve">giao chiến rất xa; REPOSITION cao</t>
  </si>
  <si>
    <t xml:space="preserve">Kiểm tra với Phân tán</t>
  </si>
  <si>
    <t xml:space="preserve">Giữ khoảng cách tối đa, lùi khi bị áp sát, bắn tiếp.</t>
  </si>
  <si>
    <t xml:space="preserve">Kiting, giữ cự ly</t>
  </si>
  <si>
    <t xml:space="preserve">StarCraft II (kiting)</t>
  </si>
  <si>
    <t xml:space="preserve">Khoảng cách giao chiến 90–100% tầm; lùi khi địch vào 70% tầm; ưu tiên mua xe nhanh bắn xa</t>
  </si>
  <si>
    <t xml:space="preserve">Pháo xung kích bánh lốp, Xe bọc thép bánh lốp, Pháo chống tăng tự hành, Trực thăng tấn công, UAV tấn công.</t>
  </si>
  <si>
    <t xml:space="preserve">Đội nhanh hơn, tầm xa hơn địch</t>
  </si>
  <si>
    <t xml:space="preserve">Địch nhanh hơn, có máy bay, map hẹp</t>
  </si>
  <si>
    <t xml:space="preserve">Hỏa lực áp đảo, đội xe chậm</t>
  </si>
  <si>
    <t xml:space="preserve">Tấn công chớp nhoáng, Ưu thế trên không</t>
  </si>
  <si>
    <t xml:space="preserve">Chương 5</t>
  </si>
  <si>
    <t xml:space="preserve">Dồn gần hết quân vào một điểm để chọc thủng</t>
  </si>
  <si>
    <t xml:space="preserve">tập trung rất cao; CP tăng nặng cao</t>
  </si>
  <si>
    <t xml:space="preserve">Kiểm tra với Tổng tấn công</t>
  </si>
  <si>
    <t xml:space="preserve">Dồn gần hết quân vào một lối, chọc thủng một điểm.</t>
  </si>
  <si>
    <t xml:space="preserve">Schwerpunkt (điểm trọng tâm)</t>
  </si>
  <si>
    <t xml:space="preserve">Hearts of Iron IV (chiến thuật Breakthrough), Total War</t>
  </si>
  <si>
    <t xml:space="preserve">Tướng AI dồn ≥ 70% quân vào một hướng; xe hạng nặng đi đầu; bỏ giữ các điểm phụ</t>
  </si>
  <si>
    <t xml:space="preserve">Tăng hạng nặng, Siêu tăng, Tăng hai nòng, Xe ủi bọc thép, Xe công binh, Pháo phản lực nhiệt áp.</t>
  </si>
  <si>
    <t xml:space="preserve">Địch dàn mỏng</t>
  </si>
  <si>
    <t xml:space="preserve">Địch có nhiều vũ khí bắn lan, bị bao vây hai bên</t>
  </si>
  <si>
    <t xml:space="preserve">Bao vây, Phòng thủ chiều sâu</t>
  </si>
  <si>
    <t xml:space="preserve">Phân tán (bắn lan), Bao vây sớm</t>
  </si>
  <si>
    <t xml:space="preserve">Chương 6</t>
  </si>
  <si>
    <t xml:space="preserve">Crown</t>
  </si>
  <si>
    <t xml:space="preserve">Phân tán</t>
  </si>
  <si>
    <t xml:space="preserve">Dàn rộng để vô hiệu bắn lan và siêu vũ khí</t>
  </si>
  <si>
    <t xml:space="preserve">dàn trải rất cao; dồn hỏa lực thấp</t>
  </si>
  <si>
    <t xml:space="preserve">Kiểm tra với Bắn và chạy</t>
  </si>
  <si>
    <t xml:space="preserve">Dàn quân rộng, mỗi xe cách nhau xa; chống bắn lan và siêu vũ khí.</t>
  </si>
  <si>
    <t xml:space="preserve">Phân tán chống hỏa lực</t>
  </si>
  <si>
    <t xml:space="preserve">Supreme Commander, chiến sự drone hiện đại</t>
  </si>
  <si>
    <t xml:space="preserve">Khoảng cách tối thiểu giữa xe ×2; giảm dồn hỏa lực; né cảnh báo sớm hơn</t>
  </si>
  <si>
    <t xml:space="preserve">Nhiều xe rẻ thay vì ít xe đắt: Xe bọc thép bánh lốp, Tăng nhẹ, Xe phóng drone FPV, Xe cối tự hành; thêm Xe phát khiên. Tránh dồn CP vào một xe đắt.</t>
  </si>
  <si>
    <t xml:space="preserve">Gặp boss, pháo binh, bom</t>
  </si>
  <si>
    <t xml:space="preserve">Đánh trực diện với đội gom chặt</t>
  </si>
  <si>
    <t xml:space="preserve">Hỏa lực áp đảo, Tập trung đột phá vào cụm, boss</t>
  </si>
  <si>
    <t xml:space="preserve">Tấn công chớp nhoáng (đánh lẻ từng xe)</t>
  </si>
  <si>
    <t xml:space="preserve">Venn</t>
  </si>
  <si>
    <t xml:space="preserve">Ưu thế trên không</t>
  </si>
  <si>
    <t xml:space="preserve">Tạo cửa sổ trên không rồi mới đưa đội mặt đất</t>
  </si>
  <si>
    <t xml:space="preserve">CP máy bay và phòng không cao; tấn công mặt đất muộn</t>
  </si>
  <si>
    <t xml:space="preserve">Kiểm tra với Chế áp phòng không trước</t>
  </si>
  <si>
    <t xml:space="preserve">Dọn trời trước bằng tiêm kích và phòng không, rồi mới đưa cường kích và đội mặt đất.</t>
  </si>
  <si>
    <t xml:space="preserve">Hearts of Iron IV (air superiority), Ace Combat</t>
  </si>
  <si>
    <t xml:space="preserve">Tướng AI mua tiêm kích và phòng không trước; đội mặt đất chờ tới khi máy bay địch bị hạ hoặc rút; máy bay cường kích chỉ vào khi phòng không địch đã yếu</t>
  </si>
  <si>
    <t xml:space="preserve">Tiêm kích, Tiêm kích tàng hình, Drone hộ vệ, Xe tên lửa phòng không tầm trung, Xe tên lửa phòng không tầm xa, Xe phòng không pháo – tên lửa.</t>
  </si>
  <si>
    <t xml:space="preserve">Địch dựa vào máy bay</t>
  </si>
  <si>
    <t xml:space="preserve">Địch không có máy bay (phí CP)</t>
  </si>
  <si>
    <t xml:space="preserve">Bắn và chạy, Pháo hạm bay của địch</t>
  </si>
  <si>
    <t xml:space="preserve">Tấn công chớp nhoáng mặt đất</t>
  </si>
  <si>
    <t xml:space="preserve">Hawk</t>
  </si>
  <si>
    <t xml:space="preserve">Chế áp phòng không trước</t>
  </si>
  <si>
    <t xml:space="preserve">Săn phòng không trước mọi thứ</t>
  </si>
  <si>
    <t xml:space="preserve">ưu tiên mục tiêu phòng không; CP máy bay cao</t>
  </si>
  <si>
    <t xml:space="preserve">Kiểm tra với Ưu thế trên không</t>
  </si>
  <si>
    <t xml:space="preserve">Săn phòng không của địch trước mọi thứ, mở đường cho không quân.</t>
  </si>
  <si>
    <t xml:space="preserve">SEAD</t>
  </si>
  <si>
    <t xml:space="preserve">Command: Modern Operations (SEAD)</t>
  </si>
  <si>
    <t xml:space="preserve">Ưu tiên mục tiêu: phòng không và radar trước; dùng thẻ chế áp phòng không và tên lửa chống radar sớm</t>
  </si>
  <si>
    <t xml:space="preserve">Máy bay cường kích, Tiêm kích tàng hình, Xe gây nhiễu điện tử, Xe phóng đạn lảng vảng (săn phòng không), Xe phóng tên lửa chiến thuật; dùng sớm thẻ Đòn SEAD.</t>
  </si>
  <si>
    <t xml:space="preserve">Địch có nhiều phòng không, ta mạnh về không quân</t>
  </si>
  <si>
    <t xml:space="preserve">Địch ít phòng không</t>
  </si>
  <si>
    <t xml:space="preserve">Phòng thủ dựa vào phòng không</t>
  </si>
  <si>
    <t xml:space="preserve">Đối thủ ít phòng không (lãng phí)</t>
  </si>
  <si>
    <t xml:space="preserve">Chương 7</t>
  </si>
  <si>
    <t xml:space="preserve">Tiêu hao</t>
  </si>
  <si>
    <t xml:space="preserve">Đổi lãnh thổ lấy thời gian, quấy rối từ xa</t>
  </si>
  <si>
    <t xml:space="preserve">giao chiến xa; tấn công rất muộn; CP pháo cao</t>
  </si>
  <si>
    <t xml:space="preserve">Tránh đánh lớn, quấy rối từ xa bằng pháo, drone, tên lửa; chỉ giao chiến khi rất có lợi.</t>
  </si>
  <si>
    <t xml:space="preserve">Chiến tranh tiêu hao</t>
  </si>
  <si>
    <t xml:space="preserve">Hearts of Iron IV (Attrition)</t>
  </si>
  <si>
    <t xml:space="preserve">Ngưỡng tấn công 1,5 lần; ưu tiên vũ khí tầm xa và giữ khoảng cách</t>
  </si>
  <si>
    <t xml:space="preserve">Pháo phản lực dẫn đường, Xe phóng drone cảm tử tầm xa, Xe phóng tên lửa chiến thuật, Xe phóng đạn lảng vảng, UAV trinh sát.</t>
  </si>
  <si>
    <t xml:space="preserve">Trận dài, Vô tận, Phòng thủ</t>
  </si>
  <si>
    <t xml:space="preserve">Mục tiêu có hạn giờ, Tử chiến tính điểm</t>
  </si>
  <si>
    <t xml:space="preserve">Tấn công chớp nhoáng, Bao vây</t>
  </si>
  <si>
    <t xml:space="preserve">Chương 8</t>
  </si>
  <si>
    <t xml:space="preserve">Magpie</t>
  </si>
  <si>
    <t xml:space="preserve">Săn đầu</t>
  </si>
  <si>
    <t xml:space="preserve">Đánh sâu vào hỗ trợ, pháo, chỉ huy</t>
  </si>
  <si>
    <t xml:space="preserve">đánh sườn sâu; ưu tiên mục tiêu hỗ trợ</t>
  </si>
  <si>
    <t xml:space="preserve">Nhắm xe chỉ huy, pháo binh, xe hỗ trợ, phòng không trước, bỏ qua tiền tuyến.</t>
  </si>
  <si>
    <t xml:space="preserve">Đánh vào chỉ huy và hậu cần (decapitation)</t>
  </si>
  <si>
    <t xml:space="preserve">Company of Heroes, WARNO</t>
  </si>
  <si>
    <t xml:space="preserve">Ưu tiên mục tiêu: xe hỗ trợ, pháo, xe chỉ huy, radar; đội đánh sườn sâu</t>
  </si>
  <si>
    <t xml:space="preserve">Xe bọc thép bánh lốp, Trực thăng trinh sát vũ trang, Trực thăng tấn công, Xe phóng đạn lảng vảng, Tiêm kích tàng hình.</t>
  </si>
  <si>
    <t xml:space="preserve">Địch dựa vào hỗ trợ và pháo</t>
  </si>
  <si>
    <t xml:space="preserve">Địch có tiền tuyến mạnh chặn đường</t>
  </si>
  <si>
    <t xml:space="preserve">Hỏa lực áp đảo, đội dựa vào hỗ trợ</t>
  </si>
  <si>
    <t xml:space="preserve">Chương 9</t>
  </si>
  <si>
    <t xml:space="preserve">Bảo vệ căn cứ</t>
  </si>
  <si>
    <t xml:space="preserve">Giữ quanh căn cứ và tháp</t>
  </si>
  <si>
    <t xml:space="preserve">giữ lửa cao; ít đội rời căn cứ</t>
  </si>
  <si>
    <t xml:space="preserve">Giữ quân quanh căn cứ và tháp, chỉ đánh khi địch tới gần.</t>
  </si>
  <si>
    <t xml:space="preserve">Phòng thủ cố định</t>
  </si>
  <si>
    <t xml:space="preserve">Tower defense, C&amp;C</t>
  </si>
  <si>
    <t xml:space="preserve">Đội giữ trong vùng căn cứ; tháp ưu tiên chế độ Đầu đoàn; mua quân phòng thủ</t>
  </si>
  <si>
    <t xml:space="preserve">Xe công sự triển khai, Pháo chống tăng tự hành, Pháo cao xạ tự hành, Xe rải mìn, Xe công binh; loadout căn cứ nhiều tháp.</t>
  </si>
  <si>
    <t xml:space="preserve">Phòng thủ, Pháo đài tuần</t>
  </si>
  <si>
    <t xml:space="preserve">Chế độ giữ cứ điểm ngoài căn cứ</t>
  </si>
  <si>
    <t xml:space="preserve">Hỏa lực áp đảo, Tiêu hao</t>
  </si>
  <si>
    <t xml:space="preserve">Tổng tấn công</t>
  </si>
  <si>
    <t xml:space="preserve">Để dành rồi tung một đợt lớn cùng lúc</t>
  </si>
  <si>
    <t xml:space="preserve">CP tích trữ cao; một đợt tấn công lớn muộn</t>
  </si>
  <si>
    <t xml:space="preserve">Kiểm tra với Tập trung đột phá</t>
  </si>
  <si>
    <t xml:space="preserve">Tích CP rồi tung một đợt rất lớn cùng lúc ở thời điểm chọn.</t>
  </si>
  <si>
    <t xml:space="preserve">Tập trung lực lượng, đòn quyết định</t>
  </si>
  <si>
    <t xml:space="preserve">StarCraft (timing attack)</t>
  </si>
  <si>
    <t xml:space="preserve">Tướng AI để dành CP tới ngưỡng rồi mua cả đợt; mọi đội cùng tấn công; thẻ hỗ trợ dồn cùng lúc</t>
  </si>
  <si>
    <t xml:space="preserve">Để dành CP tới ngưỡng rồi mua một đợt hỗn hợp xe mạnh: Tăng chủ lực, Tăng hạng nặng, Máy bay cường kích, Oanh tạc cơ chiến lược.</t>
  </si>
  <si>
    <t xml:space="preserve">Địch chưa kịp đổi chiến thuật</t>
  </si>
  <si>
    <t xml:space="preserve">Bị đánh sớm trước khi đủ CP</t>
  </si>
  <si>
    <t xml:space="preserve">Phòng thủ chiều sâu yếu</t>
  </si>
  <si>
    <t xml:space="preserve">Tấn công chớp nhoáng (đánh lúc đang tích)</t>
  </si>
  <si>
    <t xml:space="preserve">Chương 10</t>
  </si>
  <si>
    <t xml:space="preserve">Vault</t>
  </si>
  <si>
    <t xml:space="preserve">Tham số</t>
  </si>
  <si>
    <t xml:space="preserve">Ý nghĩa</t>
  </si>
  <si>
    <t xml:space="preserve">Khởi điểm</t>
  </si>
  <si>
    <t xml:space="preserve">Nhỏ nhất</t>
  </si>
  <si>
    <t xml:space="preserve">Lớn nhất</t>
  </si>
  <si>
    <t xml:space="preserve">Lý do chỉnh</t>
  </si>
  <si>
    <t xml:space="preserve">Ngưỡng tấn công</t>
  </si>
  <si>
    <t xml:space="preserve">Tỷ lệ sức mạnh ta / địch (đã ước tính, có độ tin cậy) tối thiểu để tướng AI mở cửa sổ tấn công</t>
  </si>
  <si>
    <t xml:space="preserve">1,2 (theo chiến thuật)</t>
  </si>
  <si>
    <t xml:space="preserve">0,8</t>
  </si>
  <si>
    <t xml:space="preserve">1,6</t>
  </si>
  <si>
    <t xml:space="preserve">Tỷ lệ thời gian có giao tranh; số đợt tấn công thất bại</t>
  </si>
  <si>
    <t xml:space="preserve">Thấp quá: lao vào chỗ chết; cao quá: trận đứng yên</t>
  </si>
  <si>
    <t xml:space="preserve">Ngưỡng chuyển tuyến</t>
  </si>
  <si>
    <t xml:space="preserve">Tỷ lệ sức mạnh ta / địch trong vùng mà đội chuyển về tuyến sau (chỉ Phòng thủ chiều sâu, Bảo vệ căn cứ)</t>
  </si>
  <si>
    <t xml:space="preserve">0,6</t>
  </si>
  <si>
    <t xml:space="preserve">0,5</t>
  </si>
  <si>
    <t xml:space="preserve">0,7</t>
  </si>
  <si>
    <t xml:space="preserve">Số tuyến mất; thời lượng trận Phòng thủ</t>
  </si>
  <si>
    <t xml:space="preserve">Không áp cho từng xe theo máu</t>
  </si>
  <si>
    <t xml:space="preserve">Ngưỡng chênh để đổi hành động (switch margin)</t>
  </si>
  <si>
    <t xml:space="preserve">Điểm hành động mới phải vượt hành động hiện tại bao nhiêu mới được đổi</t>
  </si>
  <si>
    <t xml:space="preserve">8 điểm (thang 0–100)</t>
  </si>
  <si>
    <t xml:space="preserve">4</t>
  </si>
  <si>
    <t xml:space="preserve">15</t>
  </si>
  <si>
    <t xml:space="preserve">Số lần đổi hành động mỗi phút của đội</t>
  </si>
  <si>
    <t xml:space="preserve">Thấp: đổi ý liên tục; cao: không phản ứng kịp</t>
  </si>
  <si>
    <t xml:space="preserve">Thời gian cam kết tối thiểu</t>
  </si>
  <si>
    <t xml:space="preserve">Thời gian tối thiểu giữ một hành động hoặc trạng thái trước khi được chấm điểm lại (trừ khẩn cấp)</t>
  </si>
  <si>
    <t xml:space="preserve">4 s</t>
  </si>
  <si>
    <t xml:space="preserve">2 s</t>
  </si>
  <si>
    <t xml:space="preserve">8 s</t>
  </si>
  <si>
    <t xml:space="preserve">Số lần đổi trạng thái mỗi phút; tỷ lệ hành động bị bỏ dở</t>
  </si>
  <si>
    <t xml:space="preserve">Như trên</t>
  </si>
  <si>
    <t xml:space="preserve">Thời gian đánh giá lại khi đứng yên</t>
  </si>
  <si>
    <t xml:space="preserve">Đứng yên không lý do bao lâu thì kích hoạt đánh giá lại (không bắt buộc di chuyển)</t>
  </si>
  <si>
    <t xml:space="preserve">5 s</t>
  </si>
  <si>
    <t xml:space="preserve">3 s</t>
  </si>
  <si>
    <t xml:space="preserve">10 s</t>
  </si>
  <si>
    <t xml:space="preserve">Tỷ lệ thời gian đứng yên không lý do</t>
  </si>
  <si>
    <t xml:space="preserve">Thời gian kẹt trước khi xử lý</t>
  </si>
  <si>
    <t xml:space="preserve">Không tiến được bao lâu khi đang có lệnh di chuyển thì kích hoạt xử lý kẹt</t>
  </si>
  <si>
    <t xml:space="preserve">Số lần kẹt mỗi phút, thời gian kẹt trung bình</t>
  </si>
  <si>
    <t xml:space="preserve">Hồi chiêu Emergency Reposition</t>
  </si>
  <si>
    <t xml:space="preserve">Mỗi đội dùng hành động khẩn cấp tối đa một lần trong khoảng này (trừ né vòng cảnh báo)</t>
  </si>
  <si>
    <t xml:space="preserve">25 s</t>
  </si>
  <si>
    <t xml:space="preserve">15 s</t>
  </si>
  <si>
    <t xml:space="preserve">40 s</t>
  </si>
  <si>
    <t xml:space="preserve">Số lần dùng khẩn cấp mỗi phút; chỉ số đổi quyết định</t>
  </si>
  <si>
    <t xml:space="preserve">Ngăn dùng khẩn cấp để lách luật cam kết</t>
  </si>
  <si>
    <t xml:space="preserve">Ngưỡng địch áp đảo</t>
  </si>
  <si>
    <t xml:space="preserve">Tỷ lệ sức mạnh địch / ta trong vùng để kích hoạt Emergency Reposition gom về đội bạn</t>
  </si>
  <si>
    <t xml:space="preserve">2,0</t>
  </si>
  <si>
    <t xml:space="preserve">3,0</t>
  </si>
  <si>
    <t xml:space="preserve">Số xe bị hạ khi bị áp đảo; số lần gom</t>
  </si>
  <si>
    <t xml:space="preserve">Tốc độ giảm độ tin cậy</t>
  </si>
  <si>
    <t xml:space="preserve">Độ tin cậy của thông tin về địch giảm bao nhiêu mỗi giây sau lần thấy cuối</t>
  </si>
  <si>
    <t xml:space="preserve">~6%/s (còn ~50% sau ~8 s)</t>
  </si>
  <si>
    <t xml:space="preserve">3%/s</t>
  </si>
  <si>
    <t xml:space="preserve">12%/s</t>
  </si>
  <si>
    <t xml:space="preserve">Số lần AI đánh vào nơi địch đã đi; số lần bị bất ngờ</t>
  </si>
  <si>
    <t xml:space="preserve">Theo độ khó: Cực khó giảm chậm hơn</t>
  </si>
  <si>
    <t xml:space="preserve">Khoảng cách dàn ra trước bắn lan</t>
  </si>
  <si>
    <t xml:space="preserve">Khoảng cách tối thiểu giữa hai xe trong đội khi có mối đe dọa bắn lan đã biết hoặc dự đoán</t>
  </si>
  <si>
    <t xml:space="preserve">Bằng lõi nổ của vũ khí mạnh nhất đã biết</t>
  </si>
  <si>
    <t xml:space="preserve">×0,5</t>
  </si>
  <si>
    <t xml:space="preserve">×2</t>
  </si>
  <si>
    <t xml:space="preserve">Số xe bị hạ bởi bắn lan mỗi phút; độ dàn trải đội</t>
  </si>
  <si>
    <t xml:space="preserve">Độ trễ phản ứng</t>
  </si>
  <si>
    <t xml:space="preserve">Thời gian từ khi thông tin xuất hiện tới khi AI phản ứng</t>
  </si>
  <si>
    <t xml:space="preserve">0,8 s (Thường)</t>
  </si>
  <si>
    <t xml:space="preserve">0,3 s (Cực khó)</t>
  </si>
  <si>
    <t xml:space="preserve">1,5 s (Dễ)</t>
  </si>
  <si>
    <t xml:space="preserve">Tỷ lệ né đòn có cảnh báo</t>
  </si>
  <si>
    <t xml:space="preserve">Theo độ khó</t>
  </si>
  <si>
    <t xml:space="preserve">Trọng số đánh sườn</t>
  </si>
  <si>
    <t xml:space="preserve">Mức ưu tiên hành động FLANK khi chấm điểm</t>
  </si>
  <si>
    <t xml:space="preserve">Theo chiến thuật</t>
  </si>
  <si>
    <t xml:space="preserve">Thấp</t>
  </si>
  <si>
    <t xml:space="preserve">Rất cao</t>
  </si>
  <si>
    <t xml:space="preserve">Tỷ lệ thời gian đánh sườn</t>
  </si>
  <si>
    <t xml:space="preserve">Trọng số dồn hỏa lực</t>
  </si>
  <si>
    <t xml:space="preserve">Mức ưu tiên bắn cùng mục tiêu trong đội</t>
  </si>
  <si>
    <t xml:space="preserve">Số mục tiêu đổi mỗi phút; thời gian hạ mục tiêu</t>
  </si>
  <si>
    <t xml:space="preserve">Gắn kết đội</t>
  </si>
  <si>
    <t xml:space="preserve">Xe nhanh có chờ xe chậm</t>
  </si>
  <si>
    <t xml:space="preserve">Có</t>
  </si>
  <si>
    <t xml:space="preserve">Không</t>
  </si>
  <si>
    <t xml:space="preserve">Vi phạm đội hình mỗi phút</t>
  </si>
  <si>
    <t xml:space="preserve">Chuẩn bị bằng pháo</t>
  </si>
  <si>
    <t xml:space="preserve">Số đợt pháo trước khi đội tiến</t>
  </si>
  <si>
    <t xml:space="preserve">0 (theo chiến thuật)</t>
  </si>
  <si>
    <t xml:space="preserve">0</t>
  </si>
  <si>
    <t xml:space="preserve">2</t>
  </si>
  <si>
    <t xml:space="preserve">Thời điểm đợt tấn công đầu tiên</t>
  </si>
  <si>
    <t xml:space="preserve">Ngưỡng đưa máy bay</t>
  </si>
  <si>
    <t xml:space="preserve">Mức phòng không địch (đã ước tính) tối đa để đưa cường kích vào</t>
  </si>
  <si>
    <t xml:space="preserve">Vừa</t>
  </si>
  <si>
    <t xml:space="preserve">Cao</t>
  </si>
  <si>
    <t xml:space="preserve">Số máy bay bị hạ mỗi lượt</t>
  </si>
  <si>
    <t xml:space="preserve">Giữ lửa</t>
  </si>
  <si>
    <t xml:space="preserve">Khoảng cách địch phải vào trước khi bắn (theo thế giữ lửa)</t>
  </si>
  <si>
    <t xml:space="preserve">0%</t>
  </si>
  <si>
    <t xml:space="preserve">60% tầm</t>
  </si>
  <si>
    <t xml:space="preserve">Tỷ lệ thời gian giữ lửa; sát thương phát đầu</t>
  </si>
  <si>
    <t xml:space="preserve">Phân bổ quân</t>
  </si>
  <si>
    <t xml:space="preserve">Tỷ lệ quân dồn vào hướng chính</t>
  </si>
  <si>
    <t xml:space="preserve">50%</t>
  </si>
  <si>
    <t xml:space="preserve">30%</t>
  </si>
  <si>
    <t xml:space="preserve">80%</t>
  </si>
  <si>
    <t xml:space="preserve">Độ tập trung lực lượng</t>
  </si>
  <si>
    <t xml:space="preserve">Chi tiêu CP</t>
  </si>
  <si>
    <t xml:space="preserve">Mua ngay hay để dành tới ngưỡng</t>
  </si>
  <si>
    <t xml:space="preserve">Mua ngay</t>
  </si>
  <si>
    <t xml:space="preserve">Để dành tới ngưỡng</t>
  </si>
  <si>
    <t xml:space="preserve">CP trung bình tích trữ</t>
  </si>
  <si>
    <t xml:space="preserve">Hồi chiêu đổi chiến thuật</t>
  </si>
  <si>
    <t xml:space="preserve">Thời gian chờ giữa hai lần đổi chiến thuật</t>
  </si>
  <si>
    <t xml:space="preserve">50 s</t>
  </si>
  <si>
    <t xml:space="preserve">45 s</t>
  </si>
  <si>
    <t xml:space="preserve">60 s</t>
  </si>
  <si>
    <t xml:space="preserve">Số lần đổi mỗi trận; tỷ lệ thắng sau khi đổi</t>
  </si>
  <si>
    <t xml:space="preserve">Thời gian chuyển tiếp chiến thuật</t>
  </si>
  <si>
    <t xml:space="preserve">Thời gian đội gom lại theo chiến thuật mới, không mở đợt tấn công mới</t>
  </si>
  <si>
    <t xml:space="preserve">Sát thương mất trong lúc chuyển</t>
  </si>
  <si>
    <t xml:space="preserve">Cái giá của việc đổi</t>
  </si>
  <si>
    <t xml:space="preserve">Trạng thái</t>
  </si>
  <si>
    <t xml:space="preserve">Vào khi</t>
  </si>
  <si>
    <t xml:space="preserve">Ra khi</t>
  </si>
  <si>
    <t xml:space="preserve">Hành động được phép</t>
  </si>
  <si>
    <t xml:space="preserve">Ưu tiên</t>
  </si>
  <si>
    <t xml:space="preserve">Cam kết tối thiểu</t>
  </si>
  <si>
    <t xml:space="preserve">TRAVEL</t>
  </si>
  <si>
    <t xml:space="preserve">Có mục tiêu ở xa, chưa có địch trong tầm nhìn đội</t>
  </si>
  <si>
    <t xml:space="preserve">Thấy địch hoặc tới gần mục tiêu</t>
  </si>
  <si>
    <t xml:space="preserve">Đi theo đường an toàn nhất, giữ đội hình di chuyển</t>
  </si>
  <si>
    <t xml:space="preserve">APPROACH</t>
  </si>
  <si>
    <t xml:space="preserve">Địch hoặc mục tiêu trong khoảng 1,5 lần tầm bắn</t>
  </si>
  <si>
    <t xml:space="preserve">Vào tầm bắn, hoặc mục tiêu đổi</t>
  </si>
  <si>
    <t xml:space="preserve">Tiến theo đội hình giao chiến, chọn vị trí bắn</t>
  </si>
  <si>
    <t xml:space="preserve">COMBAT</t>
  </si>
  <si>
    <t xml:space="preserve">Có địch trong tầm bắn</t>
  </si>
  <si>
    <t xml:space="preserve">Không còn địch trong tầm trong vài giây, hoặc hành động khác vượt ngưỡng chênh</t>
  </si>
  <si>
    <t xml:space="preserve">Bắn, dồn hỏa lực, đổi vị trí ngắn, dàn ra trước bắn lan</t>
  </si>
  <si>
    <t xml:space="preserve">OVERWATCH</t>
  </si>
  <si>
    <t xml:space="preserve">Chiến thuật hoặc nhiệm vụ yêu cầu yểm hộ (yểm hộ luân phiên, bảo vệ đội khác)</t>
  </si>
  <si>
    <t xml:space="preserve">Nhóm được yểm hộ tới vị trí hoặc gặp địch</t>
  </si>
  <si>
    <t xml:space="preserve">Dừng ở vị trí có tầm nhìn tốt, bắn mục tiêu đe dọa nhóm kia</t>
  </si>
  <si>
    <t xml:space="preserve">FLANK</t>
  </si>
  <si>
    <t xml:space="preserve">Tướng AI giao đánh sườn, có đường vòng hợp lệ</t>
  </si>
  <si>
    <t xml:space="preserve">Tới vị trí sườn (sang COMBAT), hoặc đường bị chặn</t>
  </si>
  <si>
    <t xml:space="preserve">Đi đường vòng tránh vùng đe dọa cao, rồi đánh hông và sau</t>
  </si>
  <si>
    <t xml:space="preserve">6 s</t>
  </si>
  <si>
    <t xml:space="preserve">HOLD</t>
  </si>
  <si>
    <t xml:space="preserve">Nhiệm vụ giữ điểm, phục kích, hoặc chờ đồng đội</t>
  </si>
  <si>
    <t xml:space="preserve">Có lệnh mới, hoặc địch vào gần (phục kích) </t>
  </si>
  <si>
    <t xml:space="preserve">Đứng ở vật che, giữ lửa theo thế giữ lửa</t>
  </si>
  <si>
    <t xml:space="preserve">REGROUP</t>
  </si>
  <si>
    <t xml:space="preserve">Đội bị tách quá xa, vừa đổi chiến thuật, hoặc sau Emergency Reposition</t>
  </si>
  <si>
    <t xml:space="preserve">Đội đã gom đủ trong bán kính</t>
  </si>
  <si>
    <t xml:space="preserve">Gom về điểm tập kết, không mở đợt tấn công mới</t>
  </si>
  <si>
    <t xml:space="preserve">Kích hoạt khi</t>
  </si>
  <si>
    <t xml:space="preserve">Làm gì</t>
  </si>
  <si>
    <t xml:space="preserve">Giới hạn</t>
  </si>
  <si>
    <t xml:space="preserve">Né vòng cảnh báo</t>
  </si>
  <si>
    <t xml:space="preserve">Vòng cảnh báo đạn pháo boss, đòn lớn, siêu vũ khí, đường lao nghiền đè lên xe của đội</t>
  </si>
  <si>
    <t xml:space="preserve">Chạy ra khỏi vùng theo hướng ngắn nhất; xong thì quay về đúng hành động và trạng thái cũ, không chấm điểm lại</t>
  </si>
  <si>
    <t xml:space="preserve">Không tính hồi chiêu; chỉ phụ thuộc độ trễ phản ứng</t>
  </si>
  <si>
    <t xml:space="preserve">Gom về đội bạn</t>
  </si>
  <si>
    <t xml:space="preserve">Sức mạnh địch / ta trong vùng vượt ngưỡng địch áp đảo, hoặc sự kiện THREAT mức cao</t>
  </si>
  <si>
    <t xml:space="preserve">Gom về đội bạn gần nhất trong vùng giao tranh; không rời trận, không về căn cứ; sau đó vào REGROUP</t>
  </si>
  <si>
    <t xml:space="preserve">Không có</t>
  </si>
  <si>
    <t xml:space="preserve">Đội gần bị tiêu diệt, xe thấp máu</t>
  </si>
  <si>
    <t xml:space="preserve">Không kích hoạt hành động khẩn cấp nào (không rút theo máu)</t>
  </si>
  <si>
    <t xml:space="preserve">Hành động</t>
  </si>
  <si>
    <t xml:space="preserve">Hợp lệ khi (lọc trước khi chấm điểm)</t>
  </si>
  <si>
    <t xml:space="preserve">Yếu tố cộng điểm</t>
  </si>
  <si>
    <t xml:space="preserve">Yếu tố trừ điểm</t>
  </si>
  <si>
    <t xml:space="preserve">ATTACK</t>
  </si>
  <si>
    <t xml:space="preserve">Có mục tiêu hoặc điểm trong tầm hành động của đội</t>
  </si>
  <si>
    <t xml:space="preserve">Sức mạnh ta &gt; địch đã ước tính; cửa sổ tấn công đang mở; mục tiêu giá trị; hợp chiến thuật</t>
  </si>
  <si>
    <t xml:space="preserve">Độ tin cậy thông tin thấp; mối đe dọa cao trên đường; đội chưa gom đủ</t>
  </si>
  <si>
    <t xml:space="preserve">Có điểm giữ hoặc vật che gần</t>
  </si>
  <si>
    <t xml:space="preserve">Nhiệm vụ giữ; phục kích; đang chờ đồng đội</t>
  </si>
  <si>
    <t xml:space="preserve">Đang mất điểm thắng; đứng trong vùng bắn lan</t>
  </si>
  <si>
    <t xml:space="preserve">FLANK_LEFT / FLANK_RIGHT</t>
  </si>
  <si>
    <t xml:space="preserve">Có đường vòng hợp lệ, không bị chặn, mối đe dọa trên đường dưới ngưỡng</t>
  </si>
  <si>
    <t xml:space="preserve">Sườn địch yếu; đội cơ động; chiến thuật ưa đánh sườn</t>
  </si>
  <si>
    <t xml:space="preserve">Rủi ro mất gắn kết; phát hiện quân dự bị địch ở hướng đó</t>
  </si>
  <si>
    <t xml:space="preserve">Có vị trí nhìn bao quát hướng đội khác đang tiến</t>
  </si>
  <si>
    <t xml:space="preserve">Đội bạn đang tiến qua vùng chưa rõ; yểm hộ luân phiên</t>
  </si>
  <si>
    <t xml:space="preserve">Không có đội bạn nào cần yểm hộ</t>
  </si>
  <si>
    <t xml:space="preserve">REPOSITION</t>
  </si>
  <si>
    <t xml:space="preserve">Có vị trí tốt hơn trong bán kính ngắn</t>
  </si>
  <si>
    <t xml:space="preserve">Đang bị bắn lan; vị trí hiện tại lộ; có vật che tốt hơn</t>
  </si>
  <si>
    <t xml:space="preserve">Đang dồn hỏa lực có hiệu quả</t>
  </si>
  <si>
    <t xml:space="preserve">SUPPORT</t>
  </si>
  <si>
    <t xml:space="preserve">Có đội bạn gần đang giao tranh bất lợi</t>
  </si>
  <si>
    <t xml:space="preserve">Đội bạn sắp mất điểm; ta đang rảnh</t>
  </si>
  <si>
    <t xml:space="preserve">Rời nhiệm vụ chính</t>
  </si>
  <si>
    <t xml:space="preserve">JOIN</t>
  </si>
  <si>
    <t xml:space="preserve">Đội quá nhỏ hoặc có xe lẻ gần đội khác cùng vai trò</t>
  </si>
  <si>
    <t xml:space="preserve">Đội dưới số xe tối thiểu</t>
  </si>
  <si>
    <t xml:space="preserve">Đội bị tách quá xa</t>
  </si>
  <si>
    <t xml:space="preserve">Đội phân tán; vừa đổi chiến thuật</t>
  </si>
  <si>
    <t xml:space="preserve">Đang có cửa sổ tấn công</t>
  </si>
  <si>
    <t xml:space="preserve">Ví dụ</t>
  </si>
  <si>
    <t xml:space="preserve">Trường bắt buộc</t>
  </si>
  <si>
    <t xml:space="preserve">THREAT</t>
  </si>
  <si>
    <t xml:space="preserve">Mối đe dọa với đội hoặc mục tiêu của ta</t>
  </si>
  <si>
    <t xml:space="preserve">Bầy drone đang tới; pháo địch phủ vùng tập kết; boss sắp dùng siêu vũ khí</t>
  </si>
  <si>
    <t xml:space="preserve">Lý do, mức ưu tiên, độ tin cậy, hạn dùng, vùng</t>
  </si>
  <si>
    <t xml:space="preserve">OPPORTUNITY</t>
  </si>
  <si>
    <t xml:space="preserve">Cơ hội đánh mục tiêu giá trị</t>
  </si>
  <si>
    <t xml:space="preserve">Pháo binh địch vừa khai hỏa; xe hỗ trợ đứng lẻ; phòng không địch vừa dời đi</t>
  </si>
  <si>
    <t xml:space="preserve">WINDOW</t>
  </si>
  <si>
    <t xml:space="preserve">Khoảng thời gian có lợi tạm thời</t>
  </si>
  <si>
    <t xml:space="preserve">Địch vừa dùng siêu vũ khí; địch đang nạp đạn; vừa phá được tháp lớn</t>
  </si>
  <si>
    <t xml:space="preserve">Như trên, kèm thời điểm hết</t>
  </si>
  <si>
    <t xml:space="preserve">MISMATCH</t>
  </si>
  <si>
    <t xml:space="preserve">Thành phần quân ta không hợp đối thủ</t>
  </si>
  <si>
    <t xml:space="preserve">Thiếu phòng không khi địch nhiều máy bay; thiếu chống tăng khi địch nhiều xe tăng</t>
  </si>
  <si>
    <t xml:space="preserve">Như trên, kèm nhóm quân cần mua</t>
  </si>
  <si>
    <t xml:space="preserve">OBJECTIVE_PRESSURE</t>
  </si>
  <si>
    <t xml:space="preserve">Áp lực lên mục tiêu của trận</t>
  </si>
  <si>
    <t xml:space="preserve">Đang mất cứ điểm; điểm thắng tụt; cứ điểm tăng giá trị (leo thang)</t>
  </si>
  <si>
    <t xml:space="preserve">Chế độ</t>
  </si>
  <si>
    <t xml:space="preserve">Dùng ở trạng thái</t>
  </si>
  <si>
    <t xml:space="preserve">Di chuyển theo đội hình hàng dọc hoặc cụm gọn, xe giáp dày đi đầu</t>
  </si>
  <si>
    <t xml:space="preserve">TRAVEL, APPROACH</t>
  </si>
  <si>
    <t xml:space="preserve">COMBAT / SPREAD</t>
  </si>
  <si>
    <t xml:space="preserve">Dàn ngang về hướng địch; khi có mối đe dọa bắn lan (đã biết hoặc dự đoán) thì dàn rộng theo tham số khoảng cách</t>
  </si>
  <si>
    <t xml:space="preserve">HOLD / AMBUSH</t>
  </si>
  <si>
    <t xml:space="preserve">Mỗi xe đứng ở một vật che, quay mặt trước về hướng địch dự đoán</t>
  </si>
  <si>
    <t xml:space="preserve">HOLD, OVERWATCH</t>
  </si>
  <si>
    <t xml:space="preserve">Hàng dọc nhanh theo đường vòng, xe cơ động đi đầu</t>
  </si>
  <si>
    <t xml:space="preserve">Gom quanh điểm tập kết</t>
  </si>
  <si>
    <t xml:space="preserve">Boss chủ lực</t>
  </si>
  <si>
    <t xml:space="preserve">Kiểu hành vi</t>
  </si>
  <si>
    <t xml:space="preserve">Cách thể hiện</t>
  </si>
  <si>
    <t xml:space="preserve">Bastion</t>
  </si>
  <si>
    <t xml:space="preserve">Area Denial</t>
  </si>
  <si>
    <t xml:space="preserve">Cối và pháo nổ mạnh phủ vùng trước lô cốt; phạt đội đứng yên</t>
  </si>
  <si>
    <t xml:space="preserve">Behemoth</t>
  </si>
  <si>
    <t xml:space="preserve">Anti-Blob, Flank Punishment</t>
  </si>
  <si>
    <t xml:space="preserve">Pháo chính nổ mạnh vào cụm; quay chậm nhưng có pháo hông</t>
  </si>
  <si>
    <t xml:space="preserve">Jötunn</t>
  </si>
  <si>
    <t xml:space="preserve">Anti-Artillery, Area Denial</t>
  </si>
  <si>
    <t xml:space="preserve">Pháo 203 mm ưu tiên pháo binh ta và cụm đứng yên</t>
  </si>
  <si>
    <t xml:space="preserve">Leviathan</t>
  </si>
  <si>
    <t xml:space="preserve">Area Denial, Anti-Air</t>
  </si>
  <si>
    <t xml:space="preserve">Pháo chính rải dải; phòng không mạnh</t>
  </si>
  <si>
    <t xml:space="preserve">Matriarch</t>
  </si>
  <si>
    <t xml:space="preserve">Anti-Blob</t>
  </si>
  <si>
    <t xml:space="preserve">Bầy drone đánh cụm</t>
  </si>
  <si>
    <t xml:space="preserve">Moloch</t>
  </si>
  <si>
    <t xml:space="preserve">Core Protection, Flank Punishment</t>
  </si>
  <si>
    <t xml:space="preserve">Cửa xưởng có vòng nổ; tháp đổi đạn chống xe đánh sườn</t>
  </si>
  <si>
    <t xml:space="preserve">Nemesis</t>
  </si>
  <si>
    <t xml:space="preserve">Rải dọc đường ray; tên lửa Tận thế đánh căn cứ</t>
  </si>
  <si>
    <t xml:space="preserve">Kronos</t>
  </si>
  <si>
    <t xml:space="preserve">Flank Punishment, Area Denial</t>
  </si>
  <si>
    <t xml:space="preserve">Bánh gầu phía trước, đá văng và vòng nổ phạt xe áp sát</t>
  </si>
  <si>
    <t xml:space="preserve">Typhon</t>
  </si>
  <si>
    <t xml:space="preserve">Anti-Artillery, Anti-Air</t>
  </si>
  <si>
    <t xml:space="preserve">Tên lửa nhắm pháo binh và căn cứ; Buk khi nổi</t>
  </si>
  <si>
    <t xml:space="preserve">Roc</t>
  </si>
  <si>
    <t xml:space="preserve">Anti-Air, Anti-Blob</t>
  </si>
  <si>
    <t xml:space="preserve">Phòng không mạnh; bom rải dải vào đội hình</t>
  </si>
  <si>
    <t xml:space="preserve">Daedalus</t>
  </si>
  <si>
    <t xml:space="preserve">Khoang đổ bộ rơi vào cụm, làm choáng</t>
  </si>
  <si>
    <t xml:space="preserve">Icarus</t>
  </si>
  <si>
    <t xml:space="preserve">Anti-Blob, Core Protection</t>
  </si>
  <si>
    <t xml:space="preserve">Coilgun xuyên hàng xe; laser bảo vệ lõi khi bộ phận bị dồn bắn</t>
  </si>
  <si>
    <t xml:space="preserve">Chỉ số</t>
  </si>
  <si>
    <t xml:space="preserve">Định nghĩa</t>
  </si>
  <si>
    <t xml:space="preserve">Khoảng cách giao chiến trung bình</t>
  </si>
  <si>
    <t xml:space="preserve">Khoảng cách trung bình từ xe ta tới mục tiêu khi bắn, so với tầm tối đa</t>
  </si>
  <si>
    <t xml:space="preserve">Độ dàn trải đội</t>
  </si>
  <si>
    <t xml:space="preserve">Khoảng cách trung bình giữa các xe trong đội khi giao chiến</t>
  </si>
  <si>
    <t xml:space="preserve">Tỷ lệ thời gian các đội ở trạng thái FLANK</t>
  </si>
  <si>
    <t xml:space="preserve">Tỷ lệ CP cho pháo binh và cho máy bay</t>
  </si>
  <si>
    <t xml:space="preserve">Theo CP đã chi</t>
  </si>
  <si>
    <t xml:space="preserve">Giây kể từ đầu trận</t>
  </si>
  <si>
    <t xml:space="preserve">Tỷ lệ thời gian giữ lửa</t>
  </si>
  <si>
    <t xml:space="preserve">Tỷ lệ thời gian đội ở thế Giữ lửa hoặc HOLD có địch trong tầm</t>
  </si>
  <si>
    <t xml:space="preserve">Tỷ lệ quân ở hướng chính</t>
  </si>
  <si>
    <t xml:space="preserve">Luật gộp</t>
  </si>
  <si>
    <t xml:space="preserve">Đo cả 7 chỉ số cho mỗi chiến thuật qua mô phỏng 5 seed, chuẩn hóa về 0–1. Hai chiến thuật có khoảng cách dấu vân dưới ngưỡng (khởi điểm 0,15) thì đề xuất gộp. Kiểm tra trước các cặp: Tổng tấn công và Tập trung đột phá; Ưu thế trên không và Chế áp phòng không trước; Phân tán và Bắn và chạy. Mục tiêu khoảng 12–14 chiến thuật khác nhau rõ.</t>
  </si>
  <si>
    <t xml:space="preserve">Chất lượng AI</t>
  </si>
  <si>
    <t xml:space="preserve">Tỷ lệ thời gian đứng yên không lý do; số lần kẹt và thời gian kẹt; số lần đổi quyết định, đổi hành động, đổi mục tiêu, đổi trạng thái đội mỗi phút; số xe bị hạ bởi bắn lan; số lần lao vào chỗ chết; tỷ lệ né đòn có cảnh báo; số lần vi phạm đội hình</t>
  </si>
  <si>
    <t xml:space="preserve">Gameplay</t>
  </si>
  <si>
    <t xml:space="preserve">Tỷ lệ thời gian có giao tranh; số quân trung bình; tỷ lệ thời gian chạm trần quân; thời lượng trận; tỷ lệ lật ngược thế trận; mức tranh chấp cứ điểm; tỷ lệ thiếu thu nhập (income starvation)</t>
  </si>
  <si>
    <t xml:space="preserve">Đa dạng chiến thuật</t>
  </si>
  <si>
    <t xml:space="preserve">Dấu vân hành vi của từng chiến thuật; khoảng cách giữa các cặp</t>
  </si>
  <si>
    <t xml:space="preserve">Hiệu năng</t>
  </si>
  <si>
    <t xml:space="preserve">Thời gian tick AI trung bình, p95, p99, tệ nhất; thời gian CPU theo từng tầng</t>
  </si>
  <si>
    <t xml:space="preserve">Hồi quy</t>
  </si>
  <si>
    <t xml:space="preserve">So AI mới với AI cũ (chỉ là phép đo phụ)</t>
  </si>
  <si>
    <t xml:space="preserve">Chọn trước trận</t>
  </si>
  <si>
    <t xml:space="preserve">Chọn 1 chiến thuật ở màn chuẩn bị, cạnh bộ bài và chỉ huy. Hiện mạnh khi, yếu khi, và các tham số thay đổi.</t>
  </si>
  <si>
    <t xml:space="preserve">Đổi giữa trận</t>
  </si>
  <si>
    <t xml:space="preserve">Đổi được trong trận, hồi chiêu khởi điểm 50 s (mô phỏng chọn trong 45–60 s), không tốn CP. Cái giá: 5 s chuyển tiếp (đội gom lại theo đội hình mới, không mở đợt tấn công mới); đội đang tấn công mất nhịp và phải REGROUP trước khi tiến tiếp; tỷ lệ mua mới chỉ áp cho lần mua sau. Tham khảo: Hearts of Iron IV chọn lại chiến thuật theo từng giai đoạn trận.</t>
  </si>
  <si>
    <t xml:space="preserve">Theo đội (mở sau)</t>
  </si>
  <si>
    <t xml:space="preserve">Mở sau chương 6: gán chiến thuật riêng cho từng đội (ví dụ đội tăng Tập trung đột phá, đội pháo Tiêu hao). Tham khảo: Command: Modern Operations cho đặt học thuyết theo phe, nhiệm vụ, nhóm hoặc từng đơn vị và kế thừa từ cấp trên.</t>
  </si>
  <si>
    <t xml:space="preserve">Thế giữ lửa cho đội</t>
  </si>
  <si>
    <t xml:space="preserve">Ba thế: Bắn tự do / Chỉ bắn mục tiêu xác nhận / Giữ lửa (chỉ bắn khi bị bắn hoặc địch vào gần). Tham khảo: thế FREE / TIGHT / HOLD trong Command: Modern Operations.</t>
  </si>
  <si>
    <t xml:space="preserve">Tướng địch</t>
  </si>
  <si>
    <t xml:space="preserve">Mỗi tướng có chiến thuật ưa thích theo cá tính (Varga: Tập trung đột phá; Orlov: Hỏa lực áp đảo; Kessler: Tiêu hao; Venn: Phân tán với bầy drone; Wolff: Ưu thế trên không; Thorne: Cân bằng như Kade; Aurel: Tổng tấn công) và đổi chiến thuật theo pha trận.</t>
  </si>
  <si>
    <t xml:space="preserve">Thông tin về chiến thuật địch</t>
  </si>
  <si>
    <t xml:space="preserve">Briefing cho biết chiến thuật ưa thích của tướng. Trong trận, chiến thuật hiện tại của địch chỉ lộ khi trinh sát hoặc UAV soi được đội địch. AI địch cũng chỉ biết chiến thuật của người chơi theo cách đó, không gian lận.</t>
  </si>
  <si>
    <t xml:space="preserve">Khắc chế</t>
  </si>
  <si>
    <t xml:space="preserve">Mỗi chiến thuật có chiến thuật khắc chế và bị khắc chế (bảng Chiến thuật), nhưng khắc chế đến từ hành vi AI, không phải cộng chỉ số. Hiệu ứng chỉ số trực tiếp (nếu có) tối đa ±5% và tính vào trần chỉ số của cả bộ.</t>
  </si>
  <si>
    <t xml:space="preserve">Cân bằng, Phòng thủ chiều sâu và Bảo vệ căn cứ có từ chương 1; các chiến thuật khác mở theo chương (bảng Chiến thuật); mỗi chiến thuật có hướng dẫn ngắn khi mở.</t>
  </si>
  <si>
    <t xml:space="preserve">Mỗi chỉ huy gợi ý 1–2 chiến thuật hợp với điểm mạnh của mình; không bắt buộc.</t>
  </si>
  <si>
    <t xml:space="preserve">Đo tỷ lệ thắng của mọi cặp chiến thuật × kiểu bộ bài × chỉ huy qua mô phỏng 5 seed; không chiến thuật nào tốt nhất ở mọi trận; mỗi chiến thuật có ít nhất một chế độ hoặc kiểu trận mà nó là lựa chọn tốt nhất.</t>
  </si>
  <si>
    <t xml:space="preserve">Tự mua và Yểm trợ</t>
  </si>
  <si>
    <t xml:space="preserve">Khi bật, AI phe người chơi đánh theo chiến thuật người chơi đã chọn.</t>
  </si>
  <si>
    <t xml:space="preserve">Không có luật xe tự rút về sửa khi thấp máu, ở mọi chiến thuật. Xe đánh tới khi bị hạ; chỉ đổi vị trí ngắn trong trận (vật che, ra khỏi khói, bắn rồi chạy của pháo). Máy bay về nạp theo hệ đạn, không theo máu. Trạm sửa và công binh vẫn sửa xe đang đứng trong tầm của chúng. Lý do: tránh số quân hai bên tích lũy quá nhiều và trận đứng yên.</t>
  </si>
  <si>
    <t xml:space="preserve">Sa bàn</t>
  </si>
  <si>
    <t xml:space="preserve">Cho chọn chiến thuật cho cả hai phe để thử cặp khắc chế.</t>
  </si>
  <si>
    <t xml:space="preserve">Tỷ lệ lực lượng</t>
  </si>
  <si>
    <t xml:space="preserve">Mỗi chiến thuật có tỷ lệ mục tiêu theo CP đã chi cho 8 nhóm (sheet Chiến thuật). Tỷ lệ tính theo CP, không theo số xe, để một chiếc tăng nặng không bị tính bằng một chiếc xe trinh sát.</t>
  </si>
  <si>
    <t xml:space="preserve">Tỷ lệ là mục tiêu mềm</t>
  </si>
  <si>
    <t xml:space="preserve">AI mua quân chọn xe sao cho tỷ lệ thực tế tiến gần tỷ lệ mục tiêu. AI khắc chế được dời mỗi nhóm tối đa ±15 điểm phần trăm khi thấy đối thủ (ví dụ địch nhiều máy bay thì phòng không tăng dù chiến thuật là Tập trung đột phá).</t>
  </si>
  <si>
    <t xml:space="preserve">Bộ bài thiếu nhóm</t>
  </si>
  <si>
    <t xml:space="preserve">Nếu bộ bài không có xe của một nhóm, phần trăm của nhóm đó chia lại cho các nhóm còn lại theo tỷ lệ của chúng.</t>
  </si>
  <si>
    <t xml:space="preserve">Trong mỗi nhóm, AI ưu tiên các xe ghi ở cột Ưu tiên mua nếu có trong bộ bài; không có thì dùng xe khác cùng nhóm.</t>
  </si>
  <si>
    <t xml:space="preserve">Kỹ thuật</t>
  </si>
  <si>
    <t xml:space="preserve">Cách dùng trong game</t>
  </si>
  <si>
    <t xml:space="preserve">Game đã dùng</t>
  </si>
  <si>
    <t xml:space="preserve">AI nhiều tầng</t>
  </si>
  <si>
    <t xml:space="preserve">Tầng chiến lược (tướng AI), tầng đội, tầng đơn vị; mỗi tầng chạy ở tần suất khác nhau để tiết kiệm tính toán.</t>
  </si>
  <si>
    <t xml:space="preserve">Phổ biến trong RTS; Supreme Commander, Company of Heroes</t>
  </si>
  <si>
    <t xml:space="preserve">Bảng thông tin chung (blackboard) và bản đồ ảnh hưởng</t>
  </si>
  <si>
    <t xml:space="preserve">Lưới ô ghi sức mạnh, mối đe dọa theo loại, tiền tuyến, điểm nghẽn; tướng AI và đội đọc chung.</t>
  </si>
  <si>
    <t xml:space="preserve">Age of Empires, Killzone, nhiều RTS</t>
  </si>
  <si>
    <t xml:space="preserve">Flow field</t>
  </si>
  <si>
    <t xml:space="preserve">Tính một trường hướng đi cho cả đám quân về cùng một đích, thay vì tìm đường riêng cho từng xe; giảm kẹt ở lối hẹp.</t>
  </si>
  <si>
    <t xml:space="preserve">Supreme Commander 2, Planetary Annihilation</t>
  </si>
  <si>
    <t xml:space="preserve">Tránh va chạm cục bộ (RVO/ORCA)</t>
  </si>
  <si>
    <t xml:space="preserve">Mỗi xe tự né xe bên cạnh theo vận tốc, giữ đội hình không đẩy nhau.</t>
  </si>
  <si>
    <t xml:space="preserve">Nhiều RTS hiện đại</t>
  </si>
  <si>
    <t xml:space="preserve">Utility AI</t>
  </si>
  <si>
    <t xml:space="preserve">Mỗi quyết định có điểm theo nhiều yếu tố (khoảng cách, mối đe dọa, giá trị mục tiêu, máu); chọn hành động điểm cao nhất. Dễ chỉnh bằng tham số chiến thuật.</t>
  </si>
  <si>
    <t xml:space="preserve">The Sims, Guild Wars 2</t>
  </si>
  <si>
    <t xml:space="preserve">Cây hành vi (behavior tree)</t>
  </si>
  <si>
    <t xml:space="preserve">Dùng cho hành vi chi tiết của từng đơn vị và boss (né cảnh báo, đổi vị trí, nạp đạn).</t>
  </si>
  <si>
    <t xml:space="preserve">Halo 2 trở đi, Unreal</t>
  </si>
  <si>
    <t xml:space="preserve">AI Director (điều nhịp)</t>
  </si>
  <si>
    <t xml:space="preserve">Theo dõi nhịp trận để điều viện quân và sự kiện (đã có hệ sự kiện ở prompt 23); không đổi chỉ số giữa trận.</t>
  </si>
  <si>
    <t xml:space="preserve">Left 4 Dead</t>
  </si>
  <si>
    <t xml:space="preserve">Học thuyết kế thừa</t>
  </si>
  <si>
    <t xml:space="preserve">Tham số đặt ở cấp phe, ghi đè ở cấp đội hoặc đơn vị; dùng cho hệ chiến thuật theo đội.</t>
  </si>
  <si>
    <t xml:space="preserve">Cân bằng kinh tế trong trận</t>
  </si>
  <si>
    <t xml:space="preserve">Mục tiêu: số quân hai bên không tích lũy quá nhiều, trận không đứng yên, mọi chiến thuật vẫn phải giao chiến. Các ô màu vàng là tham số sửa được; các ô còn lại tính bằng công thức.</t>
  </si>
  <si>
    <t xml:space="preserve">Giá trị</t>
  </si>
  <si>
    <t xml:space="preserve">Ghi chú</t>
  </si>
  <si>
    <t xml:space="preserve">Thu nhập CP gốc mỗi giây</t>
  </si>
  <si>
    <t xml:space="preserve">Thu nhập khi chưa có cứ điểm</t>
  </si>
  <si>
    <t xml:space="preserve">Thêm mỗi cứ điểm giữ được (CP/giây)</t>
  </si>
  <si>
    <t xml:space="preserve">Như hiện tại; chỉnh theo dữ liệu game</t>
  </si>
  <si>
    <t xml:space="preserve">Trần quân mặt đất mỗi phe</t>
  </si>
  <si>
    <t xml:space="preserve">Không chiến thuật nào được nới</t>
  </si>
  <si>
    <t xml:space="preserve">Trần máy bay mỗi phe</t>
  </si>
  <si>
    <t xml:space="preserve">Trần CP tích trữ</t>
  </si>
  <si>
    <t xml:space="preserve">Chỉ huy Vault: 45</t>
  </si>
  <si>
    <t xml:space="preserve">Ngưỡng tấn công của tướng AI (mặc định)</t>
  </si>
  <si>
    <t xml:space="preserve">Tỷ lệ sức mạnh ta / địch tối thiểu</t>
  </si>
  <si>
    <t xml:space="preserve">Ngưỡng tấn công thấp nhất khi "dùng hoặc mất"</t>
  </si>
  <si>
    <t xml:space="preserve">Khi đã chạm trần quân và CP đầy</t>
  </si>
  <si>
    <t xml:space="preserve">Thời gian giảm ngưỡng (giây)</t>
  </si>
  <si>
    <t xml:space="preserve">Từ ngưỡng mặc định xuống ngưỡng thấp nhất</t>
  </si>
  <si>
    <t xml:space="preserve">Mốc bậc 1 của áp lực tăng dần (giây)</t>
  </si>
  <si>
    <t xml:space="preserve">Các bậc sau: khoảng 50, 70, 90 s (bảng luật bên dưới)</t>
  </si>
  <si>
    <t xml:space="preserve">Số quân so với trần</t>
  </si>
  <si>
    <t xml:space="preserve">Từ (%)</t>
  </si>
  <si>
    <t xml:space="preserve">Đến (%)</t>
  </si>
  <si>
    <t xml:space="preserve">Hệ số thu nhập</t>
  </si>
  <si>
    <t xml:space="preserve">Ít quân</t>
  </si>
  <si>
    <t xml:space="preserve">Thu nhập đầy đủ</t>
  </si>
  <si>
    <t xml:space="preserve">Bắt đầu giảm nhẹ (thử 0,85–1,0)</t>
  </si>
  <si>
    <t xml:space="preserve">Đông</t>
  </si>
  <si>
    <t xml:space="preserve">Khởi điểm 0,80, chỉ là giá trị đầu; mô phỏng thử 0,65–0,95 và đo vòng lặp nhiều quân → ít thu nhập → quân chết → thu nhập tăng</t>
  </si>
  <si>
    <t xml:space="preserve">Số xe đang có</t>
  </si>
  <si>
    <t xml:space="preserve">Cứ điểm giữ</t>
  </si>
  <si>
    <t xml:space="preserve">% trần</t>
  </si>
  <si>
    <t xml:space="preserve">Thu nhập CP/giây</t>
  </si>
  <si>
    <t xml:space="preserve">Đầu trận</t>
  </si>
  <si>
    <t xml:space="preserve">Công thức: (thu nhập gốc + cứ điểm × thêm mỗi cứ điểm) × hệ số theo số quân</t>
  </si>
  <si>
    <t xml:space="preserve">Giữa trận, vừa quân</t>
  </si>
  <si>
    <t xml:space="preserve">Gần trần</t>
  </si>
  <si>
    <t xml:space="preserve">Chạm trần, giữ 3 cứ điểm</t>
  </si>
  <si>
    <t xml:space="preserve">Luật</t>
  </si>
  <si>
    <t xml:space="preserve">Xe đánh tới khi bị hạ; không về sửa khi thấp máu. Máy bay về nạp theo hệ đạn, không theo máu.</t>
  </si>
  <si>
    <t xml:space="preserve">Dùng hoặc mất</t>
  </si>
  <si>
    <t xml:space="preserve">Khi chạm trần quân và CP đầy, ngưỡng tấn công của tướng AI giảm dần tới ngưỡng thấp nhất; áp cho mọi chiến thuật.</t>
  </si>
  <si>
    <t xml:space="preserve">Điểm thắng</t>
  </si>
  <si>
    <t xml:space="preserve">Ở các chế độ có cứ điểm, bên giữ nhiều cứ điểm hơn làm điểm của bên kia tụt dần (kiểu Company of Heroes).</t>
  </si>
  <si>
    <t xml:space="preserve">Áp lực tăng dần khi trận đứng yên</t>
  </si>
  <si>
    <t xml:space="preserve">Bậc 1 (khoảng 30 s không giao tranh lớn): cứ điểm tăng giá trị. Bậc 2 (khoảng 50 s): kho chiến lợi phẩm hoặc phần thưởng xuất hiện ở vùng giữa. Bậc 3 (khoảng 70 s): áp lực bản đồ tăng (pháo kích vào vùng bên thụ động). Bậc 4 (khoảng 90 s): sự kiện ép đánh, chỉ là bậc cuối. Có giao tranh lớn thì quay về bậc 0. Các mốc là khởi điểm để mô phỏng.</t>
  </si>
  <si>
    <t xml:space="preserve">Pha cuối</t>
  </si>
  <si>
    <t xml:space="preserve">Chế độ giao tranh có pha cuối (ví dụ 2 phút cuối, điểm từ cứ điểm ×2) để trận luôn kết thúc.</t>
  </si>
  <si>
    <t xml:space="preserve">Cái giá của chiến thuật thủ</t>
  </si>
  <si>
    <t xml:space="preserve">Tiêu hao, Phòng thủ chiều sâu, Bảo vệ căn cứ giữ ít cứ điểm hơn, nên thu nhập và điểm thấp hơn; Bắn và chạy giảm độ chính xác khi bắn lúc đang lùi; Phân tán không dồn hỏa lực được.</t>
  </si>
  <si>
    <t xml:space="preserve">Mục tiêu</t>
  </si>
  <si>
    <t xml:space="preserve">Cách xử lý khi lệch</t>
  </si>
  <si>
    <t xml:space="preserve">Số quân trung bình còn sống mỗi phe</t>
  </si>
  <si>
    <t xml:space="preserve">60–80% trần</t>
  </si>
  <si>
    <t xml:space="preserve">Nếu cao hơn: tăng phí duy trì ở mức Đông hoặc giảm thời gian "dùng hoặc mất"</t>
  </si>
  <si>
    <t xml:space="preserve">Tỷ lệ thời gian chạm trần quân</t>
  </si>
  <si>
    <t xml:space="preserve">&lt; 30%</t>
  </si>
  <si>
    <t xml:space="preserve">Tỷ lệ thời gian có giao tranh</t>
  </si>
  <si>
    <t xml:space="preserve">&gt; 60% thời lượng trận</t>
  </si>
  <si>
    <t xml:space="preserve">Nếu thấp hơn: rút ngắn các mốc của áp lực tăng dần</t>
  </si>
  <si>
    <t xml:space="preserve">Tỷ lệ thiếu thu nhập và lật ngược thế trận</t>
  </si>
  <si>
    <t xml:space="preserve">Bên thua vẫn có cơ hội lật ngược; không bên nào bị thiếu CP kéo dài</t>
  </si>
  <si>
    <t xml:space="preserve">Nếu bên đông quân bị kẹt CP quá lâu: nâng hệ số ở mức Đông</t>
  </si>
  <si>
    <t xml:space="preserve">Thời lượng trận theo chế độ</t>
  </si>
  <si>
    <t xml:space="preserve">Trong mục tiêu của từng chế độ</t>
  </si>
  <si>
    <t xml:space="preserve">Chỉnh điểm thắng và pha cuối</t>
  </si>
  <si>
    <t xml:space="preserve">Số xe bị hạ mỗi phút mỗi phe</t>
  </si>
  <si>
    <t xml:space="preserve">Không quá thấp ở mọi cặp chiến thuật</t>
  </si>
  <si>
    <t xml:space="preserve">Cặp nào thấp: tăng cái giá của chiến thuật thủ trong cặp đó</t>
  </si>
  <si>
    <t xml:space="preserve">FPS ở trần quân</t>
  </si>
  <si>
    <t xml:space="preserve">Trong ngân sách trên máy tầm thấp</t>
  </si>
  <si>
    <t xml:space="preserve">Giảm chi tiết hiệu ứng trước, không nới trần</t>
  </si>
  <si>
    <t xml:space="preserve">Link</t>
  </si>
  <si>
    <t xml:space="preserve">Ý chính</t>
  </si>
  <si>
    <t xml:space="preserve">Hearts of Iron IV · Combat tactics</t>
  </si>
  <si>
    <t xml:space="preserve">https://hoi4.paradoxwikis.com/Combat_tactics</t>
  </si>
  <si>
    <t xml:space="preserve">Chiến thuật được chọn lại định kỳ cho chỉ huy mỗi bên, chia theo giai đoạn trận, có bảng khắc chế lẫn nhau</t>
  </si>
  <si>
    <t xml:space="preserve">Hearts of Iron IV · Land doctrine</t>
  </si>
  <si>
    <t xml:space="preserve">https://hoi4.paradoxwikis.com/Land_doctrine</t>
  </si>
  <si>
    <t xml:space="preserve">Bốn học thuyết lớn (Mobile Warfare, Superior Firepower, Grand Battleplan, Mass Assault), mỗi học thuyết mở chiến thuật riêng</t>
  </si>
  <si>
    <t xml:space="preserve">Command: Modern Operations · Weapon Release Authorization</t>
  </si>
  <si>
    <t xml:space="preserve">https://command.matrixgames.com/?p=3598</t>
  </si>
  <si>
    <t xml:space="preserve">Thế FREE / TIGHT / HOLD và giới hạn vũ khí theo loại mục tiêu; đặt theo phe, nhiệm vụ, nhóm, đơn vị và kế thừa</t>
  </si>
  <si>
    <t xml:space="preserve">https://en.wikipedia.org/wiki/Bounding_overwatch</t>
  </si>
  <si>
    <t xml:space="preserve">Yểm hộ luân phiên: một nhóm dừng yểm hộ, nhóm kia tiến, đổi vai liên tục</t>
  </si>
  <si>
    <t xml:space="preserve">Steel Beasts wiki · Tactics</t>
  </si>
  <si>
    <t xml:space="preserve">https://www.steelbeasts.com/sbwiki/index.php/Tactics</t>
  </si>
  <si>
    <t xml:space="preserve">Tầm giao chiến thông thường của xe tăng 2.000–2.500 m; yểm hộ luân phiên ở cấp trung đội</t>
  </si>
</sst>
</file>

<file path=xl/styles.xml><?xml version="1.0" encoding="utf-8"?>
<styleSheet xmlns="http://schemas.openxmlformats.org/spreadsheetml/2006/main">
  <numFmts count="4">
    <numFmt numFmtId="164" formatCode="General"/>
    <numFmt numFmtId="165" formatCode="General"/>
    <numFmt numFmtId="166" formatCode="0%"/>
    <numFmt numFmtId="167" formatCode="0.00"/>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u val="single"/>
      <sz val="10"/>
      <color rgb="FF1F5F8B"/>
      <name val="Arial"/>
      <family val="0"/>
      <charset val="1"/>
    </font>
    <font>
      <sz val="9"/>
      <name val="Arial"/>
      <family val="0"/>
      <charset val="1"/>
    </font>
    <font>
      <b val="true"/>
      <sz val="9"/>
      <name val="Arial"/>
      <family val="0"/>
      <charset val="1"/>
    </font>
    <font>
      <b val="true"/>
      <sz val="12"/>
      <name val="Arial"/>
      <family val="0"/>
      <charset val="1"/>
    </font>
  </fonts>
  <fills count="5">
    <fill>
      <patternFill patternType="none"/>
    </fill>
    <fill>
      <patternFill patternType="gray125"/>
    </fill>
    <fill>
      <patternFill patternType="solid">
        <fgColor rgb="FF1F3A4D"/>
        <bgColor rgb="FF003366"/>
      </patternFill>
    </fill>
    <fill>
      <patternFill patternType="solid">
        <fgColor rgb="FFF4F6F8"/>
        <bgColor rgb="FFFFFFFF"/>
      </patternFill>
    </fill>
    <fill>
      <patternFill patternType="solid">
        <fgColor rgb="FFFFF2CC"/>
        <bgColor rgb="FFF4F6F8"/>
      </patternFill>
    </fill>
  </fills>
  <borders count="2">
    <border diagonalUp="false" diagonalDown="false">
      <left/>
      <right/>
      <top/>
      <bottom/>
      <diagonal/>
    </border>
    <border diagonalUp="false" diagonalDown="false">
      <left style="thin">
        <color rgb="FFC9CED3"/>
      </left>
      <right style="thin">
        <color rgb="FFC9CED3"/>
      </right>
      <top style="thin">
        <color rgb="FFC9CED3"/>
      </top>
      <bottom style="thin">
        <color rgb="FFC9CE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5" fontId="7" fillId="3"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6" fontId="6" fillId="0" borderId="1" xfId="0" applyFont="true" applyBorder="true" applyAlignment="true" applyProtection="false">
      <alignment horizontal="left" vertical="top" textRotation="0" wrapText="true" indent="0" shrinkToFit="false"/>
      <protection locked="true" hidden="false"/>
    </xf>
    <xf numFmtId="167" fontId="6"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4D"/>
          <bgColor rgb="FF000000"/>
        </patternFill>
      </fill>
    </dxf>
    <dxf>
      <fill>
        <patternFill patternType="solid">
          <fgColor rgb="FFF4F6F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ED3"/>
      <rgbColor rgb="FF808080"/>
      <rgbColor rgb="FF9999FF"/>
      <rgbColor rgb="FF993366"/>
      <rgbColor rgb="FFFFF2CC"/>
      <rgbColor rgb="FFF4F6F8"/>
      <rgbColor rgb="FF660066"/>
      <rgbColor rgb="FFFF8080"/>
      <rgbColor rgb="FF1F5F8B"/>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A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chine_Brigade_AI_Research.xlsx" TargetMode="External"/><Relationship Id="rId2" Type="http://schemas.openxmlformats.org/officeDocument/2006/relationships/hyperlink" Target="Machine_Brigade_AI_Research.xlsx" TargetMode="External"/><Relationship Id="rId3" Type="http://schemas.openxmlformats.org/officeDocument/2006/relationships/hyperlink" Target="Machine_Brigade_AI_Research.xlsx" TargetMode="External"/><Relationship Id="rId4" Type="http://schemas.openxmlformats.org/officeDocument/2006/relationships/hyperlink" Target="Machine_Brigade_AI_Research.xlsx" TargetMode="External"/><Relationship Id="rId5" Type="http://schemas.openxmlformats.org/officeDocument/2006/relationships/hyperlink" Target="Machine_Brigade_AI_Research.xlsx" TargetMode="External"/><Relationship Id="rId6" Type="http://schemas.openxmlformats.org/officeDocument/2006/relationships/hyperlink" Target="Machine_Brigade_AI_Research.xlsx" TargetMode="External"/><Relationship Id="rId7" Type="http://schemas.openxmlformats.org/officeDocument/2006/relationships/hyperlink" Target="Machine_Brigade_AI_Research.xlsx" TargetMode="External"/><Relationship Id="rId8" Type="http://schemas.openxmlformats.org/officeDocument/2006/relationships/hyperlink" Target="Machine_Brigade_AI_Research.xlsx" TargetMode="External"/><Relationship Id="rId9" Type="http://schemas.openxmlformats.org/officeDocument/2006/relationships/hyperlink" Target="Machine_Brigade_AI_Research.xlsx" TargetMode="External"/><Relationship Id="rId10" Type="http://schemas.openxmlformats.org/officeDocument/2006/relationships/hyperlink" Target="Machine_Brigade_AI_Research.xlsx" TargetMode="External"/><Relationship Id="rId11" Type="http://schemas.openxmlformats.org/officeDocument/2006/relationships/hyperlink" Target="Machine_Brigade_AI_Research.xlsx" TargetMode="External"/><Relationship Id="rId12" Type="http://schemas.openxmlformats.org/officeDocument/2006/relationships/hyperlink" Target="Machine_Brigade_AI_Research.xlsx" TargetMode="External"/><Relationship Id="rId13" Type="http://schemas.openxmlformats.org/officeDocument/2006/relationships/hyperlink" Target="Machine_Brigade_AI_Research.xlsx" TargetMode="External"/><Relationship Id="rId14" Type="http://schemas.openxmlformats.org/officeDocument/2006/relationships/hyperlink" Target="Machine_Brigade_AI_Research.xlsx" TargetMode="External"/><Relationship Id="rId15" Type="http://schemas.openxmlformats.org/officeDocument/2006/relationships/hyperlink" Target="Machine_Brigade_AI_Research.xlsx" TargetMode="External"/><Relationship Id="rId16" Type="http://schemas.openxmlformats.org/officeDocument/2006/relationships/hyperlink" Target="Machine_Brigade_AI_Research.xlsx" TargetMode="External"/><Relationship Id="rId17" Type="http://schemas.openxmlformats.org/officeDocument/2006/relationships/hyperlink" Target="Machine_Brigade_AI_Research.xlsx" TargetMode="External"/><Relationship Id="rId18" Type="http://schemas.openxmlformats.org/officeDocument/2006/relationships/hyperlink" Target="Machine_Brigade_AI_Research.xlsx" TargetMode="External"/><Relationship Id="rId19" Type="http://schemas.openxmlformats.org/officeDocument/2006/relationships/hyperlink" Target="Machine_Brigade_AI_Research.xlsx"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8.xml.rels><?xml version="1.0" encoding="UTF-8"?>
<Relationships xmlns="http://schemas.openxmlformats.org/package/2006/relationships"><Relationship Id="rId1" Type="http://schemas.openxmlformats.org/officeDocument/2006/relationships/drawing" Target="../drawings/drawing17.xml"/>
</Relationships>
</file>

<file path=xl/worksheets/_rels/sheet20.xml.rels><?xml version="1.0" encoding="UTF-8"?>
<Relationships xmlns="http://schemas.openxmlformats.org/package/2006/relationships"><Relationship Id="rId1" Type="http://schemas.openxmlformats.org/officeDocument/2006/relationships/drawing" Target="../drawings/drawing1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80"/>
  </cols>
  <sheetData>
    <row r="1" customFormat="false" ht="15" hidden="false" customHeight="false" outlineLevel="0" collapsed="false">
      <c r="A1" s="1" t="s">
        <v>0</v>
      </c>
      <c r="B1" s="1" t="s">
        <v>1</v>
      </c>
    </row>
    <row r="2" customFormat="false" ht="15" hidden="false" customHeight="false" outlineLevel="0" collapsed="false">
      <c r="A2" s="2" t="s">
        <v>2</v>
      </c>
      <c r="B2" s="3" t="s">
        <v>3</v>
      </c>
    </row>
    <row r="3" customFormat="false" ht="15" hidden="false" customHeight="false" outlineLevel="0" collapsed="false">
      <c r="A3" s="2" t="s">
        <v>4</v>
      </c>
      <c r="B3" s="3" t="s">
        <v>5</v>
      </c>
    </row>
    <row r="4" customFormat="false" ht="15" hidden="false" customHeight="false" outlineLevel="0" collapsed="false">
      <c r="A4" s="2" t="s">
        <v>6</v>
      </c>
      <c r="B4" s="3" t="s">
        <v>7</v>
      </c>
    </row>
    <row r="5" customFormat="false" ht="15" hidden="false" customHeight="false" outlineLevel="0" collapsed="false">
      <c r="A5" s="2" t="s">
        <v>8</v>
      </c>
      <c r="B5" s="3" t="s">
        <v>9</v>
      </c>
    </row>
    <row r="6" customFormat="false" ht="15" hidden="false" customHeight="false" outlineLevel="0" collapsed="false">
      <c r="A6" s="2" t="s">
        <v>10</v>
      </c>
      <c r="B6" s="3" t="s">
        <v>11</v>
      </c>
    </row>
    <row r="7" customFormat="false" ht="15" hidden="false" customHeight="false" outlineLevel="0" collapsed="false">
      <c r="A7" s="2" t="s">
        <v>12</v>
      </c>
      <c r="B7" s="3" t="s">
        <v>13</v>
      </c>
    </row>
    <row r="8" customFormat="false" ht="15" hidden="false" customHeight="false" outlineLevel="0" collapsed="false">
      <c r="A8" s="2" t="s">
        <v>14</v>
      </c>
      <c r="B8" s="3" t="s">
        <v>15</v>
      </c>
    </row>
    <row r="9" customFormat="false" ht="15" hidden="false" customHeight="false" outlineLevel="0" collapsed="false">
      <c r="A9" s="2" t="s">
        <v>16</v>
      </c>
      <c r="B9" s="3" t="s">
        <v>17</v>
      </c>
    </row>
    <row r="10" customFormat="false" ht="15" hidden="false" customHeight="false" outlineLevel="0" collapsed="false">
      <c r="A10" s="2" t="s">
        <v>18</v>
      </c>
      <c r="B10" s="3" t="s">
        <v>19</v>
      </c>
    </row>
    <row r="11" customFormat="false" ht="15" hidden="false" customHeight="false" outlineLevel="0" collapsed="false">
      <c r="A11" s="2" t="s">
        <v>20</v>
      </c>
      <c r="B11" s="3" t="s">
        <v>21</v>
      </c>
    </row>
    <row r="12" customFormat="false" ht="15" hidden="false" customHeight="false" outlineLevel="0" collapsed="false">
      <c r="A12" s="2" t="s">
        <v>22</v>
      </c>
      <c r="B12" s="3" t="s">
        <v>23</v>
      </c>
    </row>
    <row r="13" customFormat="false" ht="15" hidden="false" customHeight="false" outlineLevel="0" collapsed="false">
      <c r="A13" s="2" t="s">
        <v>24</v>
      </c>
      <c r="B13" s="3" t="s">
        <v>25</v>
      </c>
    </row>
    <row r="14" customFormat="false" ht="15" hidden="false" customHeight="false" outlineLevel="0" collapsed="false">
      <c r="A14" s="2" t="s">
        <v>26</v>
      </c>
      <c r="B14" s="3" t="s">
        <v>27</v>
      </c>
    </row>
    <row r="15" customFormat="false" ht="15" hidden="false" customHeight="false" outlineLevel="0" collapsed="false">
      <c r="A15" s="2" t="s">
        <v>28</v>
      </c>
      <c r="B15" s="3" t="s">
        <v>29</v>
      </c>
    </row>
    <row r="16" customFormat="false" ht="15" hidden="false" customHeight="false" outlineLevel="0" collapsed="false">
      <c r="A16" s="2" t="s">
        <v>30</v>
      </c>
      <c r="B16" s="3" t="s">
        <v>31</v>
      </c>
    </row>
    <row r="17" customFormat="false" ht="15" hidden="false" customHeight="false" outlineLevel="0" collapsed="false">
      <c r="A17" s="2" t="s">
        <v>32</v>
      </c>
      <c r="B17" s="3" t="s">
        <v>33</v>
      </c>
    </row>
    <row r="18" customFormat="false" ht="15" hidden="false" customHeight="false" outlineLevel="0" collapsed="false">
      <c r="A18" s="2" t="s">
        <v>34</v>
      </c>
      <c r="B18" s="3" t="s">
        <v>35</v>
      </c>
    </row>
    <row r="19" customFormat="false" ht="15" hidden="false" customHeight="false" outlineLevel="0" collapsed="false">
      <c r="A19" s="2" t="s">
        <v>36</v>
      </c>
      <c r="B19" s="3" t="s">
        <v>37</v>
      </c>
    </row>
    <row r="20" customFormat="false" ht="15" hidden="false" customHeight="false" outlineLevel="0" collapsed="false">
      <c r="A20" s="2" t="s">
        <v>38</v>
      </c>
      <c r="B20" s="3" t="s">
        <v>39</v>
      </c>
    </row>
  </sheetData>
  <hyperlinks>
    <hyperlink ref="A2" r:id="rId1" location="'Tổng%20quan'!A1" display="Tổng quan"/>
    <hyperlink ref="A3" r:id="rId2" location="'Vai%20trò'!A1" display="Vai trò"/>
    <hyperlink ref="A4" r:id="rId3" location="'Phương%20tiện'!A1" display="Phương tiện"/>
    <hyperlink ref="A5" r:id="rId4" location="'Công%20trình'!A1" display="Công trình"/>
    <hyperlink ref="A6" r:id="rId5" location="'Boss'!A1" display="Boss"/>
    <hyperlink ref="A7" r:id="rId6" location="'Chiến%20thuật'!A1" display="Chiến thuật"/>
    <hyperlink ref="A8" r:id="rId7" location="'Tham%20số%20AI'!A1" display="Tham số AI"/>
    <hyperlink ref="A9" r:id="rId8" location="'Trạng%20thái%20đội'!A1" display="Trạng thái đội"/>
    <hyperlink ref="A10" r:id="rId9" location="'Emergency%20Reposition'!A1" display="Emergency Reposition"/>
    <hyperlink ref="A11" r:id="rId10" location="'Hành%20động%20đội'!A1" display="Hành động đội"/>
    <hyperlink ref="A12" r:id="rId11" location="'Sự%20kiện'!A1" display="Sự kiện"/>
    <hyperlink ref="A13" r:id="rId12" location="'Đội%20hình'!A1" display="Đội hình"/>
    <hyperlink ref="A14" r:id="rId13" location="'Kiểu%20hành%20vi%20boss'!A1" display="Kiểu hành vi boss"/>
    <hyperlink ref="A15" r:id="rId14" location="'Dấu%20vân%20hành%20vi'!A1" display="Dấu vân hành vi"/>
    <hyperlink ref="A16" r:id="rId15" location="'Chỉ%20số%20đo'!A1" display="Chỉ số đo"/>
    <hyperlink ref="A17" r:id="rId16" location="'Tính%20năng%20chọn%20chiến%20thuật'!A1" display="Tính năng chọn chiến thuật"/>
    <hyperlink ref="A18" r:id="rId17" location="'Cân%20bằng%20kinh%20tế'!A1" display="Cân bằng kinh tế"/>
    <hyperlink ref="A19" r:id="rId18" location="'Kỹ%20thuật%20AI'!A1" display="Kỹ thuật AI"/>
    <hyperlink ref="A20" r:id="rId19" location="'Nguồn'!A1" display="Nguồ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50"/>
  </cols>
  <sheetData>
    <row r="1" customFormat="false" ht="36" hidden="false" customHeight="true" outlineLevel="0" collapsed="false">
      <c r="A1" s="4" t="s">
        <v>40</v>
      </c>
      <c r="B1" s="4" t="s">
        <v>1</v>
      </c>
    </row>
    <row r="2" customFormat="false" ht="22.35" hidden="false" customHeight="false" outlineLevel="0" collapsed="false">
      <c r="A2" s="5" t="s">
        <v>41</v>
      </c>
      <c r="B2" s="5" t="s">
        <v>42</v>
      </c>
    </row>
    <row r="3" customFormat="false" ht="15" hidden="false" customHeight="false" outlineLevel="0" collapsed="false">
      <c r="A3" s="6" t="s">
        <v>43</v>
      </c>
      <c r="B3" s="6" t="s">
        <v>44</v>
      </c>
    </row>
    <row r="4" customFormat="false" ht="22.35" hidden="false" customHeight="false" outlineLevel="0" collapsed="false">
      <c r="A4" s="5" t="s">
        <v>45</v>
      </c>
      <c r="B4" s="5" t="s">
        <v>46</v>
      </c>
    </row>
    <row r="5" customFormat="false" ht="32.8" hidden="false" customHeight="false" outlineLevel="0" collapsed="false">
      <c r="A5" s="6" t="s">
        <v>47</v>
      </c>
      <c r="B5" s="6" t="s">
        <v>48</v>
      </c>
    </row>
    <row r="6" customFormat="false" ht="22.35" hidden="false" customHeight="false" outlineLevel="0" collapsed="false">
      <c r="A6" s="5" t="s">
        <v>49</v>
      </c>
      <c r="B6" s="5" t="s">
        <v>50</v>
      </c>
    </row>
  </sheetData>
  <autoFilter ref="A1:B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45"/>
    <col collapsed="false" customWidth="true" hidden="false" outlineLevel="0" max="4" min="4" style="0" width="30"/>
    <col collapsed="false" customWidth="true" hidden="false" outlineLevel="0" max="5" min="5" style="0" width="36"/>
    <col collapsed="false" customWidth="true" hidden="false" outlineLevel="0" max="6" min="6" style="0" width="18"/>
    <col collapsed="false" customWidth="true" hidden="false" outlineLevel="0" max="8" min="7" style="0" width="36"/>
    <col collapsed="false" customWidth="true" hidden="false" outlineLevel="0" max="9" min="9" style="0" width="30"/>
    <col collapsed="false" customWidth="true" hidden="false" outlineLevel="0" max="10" min="10" style="0" width="40"/>
    <col collapsed="false" customWidth="true" hidden="false" outlineLevel="0" max="11" min="11" style="0" width="32"/>
  </cols>
  <sheetData>
    <row r="1" customFormat="false" ht="36" hidden="false" customHeight="true" outlineLevel="0" collapsed="false">
      <c r="A1" s="4" t="s">
        <v>51</v>
      </c>
      <c r="B1" s="4" t="s">
        <v>4</v>
      </c>
      <c r="C1" s="4" t="s">
        <v>52</v>
      </c>
      <c r="D1" s="4" t="s">
        <v>53</v>
      </c>
      <c r="E1" s="4" t="s">
        <v>54</v>
      </c>
      <c r="F1" s="4" t="s">
        <v>55</v>
      </c>
      <c r="G1" s="4" t="s">
        <v>56</v>
      </c>
      <c r="H1" s="4" t="s">
        <v>57</v>
      </c>
      <c r="I1" s="4" t="s">
        <v>58</v>
      </c>
      <c r="J1" s="4" t="s">
        <v>59</v>
      </c>
      <c r="K1" s="4" t="s">
        <v>60</v>
      </c>
    </row>
    <row r="2" customFormat="false" ht="32.8" hidden="false" customHeight="false" outlineLevel="0" collapsed="false">
      <c r="A2" s="5" t="s">
        <v>61</v>
      </c>
      <c r="B2" s="5" t="s">
        <v>62</v>
      </c>
      <c r="C2" s="5" t="s">
        <v>63</v>
      </c>
      <c r="D2" s="5" t="s">
        <v>64</v>
      </c>
      <c r="E2" s="5" t="s">
        <v>65</v>
      </c>
      <c r="F2" s="5" t="s">
        <v>66</v>
      </c>
      <c r="G2" s="5" t="s">
        <v>67</v>
      </c>
      <c r="H2" s="5" t="s">
        <v>68</v>
      </c>
      <c r="I2" s="5" t="s">
        <v>69</v>
      </c>
      <c r="J2" s="5" t="s">
        <v>70</v>
      </c>
      <c r="K2" s="5" t="s">
        <v>71</v>
      </c>
    </row>
    <row r="3" customFormat="false" ht="22.35" hidden="false" customHeight="false" outlineLevel="0" collapsed="false">
      <c r="A3" s="6" t="s">
        <v>72</v>
      </c>
      <c r="B3" s="6" t="s">
        <v>73</v>
      </c>
      <c r="C3" s="6" t="s">
        <v>74</v>
      </c>
      <c r="D3" s="6" t="s">
        <v>75</v>
      </c>
      <c r="E3" s="6" t="s">
        <v>76</v>
      </c>
      <c r="F3" s="6" t="s">
        <v>77</v>
      </c>
      <c r="G3" s="6" t="s">
        <v>78</v>
      </c>
      <c r="H3" s="6" t="s">
        <v>79</v>
      </c>
      <c r="I3" s="6" t="s">
        <v>80</v>
      </c>
      <c r="J3" s="6" t="s">
        <v>81</v>
      </c>
      <c r="K3" s="6" t="s">
        <v>82</v>
      </c>
    </row>
    <row r="4" customFormat="false" ht="32.8" hidden="false" customHeight="false" outlineLevel="0" collapsed="false">
      <c r="A4" s="5" t="s">
        <v>83</v>
      </c>
      <c r="B4" s="5" t="s">
        <v>84</v>
      </c>
      <c r="C4" s="5" t="s">
        <v>85</v>
      </c>
      <c r="D4" s="5" t="s">
        <v>86</v>
      </c>
      <c r="E4" s="5" t="s">
        <v>87</v>
      </c>
      <c r="F4" s="5" t="s">
        <v>88</v>
      </c>
      <c r="G4" s="5" t="s">
        <v>89</v>
      </c>
      <c r="H4" s="5" t="s">
        <v>90</v>
      </c>
      <c r="I4" s="5" t="s">
        <v>91</v>
      </c>
      <c r="J4" s="5" t="s">
        <v>92</v>
      </c>
      <c r="K4" s="5" t="s">
        <v>93</v>
      </c>
    </row>
    <row r="5" customFormat="false" ht="22.35" hidden="false" customHeight="false" outlineLevel="0" collapsed="false">
      <c r="A5" s="6" t="s">
        <v>94</v>
      </c>
      <c r="B5" s="6" t="s">
        <v>95</v>
      </c>
      <c r="C5" s="6" t="s">
        <v>96</v>
      </c>
      <c r="D5" s="6" t="s">
        <v>97</v>
      </c>
      <c r="E5" s="6" t="s">
        <v>98</v>
      </c>
      <c r="F5" s="6" t="s">
        <v>99</v>
      </c>
      <c r="G5" s="6" t="s">
        <v>100</v>
      </c>
      <c r="H5" s="6" t="s">
        <v>101</v>
      </c>
      <c r="I5" s="6" t="s">
        <v>102</v>
      </c>
      <c r="J5" s="6" t="s">
        <v>103</v>
      </c>
      <c r="K5" s="6" t="s">
        <v>104</v>
      </c>
    </row>
    <row r="6" customFormat="false" ht="22.35" hidden="false" customHeight="false" outlineLevel="0" collapsed="false">
      <c r="A6" s="5" t="s">
        <v>105</v>
      </c>
      <c r="B6" s="5" t="s">
        <v>106</v>
      </c>
      <c r="C6" s="5" t="s">
        <v>107</v>
      </c>
      <c r="D6" s="5" t="s">
        <v>108</v>
      </c>
      <c r="E6" s="5" t="s">
        <v>109</v>
      </c>
      <c r="F6" s="5" t="s">
        <v>110</v>
      </c>
      <c r="G6" s="5" t="s">
        <v>111</v>
      </c>
      <c r="H6" s="5" t="s">
        <v>112</v>
      </c>
      <c r="I6" s="5" t="s">
        <v>113</v>
      </c>
      <c r="J6" s="5" t="s">
        <v>114</v>
      </c>
      <c r="K6" s="5" t="s">
        <v>115</v>
      </c>
    </row>
    <row r="7" customFormat="false" ht="22.35" hidden="false" customHeight="false" outlineLevel="0" collapsed="false">
      <c r="A7" s="6" t="s">
        <v>116</v>
      </c>
      <c r="B7" s="6" t="s">
        <v>117</v>
      </c>
      <c r="C7" s="6" t="s">
        <v>118</v>
      </c>
      <c r="D7" s="6" t="s">
        <v>119</v>
      </c>
      <c r="E7" s="6" t="s">
        <v>120</v>
      </c>
      <c r="F7" s="6" t="s">
        <v>121</v>
      </c>
      <c r="G7" s="6" t="s">
        <v>122</v>
      </c>
      <c r="H7" s="6" t="s">
        <v>123</v>
      </c>
      <c r="I7" s="6" t="s">
        <v>124</v>
      </c>
      <c r="J7" s="6" t="s">
        <v>125</v>
      </c>
      <c r="K7" s="6" t="s">
        <v>126</v>
      </c>
    </row>
    <row r="8" customFormat="false" ht="22.35" hidden="false" customHeight="false" outlineLevel="0" collapsed="false">
      <c r="A8" s="5" t="s">
        <v>127</v>
      </c>
      <c r="B8" s="5" t="s">
        <v>128</v>
      </c>
      <c r="C8" s="5" t="s">
        <v>129</v>
      </c>
      <c r="D8" s="5" t="s">
        <v>130</v>
      </c>
      <c r="E8" s="5" t="s">
        <v>131</v>
      </c>
      <c r="F8" s="5" t="s">
        <v>132</v>
      </c>
      <c r="G8" s="5" t="s">
        <v>133</v>
      </c>
      <c r="H8" s="5" t="s">
        <v>134</v>
      </c>
      <c r="I8" s="5" t="s">
        <v>135</v>
      </c>
      <c r="J8" s="5" t="s">
        <v>136</v>
      </c>
      <c r="K8" s="5" t="s">
        <v>137</v>
      </c>
    </row>
    <row r="9" customFormat="false" ht="32.8" hidden="false" customHeight="false" outlineLevel="0" collapsed="false">
      <c r="A9" s="6" t="s">
        <v>138</v>
      </c>
      <c r="B9" s="6" t="s">
        <v>139</v>
      </c>
      <c r="C9" s="6" t="s">
        <v>140</v>
      </c>
      <c r="D9" s="6" t="s">
        <v>141</v>
      </c>
      <c r="E9" s="6" t="s">
        <v>142</v>
      </c>
      <c r="F9" s="6" t="s">
        <v>143</v>
      </c>
      <c r="G9" s="6" t="s">
        <v>144</v>
      </c>
      <c r="H9" s="6" t="s">
        <v>145</v>
      </c>
      <c r="I9" s="6" t="s">
        <v>146</v>
      </c>
      <c r="J9" s="6" t="s">
        <v>147</v>
      </c>
      <c r="K9" s="6" t="s">
        <v>148</v>
      </c>
    </row>
    <row r="10" customFormat="false" ht="22.35" hidden="false" customHeight="false" outlineLevel="0" collapsed="false">
      <c r="A10" s="5" t="s">
        <v>149</v>
      </c>
      <c r="B10" s="5" t="s">
        <v>150</v>
      </c>
      <c r="C10" s="5" t="s">
        <v>151</v>
      </c>
      <c r="D10" s="5" t="s">
        <v>86</v>
      </c>
      <c r="E10" s="5" t="s">
        <v>152</v>
      </c>
      <c r="F10" s="5" t="s">
        <v>153</v>
      </c>
      <c r="G10" s="5" t="s">
        <v>154</v>
      </c>
      <c r="H10" s="5" t="s">
        <v>155</v>
      </c>
      <c r="I10" s="5" t="s">
        <v>156</v>
      </c>
      <c r="J10" s="5" t="s">
        <v>157</v>
      </c>
      <c r="K10" s="5" t="s">
        <v>158</v>
      </c>
    </row>
    <row r="11" customFormat="false" ht="22.35" hidden="false" customHeight="false" outlineLevel="0" collapsed="false">
      <c r="A11" s="6" t="s">
        <v>159</v>
      </c>
      <c r="B11" s="6" t="s">
        <v>160</v>
      </c>
      <c r="C11" s="6" t="s">
        <v>161</v>
      </c>
      <c r="D11" s="6" t="s">
        <v>162</v>
      </c>
      <c r="E11" s="6" t="s">
        <v>163</v>
      </c>
      <c r="F11" s="6" t="s">
        <v>164</v>
      </c>
      <c r="G11" s="6" t="s">
        <v>165</v>
      </c>
      <c r="H11" s="6" t="s">
        <v>166</v>
      </c>
      <c r="I11" s="6" t="s">
        <v>167</v>
      </c>
      <c r="J11" s="6" t="s">
        <v>168</v>
      </c>
      <c r="K11" s="6" t="s">
        <v>169</v>
      </c>
    </row>
    <row r="12" customFormat="false" ht="15" hidden="false" customHeight="false" outlineLevel="0" collapsed="false">
      <c r="A12" s="5" t="s">
        <v>170</v>
      </c>
      <c r="B12" s="5" t="s">
        <v>171</v>
      </c>
      <c r="C12" s="5" t="s">
        <v>172</v>
      </c>
      <c r="D12" s="5" t="s">
        <v>86</v>
      </c>
      <c r="E12" s="5" t="s">
        <v>173</v>
      </c>
      <c r="F12" s="5" t="s">
        <v>174</v>
      </c>
      <c r="G12" s="5" t="s">
        <v>175</v>
      </c>
      <c r="H12" s="5" t="s">
        <v>176</v>
      </c>
      <c r="I12" s="5" t="s">
        <v>177</v>
      </c>
      <c r="J12" s="5" t="s">
        <v>178</v>
      </c>
      <c r="K12" s="5" t="s">
        <v>179</v>
      </c>
    </row>
    <row r="13" customFormat="false" ht="22.35" hidden="false" customHeight="false" outlineLevel="0" collapsed="false">
      <c r="A13" s="6" t="s">
        <v>180</v>
      </c>
      <c r="B13" s="6" t="s">
        <v>181</v>
      </c>
      <c r="C13" s="6" t="s">
        <v>182</v>
      </c>
      <c r="D13" s="6" t="s">
        <v>183</v>
      </c>
      <c r="E13" s="6" t="s">
        <v>184</v>
      </c>
      <c r="F13" s="6" t="s">
        <v>185</v>
      </c>
      <c r="G13" s="6" t="s">
        <v>186</v>
      </c>
      <c r="H13" s="6" t="s">
        <v>187</v>
      </c>
      <c r="I13" s="6" t="s">
        <v>188</v>
      </c>
      <c r="J13" s="6" t="s">
        <v>189</v>
      </c>
      <c r="K13" s="6" t="s">
        <v>148</v>
      </c>
    </row>
    <row r="14" customFormat="false" ht="22.35" hidden="false" customHeight="false" outlineLevel="0" collapsed="false">
      <c r="A14" s="5" t="s">
        <v>190</v>
      </c>
      <c r="B14" s="5" t="s">
        <v>191</v>
      </c>
      <c r="C14" s="5" t="s">
        <v>192</v>
      </c>
      <c r="D14" s="5" t="s">
        <v>193</v>
      </c>
      <c r="E14" s="5" t="s">
        <v>194</v>
      </c>
      <c r="F14" s="5" t="s">
        <v>195</v>
      </c>
      <c r="G14" s="5" t="s">
        <v>196</v>
      </c>
      <c r="H14" s="5" t="s">
        <v>197</v>
      </c>
      <c r="I14" s="5" t="s">
        <v>198</v>
      </c>
      <c r="J14" s="5" t="s">
        <v>199</v>
      </c>
      <c r="K14" s="5" t="s">
        <v>200</v>
      </c>
    </row>
    <row r="15" customFormat="false" ht="22.35" hidden="false" customHeight="false" outlineLevel="0" collapsed="false">
      <c r="A15" s="6" t="s">
        <v>201</v>
      </c>
      <c r="B15" s="6" t="s">
        <v>202</v>
      </c>
      <c r="C15" s="6" t="s">
        <v>203</v>
      </c>
      <c r="D15" s="6" t="s">
        <v>204</v>
      </c>
      <c r="E15" s="6" t="s">
        <v>205</v>
      </c>
      <c r="F15" s="6" t="s">
        <v>206</v>
      </c>
      <c r="G15" s="6" t="s">
        <v>207</v>
      </c>
      <c r="H15" s="6" t="s">
        <v>208</v>
      </c>
      <c r="I15" s="6" t="s">
        <v>209</v>
      </c>
      <c r="J15" s="6" t="s">
        <v>210</v>
      </c>
      <c r="K15" s="6" t="s">
        <v>211</v>
      </c>
    </row>
    <row r="16" customFormat="false" ht="15" hidden="false" customHeight="false" outlineLevel="0" collapsed="false">
      <c r="A16" s="5" t="s">
        <v>212</v>
      </c>
      <c r="B16" s="5" t="s">
        <v>213</v>
      </c>
      <c r="C16" s="5" t="s">
        <v>214</v>
      </c>
      <c r="D16" s="5" t="s">
        <v>215</v>
      </c>
      <c r="E16" s="5" t="s">
        <v>216</v>
      </c>
      <c r="F16" s="5" t="s">
        <v>217</v>
      </c>
      <c r="G16" s="5" t="s">
        <v>218</v>
      </c>
      <c r="H16" s="5" t="s">
        <v>219</v>
      </c>
      <c r="I16" s="5" t="s">
        <v>220</v>
      </c>
      <c r="J16" s="5" t="s">
        <v>221</v>
      </c>
      <c r="K16" s="5" t="s">
        <v>222</v>
      </c>
    </row>
    <row r="17" customFormat="false" ht="22.35" hidden="false" customHeight="false" outlineLevel="0" collapsed="false">
      <c r="A17" s="6" t="s">
        <v>223</v>
      </c>
      <c r="B17" s="6" t="s">
        <v>224</v>
      </c>
      <c r="C17" s="6" t="s">
        <v>225</v>
      </c>
      <c r="D17" s="6" t="s">
        <v>226</v>
      </c>
      <c r="E17" s="6" t="s">
        <v>227</v>
      </c>
      <c r="F17" s="6" t="s">
        <v>174</v>
      </c>
      <c r="G17" s="6" t="s">
        <v>228</v>
      </c>
      <c r="H17" s="6" t="s">
        <v>229</v>
      </c>
      <c r="I17" s="6" t="s">
        <v>220</v>
      </c>
      <c r="J17" s="6" t="s">
        <v>230</v>
      </c>
      <c r="K17" s="6" t="s">
        <v>231</v>
      </c>
    </row>
    <row r="18" customFormat="false" ht="22.35" hidden="false" customHeight="false" outlineLevel="0" collapsed="false">
      <c r="A18" s="5" t="s">
        <v>232</v>
      </c>
      <c r="B18" s="5" t="s">
        <v>233</v>
      </c>
      <c r="C18" s="5" t="s">
        <v>234</v>
      </c>
      <c r="D18" s="5" t="s">
        <v>235</v>
      </c>
      <c r="E18" s="5" t="s">
        <v>236</v>
      </c>
      <c r="F18" s="5" t="s">
        <v>237</v>
      </c>
      <c r="G18" s="5" t="s">
        <v>238</v>
      </c>
      <c r="H18" s="5" t="s">
        <v>239</v>
      </c>
      <c r="I18" s="5" t="s">
        <v>240</v>
      </c>
      <c r="J18" s="5" t="s">
        <v>241</v>
      </c>
      <c r="K18" s="5" t="s">
        <v>242</v>
      </c>
    </row>
    <row r="19" customFormat="false" ht="22.35" hidden="false" customHeight="false" outlineLevel="0" collapsed="false">
      <c r="A19" s="6" t="s">
        <v>243</v>
      </c>
      <c r="B19" s="6" t="s">
        <v>244</v>
      </c>
      <c r="C19" s="6" t="s">
        <v>245</v>
      </c>
      <c r="D19" s="6" t="s">
        <v>246</v>
      </c>
      <c r="E19" s="6" t="s">
        <v>247</v>
      </c>
      <c r="F19" s="6" t="s">
        <v>217</v>
      </c>
      <c r="G19" s="6" t="s">
        <v>248</v>
      </c>
      <c r="H19" s="6" t="s">
        <v>249</v>
      </c>
      <c r="I19" s="6" t="s">
        <v>250</v>
      </c>
      <c r="J19" s="6" t="s">
        <v>251</v>
      </c>
      <c r="K19" s="6" t="s">
        <v>252</v>
      </c>
    </row>
    <row r="20" customFormat="false" ht="22.35" hidden="false" customHeight="false" outlineLevel="0" collapsed="false">
      <c r="A20" s="5" t="s">
        <v>253</v>
      </c>
      <c r="B20" s="5" t="s">
        <v>254</v>
      </c>
      <c r="C20" s="5" t="s">
        <v>255</v>
      </c>
      <c r="D20" s="5" t="s">
        <v>256</v>
      </c>
      <c r="E20" s="5" t="s">
        <v>257</v>
      </c>
      <c r="F20" s="5" t="s">
        <v>258</v>
      </c>
      <c r="G20" s="5" t="s">
        <v>259</v>
      </c>
      <c r="H20" s="5" t="s">
        <v>260</v>
      </c>
      <c r="I20" s="5" t="s">
        <v>220</v>
      </c>
      <c r="J20" s="5" t="s">
        <v>261</v>
      </c>
      <c r="K20" s="5" t="s">
        <v>262</v>
      </c>
    </row>
    <row r="21" customFormat="false" ht="22.35" hidden="false" customHeight="false" outlineLevel="0" collapsed="false">
      <c r="A21" s="6" t="s">
        <v>263</v>
      </c>
      <c r="B21" s="6" t="s">
        <v>264</v>
      </c>
      <c r="C21" s="6" t="s">
        <v>265</v>
      </c>
      <c r="D21" s="6" t="s">
        <v>266</v>
      </c>
      <c r="E21" s="6" t="s">
        <v>267</v>
      </c>
      <c r="F21" s="6" t="s">
        <v>268</v>
      </c>
      <c r="G21" s="6" t="s">
        <v>269</v>
      </c>
      <c r="H21" s="6" t="s">
        <v>270</v>
      </c>
      <c r="I21" s="6" t="s">
        <v>271</v>
      </c>
      <c r="J21" s="6" t="s">
        <v>272</v>
      </c>
      <c r="K21" s="6" t="s">
        <v>273</v>
      </c>
    </row>
    <row r="22" customFormat="false" ht="22.35" hidden="false" customHeight="false" outlineLevel="0" collapsed="false">
      <c r="A22" s="5" t="s">
        <v>274</v>
      </c>
      <c r="B22" s="5" t="s">
        <v>275</v>
      </c>
      <c r="C22" s="5" t="s">
        <v>276</v>
      </c>
      <c r="D22" s="5" t="s">
        <v>277</v>
      </c>
      <c r="E22" s="5" t="s">
        <v>278</v>
      </c>
      <c r="F22" s="5" t="s">
        <v>279</v>
      </c>
      <c r="G22" s="5" t="s">
        <v>280</v>
      </c>
      <c r="H22" s="5" t="s">
        <v>281</v>
      </c>
      <c r="I22" s="5" t="s">
        <v>282</v>
      </c>
      <c r="J22" s="5" t="s">
        <v>283</v>
      </c>
      <c r="K22" s="5" t="s">
        <v>284</v>
      </c>
    </row>
    <row r="23" customFormat="false" ht="22.35" hidden="false" customHeight="false" outlineLevel="0" collapsed="false">
      <c r="A23" s="6" t="s">
        <v>285</v>
      </c>
      <c r="B23" s="6" t="s">
        <v>285</v>
      </c>
      <c r="C23" s="6" t="s">
        <v>286</v>
      </c>
      <c r="D23" s="6" t="s">
        <v>287</v>
      </c>
      <c r="E23" s="6" t="s">
        <v>288</v>
      </c>
      <c r="F23" s="6" t="s">
        <v>217</v>
      </c>
      <c r="G23" s="6" t="s">
        <v>289</v>
      </c>
      <c r="H23" s="6" t="s">
        <v>290</v>
      </c>
      <c r="I23" s="6" t="s">
        <v>291</v>
      </c>
      <c r="J23" s="6" t="s">
        <v>292</v>
      </c>
      <c r="K23" s="6" t="s">
        <v>293</v>
      </c>
    </row>
    <row r="24" customFormat="false" ht="22.35" hidden="false" customHeight="false" outlineLevel="0" collapsed="false">
      <c r="A24" s="5" t="s">
        <v>294</v>
      </c>
      <c r="B24" s="5" t="s">
        <v>295</v>
      </c>
      <c r="C24" s="5" t="s">
        <v>296</v>
      </c>
      <c r="D24" s="5" t="s">
        <v>297</v>
      </c>
      <c r="E24" s="5" t="s">
        <v>298</v>
      </c>
      <c r="F24" s="5" t="s">
        <v>299</v>
      </c>
      <c r="G24" s="5" t="s">
        <v>300</v>
      </c>
      <c r="H24" s="5" t="s">
        <v>301</v>
      </c>
      <c r="I24" s="5" t="s">
        <v>302</v>
      </c>
      <c r="J24" s="5" t="s">
        <v>303</v>
      </c>
      <c r="K24" s="5" t="s">
        <v>304</v>
      </c>
    </row>
    <row r="25" customFormat="false" ht="22.35" hidden="false" customHeight="false" outlineLevel="0" collapsed="false">
      <c r="A25" s="6" t="s">
        <v>305</v>
      </c>
      <c r="B25" s="6" t="s">
        <v>306</v>
      </c>
      <c r="C25" s="6" t="s">
        <v>307</v>
      </c>
      <c r="D25" s="6" t="s">
        <v>308</v>
      </c>
      <c r="E25" s="6" t="s">
        <v>309</v>
      </c>
      <c r="F25" s="6" t="s">
        <v>310</v>
      </c>
      <c r="G25" s="6" t="s">
        <v>311</v>
      </c>
      <c r="H25" s="6" t="s">
        <v>312</v>
      </c>
      <c r="I25" s="6" t="s">
        <v>313</v>
      </c>
      <c r="J25" s="6" t="s">
        <v>314</v>
      </c>
      <c r="K25" s="6" t="s">
        <v>315</v>
      </c>
    </row>
    <row r="26" customFormat="false" ht="22.35" hidden="false" customHeight="false" outlineLevel="0" collapsed="false">
      <c r="A26" s="5" t="s">
        <v>316</v>
      </c>
      <c r="B26" s="5" t="s">
        <v>317</v>
      </c>
      <c r="C26" s="5" t="s">
        <v>318</v>
      </c>
      <c r="D26" s="5" t="s">
        <v>319</v>
      </c>
      <c r="E26" s="5" t="s">
        <v>320</v>
      </c>
      <c r="F26" s="5" t="s">
        <v>321</v>
      </c>
      <c r="G26" s="5" t="s">
        <v>322</v>
      </c>
      <c r="H26" s="5" t="s">
        <v>323</v>
      </c>
      <c r="I26" s="5" t="s">
        <v>324</v>
      </c>
      <c r="J26" s="5" t="s">
        <v>325</v>
      </c>
      <c r="K26" s="5" t="s">
        <v>326</v>
      </c>
    </row>
    <row r="27" customFormat="false" ht="22.35" hidden="false" customHeight="false" outlineLevel="0" collapsed="false">
      <c r="A27" s="6" t="s">
        <v>327</v>
      </c>
      <c r="B27" s="6" t="s">
        <v>328</v>
      </c>
      <c r="C27" s="6" t="s">
        <v>329</v>
      </c>
      <c r="D27" s="6" t="s">
        <v>330</v>
      </c>
      <c r="E27" s="6" t="s">
        <v>331</v>
      </c>
      <c r="F27" s="6" t="s">
        <v>332</v>
      </c>
      <c r="G27" s="6" t="s">
        <v>333</v>
      </c>
      <c r="H27" s="6" t="s">
        <v>334</v>
      </c>
      <c r="I27" s="6" t="s">
        <v>335</v>
      </c>
      <c r="J27" s="6" t="s">
        <v>336</v>
      </c>
      <c r="K27" s="6" t="s">
        <v>337</v>
      </c>
    </row>
    <row r="28" customFormat="false" ht="22.35" hidden="false" customHeight="false" outlineLevel="0" collapsed="false">
      <c r="A28" s="5" t="s">
        <v>338</v>
      </c>
      <c r="B28" s="5" t="s">
        <v>339</v>
      </c>
      <c r="C28" s="5" t="s">
        <v>340</v>
      </c>
      <c r="D28" s="5" t="s">
        <v>341</v>
      </c>
      <c r="E28" s="5" t="s">
        <v>342</v>
      </c>
      <c r="F28" s="5" t="s">
        <v>343</v>
      </c>
      <c r="G28" s="5" t="s">
        <v>344</v>
      </c>
      <c r="H28" s="5" t="s">
        <v>345</v>
      </c>
      <c r="I28" s="5" t="s">
        <v>302</v>
      </c>
      <c r="J28" s="5" t="s">
        <v>346</v>
      </c>
      <c r="K28" s="5" t="s">
        <v>347</v>
      </c>
    </row>
    <row r="29" customFormat="false" ht="22.35" hidden="false" customHeight="false" outlineLevel="0" collapsed="false">
      <c r="A29" s="6" t="s">
        <v>348</v>
      </c>
      <c r="B29" s="6" t="s">
        <v>349</v>
      </c>
      <c r="C29" s="6" t="s">
        <v>350</v>
      </c>
      <c r="D29" s="6" t="s">
        <v>351</v>
      </c>
      <c r="E29" s="6" t="s">
        <v>352</v>
      </c>
      <c r="F29" s="6" t="s">
        <v>353</v>
      </c>
      <c r="G29" s="6" t="s">
        <v>354</v>
      </c>
      <c r="H29" s="6" t="s">
        <v>355</v>
      </c>
      <c r="I29" s="6" t="s">
        <v>356</v>
      </c>
      <c r="J29" s="6" t="s">
        <v>357</v>
      </c>
      <c r="K29" s="6" t="s">
        <v>358</v>
      </c>
    </row>
  </sheetData>
  <autoFilter ref="A1:K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22"/>
    <col collapsed="false" customWidth="true" hidden="false" outlineLevel="0" max="4" min="4" style="0" width="34"/>
    <col collapsed="false" customWidth="true" hidden="false" outlineLevel="0" max="5" min="5" style="0" width="16"/>
    <col collapsed="false" customWidth="true" hidden="false" outlineLevel="0" max="7" min="6" style="0" width="34"/>
    <col collapsed="false" customWidth="true" hidden="false" outlineLevel="0" max="8" min="8" style="0" width="28"/>
    <col collapsed="false" customWidth="true" hidden="false" outlineLevel="0" max="9" min="9" style="0" width="36"/>
    <col collapsed="false" customWidth="true" hidden="false" outlineLevel="0" max="10" min="10" style="0" width="45"/>
    <col collapsed="false" customWidth="true" hidden="false" outlineLevel="0" max="11" min="11" style="0" width="30"/>
  </cols>
  <sheetData>
    <row r="1" customFormat="false" ht="36" hidden="false" customHeight="true" outlineLevel="0" collapsed="false">
      <c r="A1" s="4" t="s">
        <v>359</v>
      </c>
      <c r="B1" s="4" t="s">
        <v>360</v>
      </c>
      <c r="C1" s="4" t="s">
        <v>4</v>
      </c>
      <c r="D1" s="4" t="s">
        <v>54</v>
      </c>
      <c r="E1" s="4" t="s">
        <v>55</v>
      </c>
      <c r="F1" s="4" t="s">
        <v>56</v>
      </c>
      <c r="G1" s="4" t="s">
        <v>57</v>
      </c>
      <c r="H1" s="4" t="s">
        <v>58</v>
      </c>
      <c r="I1" s="4" t="s">
        <v>361</v>
      </c>
      <c r="J1" s="4" t="s">
        <v>362</v>
      </c>
      <c r="K1" s="4" t="s">
        <v>60</v>
      </c>
    </row>
    <row r="2" customFormat="false" ht="32.8" hidden="false" customHeight="false" outlineLevel="0" collapsed="false">
      <c r="A2" s="5" t="s">
        <v>363</v>
      </c>
      <c r="B2" s="5" t="s">
        <v>364</v>
      </c>
      <c r="C2" s="5" t="s">
        <v>95</v>
      </c>
      <c r="D2" s="5" t="s">
        <v>98</v>
      </c>
      <c r="E2" s="5" t="s">
        <v>99</v>
      </c>
      <c r="F2" s="5" t="s">
        <v>100</v>
      </c>
      <c r="G2" s="5" t="s">
        <v>101</v>
      </c>
      <c r="H2" s="5" t="s">
        <v>102</v>
      </c>
      <c r="I2" s="5" t="s">
        <v>103</v>
      </c>
      <c r="J2" s="5" t="s">
        <v>365</v>
      </c>
      <c r="K2" s="5" t="s">
        <v>104</v>
      </c>
    </row>
    <row r="3" customFormat="false" ht="32.8" hidden="false" customHeight="false" outlineLevel="0" collapsed="false">
      <c r="A3" s="6" t="s">
        <v>366</v>
      </c>
      <c r="B3" s="6" t="s">
        <v>367</v>
      </c>
      <c r="C3" s="6" t="s">
        <v>95</v>
      </c>
      <c r="D3" s="6" t="s">
        <v>98</v>
      </c>
      <c r="E3" s="6" t="s">
        <v>99</v>
      </c>
      <c r="F3" s="6" t="s">
        <v>100</v>
      </c>
      <c r="G3" s="6" t="s">
        <v>101</v>
      </c>
      <c r="H3" s="6" t="s">
        <v>102</v>
      </c>
      <c r="I3" s="6" t="s">
        <v>103</v>
      </c>
      <c r="J3" s="6" t="s">
        <v>368</v>
      </c>
      <c r="K3" s="6" t="s">
        <v>104</v>
      </c>
    </row>
    <row r="4" customFormat="false" ht="32.8" hidden="false" customHeight="false" outlineLevel="0" collapsed="false">
      <c r="A4" s="5" t="s">
        <v>369</v>
      </c>
      <c r="B4" s="5" t="s">
        <v>84</v>
      </c>
      <c r="C4" s="5" t="s">
        <v>84</v>
      </c>
      <c r="D4" s="5" t="s">
        <v>87</v>
      </c>
      <c r="E4" s="5" t="s">
        <v>88</v>
      </c>
      <c r="F4" s="5" t="s">
        <v>89</v>
      </c>
      <c r="G4" s="5" t="s">
        <v>90</v>
      </c>
      <c r="H4" s="5" t="s">
        <v>91</v>
      </c>
      <c r="I4" s="5" t="s">
        <v>92</v>
      </c>
      <c r="J4" s="5" t="s">
        <v>370</v>
      </c>
      <c r="K4" s="5" t="s">
        <v>93</v>
      </c>
    </row>
    <row r="5" customFormat="false" ht="22.35" hidden="false" customHeight="false" outlineLevel="0" collapsed="false">
      <c r="A5" s="6" t="s">
        <v>371</v>
      </c>
      <c r="B5" s="6" t="s">
        <v>372</v>
      </c>
      <c r="C5" s="6" t="s">
        <v>306</v>
      </c>
      <c r="D5" s="6" t="s">
        <v>309</v>
      </c>
      <c r="E5" s="6" t="s">
        <v>310</v>
      </c>
      <c r="F5" s="6" t="s">
        <v>311</v>
      </c>
      <c r="G5" s="6" t="s">
        <v>312</v>
      </c>
      <c r="H5" s="6" t="s">
        <v>313</v>
      </c>
      <c r="I5" s="6" t="s">
        <v>314</v>
      </c>
      <c r="J5" s="6" t="s">
        <v>373</v>
      </c>
      <c r="K5" s="6" t="s">
        <v>315</v>
      </c>
    </row>
    <row r="6" customFormat="false" ht="22.35" hidden="false" customHeight="false" outlineLevel="0" collapsed="false">
      <c r="A6" s="5" t="s">
        <v>374</v>
      </c>
      <c r="B6" s="5" t="s">
        <v>375</v>
      </c>
      <c r="C6" s="5" t="s">
        <v>306</v>
      </c>
      <c r="D6" s="5" t="s">
        <v>309</v>
      </c>
      <c r="E6" s="5" t="s">
        <v>310</v>
      </c>
      <c r="F6" s="5" t="s">
        <v>311</v>
      </c>
      <c r="G6" s="5" t="s">
        <v>312</v>
      </c>
      <c r="H6" s="5" t="s">
        <v>313</v>
      </c>
      <c r="I6" s="5" t="s">
        <v>314</v>
      </c>
      <c r="J6" s="5" t="s">
        <v>376</v>
      </c>
      <c r="K6" s="5" t="s">
        <v>315</v>
      </c>
    </row>
    <row r="7" customFormat="false" ht="22.35" hidden="false" customHeight="false" outlineLevel="0" collapsed="false">
      <c r="A7" s="6"/>
      <c r="B7" s="6"/>
      <c r="C7" s="6"/>
      <c r="D7" s="6"/>
      <c r="E7" s="6"/>
      <c r="F7" s="6"/>
      <c r="G7" s="6"/>
      <c r="H7" s="6"/>
      <c r="I7" s="6"/>
      <c r="J7" s="6"/>
      <c r="K7" s="6"/>
    </row>
    <row r="8" customFormat="false" ht="22.35" hidden="false" customHeight="false" outlineLevel="0" collapsed="false">
      <c r="A8" s="5" t="s">
        <v>380</v>
      </c>
      <c r="B8" s="5" t="s">
        <v>381</v>
      </c>
      <c r="C8" s="5" t="s">
        <v>306</v>
      </c>
      <c r="D8" s="5" t="s">
        <v>309</v>
      </c>
      <c r="E8" s="5" t="s">
        <v>310</v>
      </c>
      <c r="F8" s="5" t="s">
        <v>311</v>
      </c>
      <c r="G8" s="5" t="s">
        <v>312</v>
      </c>
      <c r="H8" s="5" t="s">
        <v>313</v>
      </c>
      <c r="I8" s="5" t="s">
        <v>314</v>
      </c>
      <c r="J8" s="5" t="s">
        <v>382</v>
      </c>
      <c r="K8" s="5" t="s">
        <v>315</v>
      </c>
    </row>
    <row r="9" customFormat="false" ht="22.35" hidden="false" customHeight="false" outlineLevel="0" collapsed="false">
      <c r="A9" s="6"/>
      <c r="B9" s="6"/>
      <c r="C9" s="6"/>
      <c r="D9" s="6"/>
      <c r="E9" s="6"/>
      <c r="F9" s="6"/>
      <c r="G9" s="6"/>
      <c r="H9" s="6"/>
      <c r="I9" s="6"/>
      <c r="J9" s="6"/>
      <c r="K9" s="6"/>
    </row>
    <row r="10" customFormat="false" ht="22.35" hidden="false" customHeight="false" outlineLevel="0" collapsed="false">
      <c r="A10" s="5" t="s">
        <v>386</v>
      </c>
      <c r="B10" s="5" t="s">
        <v>387</v>
      </c>
      <c r="C10" s="5" t="s">
        <v>306</v>
      </c>
      <c r="D10" s="5" t="s">
        <v>309</v>
      </c>
      <c r="E10" s="5" t="s">
        <v>310</v>
      </c>
      <c r="F10" s="5" t="s">
        <v>311</v>
      </c>
      <c r="G10" s="5" t="s">
        <v>312</v>
      </c>
      <c r="H10" s="5" t="s">
        <v>313</v>
      </c>
      <c r="I10" s="5" t="s">
        <v>314</v>
      </c>
      <c r="J10" s="5" t="s">
        <v>388</v>
      </c>
      <c r="K10" s="5" t="s">
        <v>315</v>
      </c>
    </row>
    <row r="11" customFormat="false" ht="22.35" hidden="false" customHeight="false" outlineLevel="0" collapsed="false">
      <c r="A11" s="6" t="s">
        <v>389</v>
      </c>
      <c r="B11" s="6" t="s">
        <v>390</v>
      </c>
      <c r="C11" s="6" t="s">
        <v>306</v>
      </c>
      <c r="D11" s="6" t="s">
        <v>309</v>
      </c>
      <c r="E11" s="6" t="s">
        <v>310</v>
      </c>
      <c r="F11" s="6" t="s">
        <v>311</v>
      </c>
      <c r="G11" s="6" t="s">
        <v>312</v>
      </c>
      <c r="H11" s="6" t="s">
        <v>313</v>
      </c>
      <c r="I11" s="6" t="s">
        <v>314</v>
      </c>
      <c r="J11" s="6" t="s">
        <v>391</v>
      </c>
      <c r="K11" s="6" t="s">
        <v>315</v>
      </c>
    </row>
    <row r="12" customFormat="false" ht="22.35" hidden="false" customHeight="false" outlineLevel="0" collapsed="false">
      <c r="A12" s="5" t="s">
        <v>392</v>
      </c>
      <c r="B12" s="5" t="s">
        <v>393</v>
      </c>
      <c r="C12" s="5" t="s">
        <v>306</v>
      </c>
      <c r="D12" s="5" t="s">
        <v>309</v>
      </c>
      <c r="E12" s="5" t="s">
        <v>310</v>
      </c>
      <c r="F12" s="5" t="s">
        <v>311</v>
      </c>
      <c r="G12" s="5" t="s">
        <v>312</v>
      </c>
      <c r="H12" s="5" t="s">
        <v>313</v>
      </c>
      <c r="I12" s="5" t="s">
        <v>314</v>
      </c>
      <c r="J12" s="5" t="s">
        <v>394</v>
      </c>
      <c r="K12" s="5" t="s">
        <v>315</v>
      </c>
    </row>
    <row r="13" customFormat="false" ht="22.35" hidden="false" customHeight="false" outlineLevel="0" collapsed="false">
      <c r="A13" s="6" t="s">
        <v>395</v>
      </c>
      <c r="B13" s="6" t="s">
        <v>396</v>
      </c>
      <c r="C13" s="6" t="s">
        <v>306</v>
      </c>
      <c r="D13" s="6" t="s">
        <v>309</v>
      </c>
      <c r="E13" s="6" t="s">
        <v>310</v>
      </c>
      <c r="F13" s="6" t="s">
        <v>311</v>
      </c>
      <c r="G13" s="6" t="s">
        <v>312</v>
      </c>
      <c r="H13" s="6" t="s">
        <v>313</v>
      </c>
      <c r="I13" s="6" t="s">
        <v>314</v>
      </c>
      <c r="J13" s="6" t="s">
        <v>397</v>
      </c>
      <c r="K13" s="6" t="s">
        <v>315</v>
      </c>
    </row>
    <row r="14" customFormat="false" ht="32.8" hidden="false" customHeight="false" outlineLevel="0" collapsed="false">
      <c r="A14" s="5" t="s">
        <v>398</v>
      </c>
      <c r="B14" s="5" t="s">
        <v>399</v>
      </c>
      <c r="C14" s="5" t="s">
        <v>106</v>
      </c>
      <c r="D14" s="5" t="s">
        <v>109</v>
      </c>
      <c r="E14" s="5" t="s">
        <v>110</v>
      </c>
      <c r="F14" s="5" t="s">
        <v>111</v>
      </c>
      <c r="G14" s="5" t="s">
        <v>112</v>
      </c>
      <c r="H14" s="5" t="s">
        <v>113</v>
      </c>
      <c r="I14" s="5" t="s">
        <v>114</v>
      </c>
      <c r="J14" s="5" t="s">
        <v>400</v>
      </c>
      <c r="K14" s="5" t="s">
        <v>115</v>
      </c>
    </row>
    <row r="15" customFormat="false" ht="15" hidden="false" customHeight="false" outlineLevel="0" collapsed="false">
      <c r="A15" s="6" t="s">
        <v>401</v>
      </c>
      <c r="B15" s="6" t="s">
        <v>402</v>
      </c>
      <c r="C15" s="6" t="s">
        <v>349</v>
      </c>
      <c r="D15" s="6" t="s">
        <v>352</v>
      </c>
      <c r="E15" s="6" t="s">
        <v>353</v>
      </c>
      <c r="F15" s="6" t="s">
        <v>354</v>
      </c>
      <c r="G15" s="6" t="s">
        <v>355</v>
      </c>
      <c r="H15" s="6" t="s">
        <v>356</v>
      </c>
      <c r="I15" s="6" t="s">
        <v>357</v>
      </c>
      <c r="J15" s="6" t="s">
        <v>370</v>
      </c>
      <c r="K15" s="6" t="s">
        <v>358</v>
      </c>
    </row>
    <row r="16" customFormat="false" ht="32.8" hidden="false" customHeight="false" outlineLevel="0" collapsed="false">
      <c r="A16" s="5" t="s">
        <v>403</v>
      </c>
      <c r="B16" s="5" t="s">
        <v>404</v>
      </c>
      <c r="C16" s="5" t="s">
        <v>95</v>
      </c>
      <c r="D16" s="5" t="s">
        <v>98</v>
      </c>
      <c r="E16" s="5" t="s">
        <v>99</v>
      </c>
      <c r="F16" s="5" t="s">
        <v>100</v>
      </c>
      <c r="G16" s="5" t="s">
        <v>101</v>
      </c>
      <c r="H16" s="5" t="s">
        <v>102</v>
      </c>
      <c r="I16" s="5" t="s">
        <v>103</v>
      </c>
      <c r="J16" s="5" t="s">
        <v>405</v>
      </c>
      <c r="K16" s="5" t="s">
        <v>104</v>
      </c>
    </row>
    <row r="17" customFormat="false" ht="22.35" hidden="false" customHeight="false" outlineLevel="0" collapsed="false">
      <c r="A17" s="6" t="s">
        <v>406</v>
      </c>
      <c r="B17" s="6" t="s">
        <v>339</v>
      </c>
      <c r="C17" s="6" t="s">
        <v>339</v>
      </c>
      <c r="D17" s="6" t="s">
        <v>342</v>
      </c>
      <c r="E17" s="6" t="s">
        <v>343</v>
      </c>
      <c r="F17" s="6" t="s">
        <v>344</v>
      </c>
      <c r="G17" s="6" t="s">
        <v>345</v>
      </c>
      <c r="H17" s="6" t="s">
        <v>302</v>
      </c>
      <c r="I17" s="6" t="s">
        <v>346</v>
      </c>
      <c r="J17" s="6" t="s">
        <v>370</v>
      </c>
      <c r="K17" s="6" t="s">
        <v>347</v>
      </c>
    </row>
    <row r="18" customFormat="false" ht="32.8" hidden="false" customHeight="false" outlineLevel="0" collapsed="false">
      <c r="A18" s="5"/>
      <c r="B18" s="5"/>
      <c r="C18" s="5"/>
      <c r="D18" s="5"/>
      <c r="E18" s="5"/>
      <c r="F18" s="5"/>
      <c r="G18" s="5"/>
      <c r="H18" s="5"/>
      <c r="I18" s="5"/>
      <c r="J18" s="5"/>
      <c r="K18" s="5"/>
    </row>
    <row r="19" customFormat="false" ht="32.8" hidden="false" customHeight="false" outlineLevel="0" collapsed="false">
      <c r="A19" s="6"/>
      <c r="B19" s="6"/>
      <c r="C19" s="6"/>
      <c r="D19" s="6"/>
      <c r="E19" s="6"/>
      <c r="F19" s="6"/>
      <c r="G19" s="6"/>
      <c r="H19" s="6"/>
      <c r="I19" s="6"/>
      <c r="J19" s="6"/>
      <c r="K19" s="6"/>
    </row>
    <row r="20" customFormat="false" ht="22.35" hidden="false" customHeight="false" outlineLevel="0" collapsed="false">
      <c r="A20" s="5" t="s">
        <v>413</v>
      </c>
      <c r="B20" s="5" t="s">
        <v>414</v>
      </c>
      <c r="C20" s="5" t="s">
        <v>150</v>
      </c>
      <c r="D20" s="5" t="s">
        <v>152</v>
      </c>
      <c r="E20" s="5" t="s">
        <v>153</v>
      </c>
      <c r="F20" s="5" t="s">
        <v>154</v>
      </c>
      <c r="G20" s="5" t="s">
        <v>155</v>
      </c>
      <c r="H20" s="5" t="s">
        <v>156</v>
      </c>
      <c r="I20" s="5" t="s">
        <v>157</v>
      </c>
      <c r="J20" s="5" t="s">
        <v>415</v>
      </c>
      <c r="K20" s="5" t="s">
        <v>158</v>
      </c>
    </row>
    <row r="21" customFormat="false" ht="32.8" hidden="false" customHeight="false" outlineLevel="0" collapsed="false">
      <c r="A21" s="6" t="s">
        <v>416</v>
      </c>
      <c r="B21" s="6" t="s">
        <v>417</v>
      </c>
      <c r="C21" s="6" t="s">
        <v>139</v>
      </c>
      <c r="D21" s="6" t="s">
        <v>142</v>
      </c>
      <c r="E21" s="6" t="s">
        <v>143</v>
      </c>
      <c r="F21" s="6" t="s">
        <v>144</v>
      </c>
      <c r="G21" s="6" t="s">
        <v>145</v>
      </c>
      <c r="H21" s="6" t="s">
        <v>146</v>
      </c>
      <c r="I21" s="6" t="s">
        <v>147</v>
      </c>
      <c r="J21" s="6" t="s">
        <v>418</v>
      </c>
      <c r="K21" s="6" t="s">
        <v>148</v>
      </c>
    </row>
    <row r="22" customFormat="false" ht="32.8" hidden="false" customHeight="false" outlineLevel="0" collapsed="false">
      <c r="A22" s="5" t="s">
        <v>419</v>
      </c>
      <c r="B22" s="5" t="s">
        <v>420</v>
      </c>
      <c r="C22" s="5" t="s">
        <v>139</v>
      </c>
      <c r="D22" s="5" t="s">
        <v>142</v>
      </c>
      <c r="E22" s="5" t="s">
        <v>143</v>
      </c>
      <c r="F22" s="5" t="s">
        <v>144</v>
      </c>
      <c r="G22" s="5" t="s">
        <v>145</v>
      </c>
      <c r="H22" s="5" t="s">
        <v>146</v>
      </c>
      <c r="I22" s="5" t="s">
        <v>147</v>
      </c>
      <c r="J22" s="5" t="s">
        <v>370</v>
      </c>
      <c r="K22" s="5" t="s">
        <v>148</v>
      </c>
    </row>
    <row r="23" customFormat="false" ht="22.35" hidden="false" customHeight="false" outlineLevel="0" collapsed="false">
      <c r="A23" s="6" t="s">
        <v>421</v>
      </c>
      <c r="B23" s="6" t="s">
        <v>422</v>
      </c>
      <c r="C23" s="6" t="s">
        <v>150</v>
      </c>
      <c r="D23" s="6" t="s">
        <v>152</v>
      </c>
      <c r="E23" s="6" t="s">
        <v>153</v>
      </c>
      <c r="F23" s="6" t="s">
        <v>154</v>
      </c>
      <c r="G23" s="6" t="s">
        <v>155</v>
      </c>
      <c r="H23" s="6" t="s">
        <v>156</v>
      </c>
      <c r="I23" s="6" t="s">
        <v>157</v>
      </c>
      <c r="J23" s="6" t="s">
        <v>370</v>
      </c>
      <c r="K23" s="6" t="s">
        <v>158</v>
      </c>
    </row>
    <row r="24" customFormat="false" ht="22.35" hidden="false" customHeight="false" outlineLevel="0" collapsed="false">
      <c r="A24" s="5" t="s">
        <v>423</v>
      </c>
      <c r="B24" s="5" t="s">
        <v>424</v>
      </c>
      <c r="C24" s="5" t="s">
        <v>160</v>
      </c>
      <c r="D24" s="5" t="s">
        <v>163</v>
      </c>
      <c r="E24" s="5" t="s">
        <v>164</v>
      </c>
      <c r="F24" s="5" t="s">
        <v>165</v>
      </c>
      <c r="G24" s="5" t="s">
        <v>166</v>
      </c>
      <c r="H24" s="5" t="s">
        <v>167</v>
      </c>
      <c r="I24" s="5" t="s">
        <v>168</v>
      </c>
      <c r="J24" s="5" t="s">
        <v>425</v>
      </c>
      <c r="K24" s="5" t="s">
        <v>169</v>
      </c>
    </row>
    <row r="25" customFormat="false" ht="22.35" hidden="false" customHeight="false" outlineLevel="0" collapsed="false">
      <c r="A25" s="6" t="s">
        <v>426</v>
      </c>
      <c r="B25" s="6" t="s">
        <v>427</v>
      </c>
      <c r="C25" s="6" t="s">
        <v>150</v>
      </c>
      <c r="D25" s="6" t="s">
        <v>152</v>
      </c>
      <c r="E25" s="6" t="s">
        <v>153</v>
      </c>
      <c r="F25" s="6" t="s">
        <v>154</v>
      </c>
      <c r="G25" s="6" t="s">
        <v>155</v>
      </c>
      <c r="H25" s="6" t="s">
        <v>156</v>
      </c>
      <c r="I25" s="6" t="s">
        <v>157</v>
      </c>
      <c r="J25" s="6" t="s">
        <v>428</v>
      </c>
      <c r="K25" s="6" t="s">
        <v>158</v>
      </c>
    </row>
    <row r="26" customFormat="false" ht="22.35" hidden="false" customHeight="false" outlineLevel="0" collapsed="false">
      <c r="A26" s="5" t="s">
        <v>429</v>
      </c>
      <c r="B26" s="5" t="s">
        <v>430</v>
      </c>
      <c r="C26" s="5" t="s">
        <v>160</v>
      </c>
      <c r="D26" s="5" t="s">
        <v>163</v>
      </c>
      <c r="E26" s="5" t="s">
        <v>164</v>
      </c>
      <c r="F26" s="5" t="s">
        <v>165</v>
      </c>
      <c r="G26" s="5" t="s">
        <v>166</v>
      </c>
      <c r="H26" s="5" t="s">
        <v>167</v>
      </c>
      <c r="I26" s="5" t="s">
        <v>168</v>
      </c>
      <c r="J26" s="5" t="s">
        <v>370</v>
      </c>
      <c r="K26" s="5" t="s">
        <v>169</v>
      </c>
    </row>
    <row r="27" customFormat="false" ht="22.35" hidden="false" customHeight="false" outlineLevel="0" collapsed="false">
      <c r="A27" s="6" t="s">
        <v>431</v>
      </c>
      <c r="B27" s="6" t="s">
        <v>432</v>
      </c>
      <c r="C27" s="6" t="s">
        <v>150</v>
      </c>
      <c r="D27" s="6" t="s">
        <v>152</v>
      </c>
      <c r="E27" s="6" t="s">
        <v>153</v>
      </c>
      <c r="F27" s="6" t="s">
        <v>154</v>
      </c>
      <c r="G27" s="6" t="s">
        <v>155</v>
      </c>
      <c r="H27" s="6" t="s">
        <v>156</v>
      </c>
      <c r="I27" s="6" t="s">
        <v>157</v>
      </c>
      <c r="J27" s="6" t="s">
        <v>370</v>
      </c>
      <c r="K27" s="6" t="s">
        <v>158</v>
      </c>
    </row>
    <row r="28" customFormat="false" ht="22.35" hidden="false" customHeight="false" outlineLevel="0" collapsed="false">
      <c r="A28" s="5" t="s">
        <v>433</v>
      </c>
      <c r="B28" s="5" t="s">
        <v>434</v>
      </c>
      <c r="C28" s="5" t="s">
        <v>317</v>
      </c>
      <c r="D28" s="5" t="s">
        <v>320</v>
      </c>
      <c r="E28" s="5" t="s">
        <v>321</v>
      </c>
      <c r="F28" s="5" t="s">
        <v>322</v>
      </c>
      <c r="G28" s="5" t="s">
        <v>323</v>
      </c>
      <c r="H28" s="5" t="s">
        <v>324</v>
      </c>
      <c r="I28" s="5" t="s">
        <v>325</v>
      </c>
      <c r="J28" s="5" t="s">
        <v>370</v>
      </c>
      <c r="K28" s="5" t="s">
        <v>326</v>
      </c>
    </row>
    <row r="29" customFormat="false" ht="15" hidden="false" customHeight="false" outlineLevel="0" collapsed="false">
      <c r="A29" s="6" t="s">
        <v>435</v>
      </c>
      <c r="B29" s="6" t="s">
        <v>436</v>
      </c>
      <c r="C29" s="6" t="s">
        <v>171</v>
      </c>
      <c r="D29" s="6" t="s">
        <v>173</v>
      </c>
      <c r="E29" s="6" t="s">
        <v>174</v>
      </c>
      <c r="F29" s="6" t="s">
        <v>175</v>
      </c>
      <c r="G29" s="6" t="s">
        <v>176</v>
      </c>
      <c r="H29" s="6" t="s">
        <v>177</v>
      </c>
      <c r="I29" s="6" t="s">
        <v>178</v>
      </c>
      <c r="J29" s="6" t="s">
        <v>437</v>
      </c>
      <c r="K29" s="6" t="s">
        <v>179</v>
      </c>
    </row>
    <row r="30" customFormat="false" ht="15" hidden="false" customHeight="false" outlineLevel="0" collapsed="false">
      <c r="A30" s="5" t="s">
        <v>438</v>
      </c>
      <c r="B30" s="5" t="s">
        <v>439</v>
      </c>
      <c r="C30" s="5" t="s">
        <v>171</v>
      </c>
      <c r="D30" s="5" t="s">
        <v>173</v>
      </c>
      <c r="E30" s="5" t="s">
        <v>174</v>
      </c>
      <c r="F30" s="5" t="s">
        <v>175</v>
      </c>
      <c r="G30" s="5" t="s">
        <v>176</v>
      </c>
      <c r="H30" s="5" t="s">
        <v>177</v>
      </c>
      <c r="I30" s="5" t="s">
        <v>178</v>
      </c>
      <c r="J30" s="5" t="s">
        <v>370</v>
      </c>
      <c r="K30" s="5" t="s">
        <v>179</v>
      </c>
    </row>
    <row r="31" customFormat="false" ht="32.8" hidden="false" customHeight="false" outlineLevel="0" collapsed="false">
      <c r="A31" s="6" t="s">
        <v>440</v>
      </c>
      <c r="B31" s="6" t="s">
        <v>441</v>
      </c>
      <c r="C31" s="6" t="s">
        <v>181</v>
      </c>
      <c r="D31" s="6" t="s">
        <v>184</v>
      </c>
      <c r="E31" s="6" t="s">
        <v>185</v>
      </c>
      <c r="F31" s="6" t="s">
        <v>186</v>
      </c>
      <c r="G31" s="6" t="s">
        <v>187</v>
      </c>
      <c r="H31" s="6" t="s">
        <v>188</v>
      </c>
      <c r="I31" s="6" t="s">
        <v>189</v>
      </c>
      <c r="J31" s="6" t="s">
        <v>442</v>
      </c>
      <c r="K31" s="6" t="s">
        <v>148</v>
      </c>
    </row>
    <row r="32" customFormat="false" ht="15" hidden="false" customHeight="false" outlineLevel="0" collapsed="false">
      <c r="A32" s="5" t="s">
        <v>443</v>
      </c>
      <c r="B32" s="5" t="s">
        <v>444</v>
      </c>
      <c r="C32" s="5" t="s">
        <v>171</v>
      </c>
      <c r="D32" s="5" t="s">
        <v>173</v>
      </c>
      <c r="E32" s="5" t="s">
        <v>174</v>
      </c>
      <c r="F32" s="5" t="s">
        <v>175</v>
      </c>
      <c r="G32" s="5" t="s">
        <v>176</v>
      </c>
      <c r="H32" s="5" t="s">
        <v>177</v>
      </c>
      <c r="I32" s="5" t="s">
        <v>178</v>
      </c>
      <c r="J32" s="5" t="s">
        <v>445</v>
      </c>
      <c r="K32" s="5" t="s">
        <v>179</v>
      </c>
    </row>
    <row r="33" customFormat="false" ht="22.35" hidden="false" customHeight="false" outlineLevel="0" collapsed="false">
      <c r="A33" s="6" t="s">
        <v>446</v>
      </c>
      <c r="B33" s="6" t="s">
        <v>447</v>
      </c>
      <c r="C33" s="6" t="s">
        <v>191</v>
      </c>
      <c r="D33" s="6" t="s">
        <v>194</v>
      </c>
      <c r="E33" s="6" t="s">
        <v>195</v>
      </c>
      <c r="F33" s="6" t="s">
        <v>196</v>
      </c>
      <c r="G33" s="6" t="s">
        <v>197</v>
      </c>
      <c r="H33" s="6" t="s">
        <v>198</v>
      </c>
      <c r="I33" s="6" t="s">
        <v>199</v>
      </c>
      <c r="J33" s="6" t="s">
        <v>370</v>
      </c>
      <c r="K33" s="6" t="s">
        <v>200</v>
      </c>
    </row>
    <row r="34" customFormat="false" ht="32.8" hidden="false" customHeight="false" outlineLevel="0" collapsed="false">
      <c r="A34" s="5" t="s">
        <v>448</v>
      </c>
      <c r="B34" s="5" t="s">
        <v>449</v>
      </c>
      <c r="C34" s="5" t="s">
        <v>181</v>
      </c>
      <c r="D34" s="5" t="s">
        <v>184</v>
      </c>
      <c r="E34" s="5" t="s">
        <v>185</v>
      </c>
      <c r="F34" s="5" t="s">
        <v>186</v>
      </c>
      <c r="G34" s="5" t="s">
        <v>187</v>
      </c>
      <c r="H34" s="5" t="s">
        <v>188</v>
      </c>
      <c r="I34" s="5" t="s">
        <v>189</v>
      </c>
      <c r="J34" s="5" t="s">
        <v>450</v>
      </c>
      <c r="K34" s="5" t="s">
        <v>148</v>
      </c>
    </row>
    <row r="35" customFormat="false" ht="22.35" hidden="false" customHeight="false" outlineLevel="0" collapsed="false">
      <c r="A35" s="6" t="s">
        <v>451</v>
      </c>
      <c r="B35" s="6" t="s">
        <v>213</v>
      </c>
      <c r="C35" s="6" t="s">
        <v>213</v>
      </c>
      <c r="D35" s="6" t="s">
        <v>216</v>
      </c>
      <c r="E35" s="6" t="s">
        <v>217</v>
      </c>
      <c r="F35" s="6" t="s">
        <v>218</v>
      </c>
      <c r="G35" s="6" t="s">
        <v>219</v>
      </c>
      <c r="H35" s="6" t="s">
        <v>220</v>
      </c>
      <c r="I35" s="6" t="s">
        <v>221</v>
      </c>
      <c r="J35" s="6" t="s">
        <v>370</v>
      </c>
      <c r="K35" s="6" t="s">
        <v>222</v>
      </c>
    </row>
    <row r="36" customFormat="false" ht="22.35" hidden="false" customHeight="false" outlineLevel="0" collapsed="false">
      <c r="A36" s="5" t="s">
        <v>452</v>
      </c>
      <c r="B36" s="5" t="s">
        <v>453</v>
      </c>
      <c r="C36" s="5" t="s">
        <v>285</v>
      </c>
      <c r="D36" s="5" t="s">
        <v>288</v>
      </c>
      <c r="E36" s="5" t="s">
        <v>217</v>
      </c>
      <c r="F36" s="5" t="s">
        <v>289</v>
      </c>
      <c r="G36" s="5" t="s">
        <v>290</v>
      </c>
      <c r="H36" s="5" t="s">
        <v>291</v>
      </c>
      <c r="I36" s="5" t="s">
        <v>292</v>
      </c>
      <c r="J36" s="5" t="s">
        <v>454</v>
      </c>
      <c r="K36" s="5" t="s">
        <v>293</v>
      </c>
    </row>
    <row r="37" customFormat="false" ht="22.35" hidden="false" customHeight="false" outlineLevel="0" collapsed="false">
      <c r="A37" s="6"/>
      <c r="B37" s="6"/>
      <c r="C37" s="6"/>
      <c r="D37" s="6"/>
      <c r="E37" s="6"/>
      <c r="F37" s="6"/>
      <c r="G37" s="6"/>
      <c r="H37" s="6"/>
      <c r="I37" s="6"/>
      <c r="J37" s="6"/>
      <c r="K37" s="6"/>
    </row>
    <row r="38" customFormat="false" ht="22.35" hidden="false" customHeight="false" outlineLevel="0" collapsed="false">
      <c r="A38" s="5" t="s">
        <v>458</v>
      </c>
      <c r="B38" s="5" t="s">
        <v>459</v>
      </c>
      <c r="C38" s="5" t="s">
        <v>285</v>
      </c>
      <c r="D38" s="5" t="s">
        <v>288</v>
      </c>
      <c r="E38" s="5" t="s">
        <v>217</v>
      </c>
      <c r="F38" s="5" t="s">
        <v>289</v>
      </c>
      <c r="G38" s="5" t="s">
        <v>290</v>
      </c>
      <c r="H38" s="5" t="s">
        <v>291</v>
      </c>
      <c r="I38" s="5" t="s">
        <v>292</v>
      </c>
      <c r="J38" s="5" t="s">
        <v>460</v>
      </c>
      <c r="K38" s="5" t="s">
        <v>293</v>
      </c>
    </row>
    <row r="39" customFormat="false" ht="22.35" hidden="false" customHeight="false" outlineLevel="0" collapsed="false">
      <c r="A39" s="6" t="s">
        <v>461</v>
      </c>
      <c r="B39" s="6" t="s">
        <v>462</v>
      </c>
      <c r="C39" s="6" t="s">
        <v>264</v>
      </c>
      <c r="D39" s="6" t="s">
        <v>267</v>
      </c>
      <c r="E39" s="6" t="s">
        <v>268</v>
      </c>
      <c r="F39" s="6" t="s">
        <v>269</v>
      </c>
      <c r="G39" s="6" t="s">
        <v>270</v>
      </c>
      <c r="H39" s="6" t="s">
        <v>271</v>
      </c>
      <c r="I39" s="6" t="s">
        <v>272</v>
      </c>
      <c r="J39" s="6" t="s">
        <v>463</v>
      </c>
      <c r="K39" s="6" t="s">
        <v>273</v>
      </c>
    </row>
    <row r="40" customFormat="false" ht="22.35" hidden="false" customHeight="false" outlineLevel="0" collapsed="false">
      <c r="A40" s="5" t="s">
        <v>464</v>
      </c>
      <c r="B40" s="5" t="s">
        <v>202</v>
      </c>
      <c r="C40" s="5" t="s">
        <v>202</v>
      </c>
      <c r="D40" s="5" t="s">
        <v>205</v>
      </c>
      <c r="E40" s="5" t="s">
        <v>206</v>
      </c>
      <c r="F40" s="5" t="s">
        <v>207</v>
      </c>
      <c r="G40" s="5" t="s">
        <v>208</v>
      </c>
      <c r="H40" s="5" t="s">
        <v>209</v>
      </c>
      <c r="I40" s="5" t="s">
        <v>210</v>
      </c>
      <c r="J40" s="5" t="s">
        <v>370</v>
      </c>
      <c r="K40" s="5" t="s">
        <v>211</v>
      </c>
    </row>
    <row r="41" customFormat="false" ht="22.35" hidden="false" customHeight="false" outlineLevel="0" collapsed="false">
      <c r="A41" s="6" t="s">
        <v>465</v>
      </c>
      <c r="B41" s="6" t="s">
        <v>233</v>
      </c>
      <c r="C41" s="6" t="s">
        <v>233</v>
      </c>
      <c r="D41" s="6" t="s">
        <v>236</v>
      </c>
      <c r="E41" s="6" t="s">
        <v>237</v>
      </c>
      <c r="F41" s="6" t="s">
        <v>238</v>
      </c>
      <c r="G41" s="6" t="s">
        <v>239</v>
      </c>
      <c r="H41" s="6" t="s">
        <v>240</v>
      </c>
      <c r="I41" s="6" t="s">
        <v>241</v>
      </c>
      <c r="J41" s="6" t="s">
        <v>370</v>
      </c>
      <c r="K41" s="6" t="s">
        <v>242</v>
      </c>
    </row>
    <row r="42" customFormat="false" ht="22.35" hidden="false" customHeight="false" outlineLevel="0" collapsed="false">
      <c r="A42" s="5" t="s">
        <v>466</v>
      </c>
      <c r="B42" s="5" t="s">
        <v>244</v>
      </c>
      <c r="C42" s="5" t="s">
        <v>244</v>
      </c>
      <c r="D42" s="5" t="s">
        <v>247</v>
      </c>
      <c r="E42" s="5" t="s">
        <v>217</v>
      </c>
      <c r="F42" s="5" t="s">
        <v>248</v>
      </c>
      <c r="G42" s="5" t="s">
        <v>249</v>
      </c>
      <c r="H42" s="5" t="s">
        <v>250</v>
      </c>
      <c r="I42" s="5" t="s">
        <v>251</v>
      </c>
      <c r="J42" s="5" t="s">
        <v>370</v>
      </c>
      <c r="K42" s="5" t="s">
        <v>252</v>
      </c>
    </row>
    <row r="43" customFormat="false" ht="22.35" hidden="false" customHeight="false" outlineLevel="0" collapsed="false">
      <c r="A43" s="6"/>
      <c r="B43" s="6"/>
      <c r="C43" s="6"/>
      <c r="D43" s="6"/>
      <c r="E43" s="6"/>
      <c r="F43" s="6"/>
      <c r="G43" s="6"/>
      <c r="H43" s="6"/>
      <c r="I43" s="6"/>
      <c r="J43" s="6"/>
      <c r="K43" s="6"/>
    </row>
    <row r="44" customFormat="false" ht="22.35" hidden="false" customHeight="false" outlineLevel="0" collapsed="false">
      <c r="A44" s="5" t="s">
        <v>468</v>
      </c>
      <c r="B44" s="5" t="s">
        <v>469</v>
      </c>
      <c r="C44" s="5" t="s">
        <v>254</v>
      </c>
      <c r="D44" s="5" t="s">
        <v>257</v>
      </c>
      <c r="E44" s="5" t="s">
        <v>258</v>
      </c>
      <c r="F44" s="5" t="s">
        <v>259</v>
      </c>
      <c r="G44" s="5" t="s">
        <v>260</v>
      </c>
      <c r="H44" s="5" t="s">
        <v>220</v>
      </c>
      <c r="I44" s="5" t="s">
        <v>261</v>
      </c>
      <c r="J44" s="5" t="s">
        <v>370</v>
      </c>
      <c r="K44" s="5" t="s">
        <v>262</v>
      </c>
    </row>
    <row r="45" customFormat="false" ht="22.35" hidden="false" customHeight="false" outlineLevel="0" collapsed="false">
      <c r="A45" s="6" t="s">
        <v>470</v>
      </c>
      <c r="B45" s="6" t="s">
        <v>471</v>
      </c>
      <c r="C45" s="6" t="s">
        <v>264</v>
      </c>
      <c r="D45" s="6" t="s">
        <v>267</v>
      </c>
      <c r="E45" s="6" t="s">
        <v>268</v>
      </c>
      <c r="F45" s="6" t="s">
        <v>269</v>
      </c>
      <c r="G45" s="6" t="s">
        <v>270</v>
      </c>
      <c r="H45" s="6" t="s">
        <v>271</v>
      </c>
      <c r="I45" s="6" t="s">
        <v>272</v>
      </c>
      <c r="J45" s="6" t="s">
        <v>472</v>
      </c>
      <c r="K45" s="6" t="s">
        <v>273</v>
      </c>
    </row>
    <row r="46" customFormat="false" ht="22.35" hidden="false" customHeight="false" outlineLevel="0" collapsed="false">
      <c r="A46" s="5" t="s">
        <v>473</v>
      </c>
      <c r="B46" s="5" t="s">
        <v>474</v>
      </c>
      <c r="C46" s="5" t="s">
        <v>264</v>
      </c>
      <c r="D46" s="5" t="s">
        <v>267</v>
      </c>
      <c r="E46" s="5" t="s">
        <v>268</v>
      </c>
      <c r="F46" s="5" t="s">
        <v>269</v>
      </c>
      <c r="G46" s="5" t="s">
        <v>270</v>
      </c>
      <c r="H46" s="5" t="s">
        <v>271</v>
      </c>
      <c r="I46" s="5" t="s">
        <v>272</v>
      </c>
      <c r="J46" s="5" t="s">
        <v>370</v>
      </c>
      <c r="K46" s="5" t="s">
        <v>273</v>
      </c>
    </row>
    <row r="47" customFormat="false" ht="32.8" hidden="false" customHeight="false" outlineLevel="0" collapsed="false">
      <c r="A47" s="6" t="s">
        <v>475</v>
      </c>
      <c r="B47" s="6" t="s">
        <v>275</v>
      </c>
      <c r="C47" s="6" t="s">
        <v>275</v>
      </c>
      <c r="D47" s="6" t="s">
        <v>278</v>
      </c>
      <c r="E47" s="6" t="s">
        <v>279</v>
      </c>
      <c r="F47" s="6" t="s">
        <v>280</v>
      </c>
      <c r="G47" s="6" t="s">
        <v>281</v>
      </c>
      <c r="H47" s="6" t="s">
        <v>282</v>
      </c>
      <c r="I47" s="6" t="s">
        <v>283</v>
      </c>
      <c r="J47" s="6" t="s">
        <v>370</v>
      </c>
      <c r="K47" s="6" t="s">
        <v>284</v>
      </c>
    </row>
    <row r="48" customFormat="false" ht="22.35" hidden="false" customHeight="false" outlineLevel="0" collapsed="false">
      <c r="A48" s="5"/>
      <c r="B48" s="5"/>
      <c r="C48" s="5"/>
      <c r="D48" s="5"/>
      <c r="E48" s="5"/>
      <c r="F48" s="5"/>
      <c r="G48" s="5"/>
      <c r="H48" s="5"/>
      <c r="I48" s="5"/>
      <c r="J48" s="5"/>
      <c r="K48" s="5"/>
    </row>
    <row r="49" customFormat="false" ht="22.35" hidden="false" customHeight="false" outlineLevel="0" collapsed="false">
      <c r="A49" s="6" t="s">
        <v>478</v>
      </c>
      <c r="B49" s="6" t="s">
        <v>479</v>
      </c>
      <c r="C49" s="6" t="s">
        <v>328</v>
      </c>
      <c r="D49" s="6" t="s">
        <v>331</v>
      </c>
      <c r="E49" s="6" t="s">
        <v>332</v>
      </c>
      <c r="F49" s="6" t="s">
        <v>333</v>
      </c>
      <c r="G49" s="6" t="s">
        <v>334</v>
      </c>
      <c r="H49" s="6" t="s">
        <v>335</v>
      </c>
      <c r="I49" s="6" t="s">
        <v>336</v>
      </c>
      <c r="J49" s="6" t="s">
        <v>480</v>
      </c>
      <c r="K49" s="6" t="s">
        <v>337</v>
      </c>
    </row>
    <row r="50" customFormat="false" ht="32.8" hidden="false" customHeight="false" outlineLevel="0" collapsed="false">
      <c r="A50" s="5" t="s">
        <v>481</v>
      </c>
      <c r="B50" s="5" t="s">
        <v>62</v>
      </c>
      <c r="C50" s="5" t="s">
        <v>62</v>
      </c>
      <c r="D50" s="5" t="s">
        <v>65</v>
      </c>
      <c r="E50" s="5" t="s">
        <v>66</v>
      </c>
      <c r="F50" s="5" t="s">
        <v>67</v>
      </c>
      <c r="G50" s="5" t="s">
        <v>68</v>
      </c>
      <c r="H50" s="5" t="s">
        <v>69</v>
      </c>
      <c r="I50" s="5" t="s">
        <v>70</v>
      </c>
      <c r="J50" s="5" t="s">
        <v>370</v>
      </c>
      <c r="K50" s="5" t="s">
        <v>71</v>
      </c>
    </row>
    <row r="51" customFormat="false" ht="32.8" hidden="false" customHeight="false" outlineLevel="0" collapsed="false">
      <c r="A51" s="6" t="s">
        <v>482</v>
      </c>
      <c r="B51" s="6" t="s">
        <v>483</v>
      </c>
      <c r="C51" s="6" t="s">
        <v>62</v>
      </c>
      <c r="D51" s="6" t="s">
        <v>65</v>
      </c>
      <c r="E51" s="6" t="s">
        <v>66</v>
      </c>
      <c r="F51" s="6" t="s">
        <v>67</v>
      </c>
      <c r="G51" s="6" t="s">
        <v>68</v>
      </c>
      <c r="H51" s="6" t="s">
        <v>69</v>
      </c>
      <c r="I51" s="6" t="s">
        <v>70</v>
      </c>
      <c r="J51" s="6" t="s">
        <v>484</v>
      </c>
      <c r="K51" s="6" t="s">
        <v>71</v>
      </c>
    </row>
    <row r="52" customFormat="false" ht="32.8" hidden="false" customHeight="false" outlineLevel="0" collapsed="false">
      <c r="A52" s="5" t="s">
        <v>485</v>
      </c>
      <c r="B52" s="5" t="s">
        <v>486</v>
      </c>
      <c r="C52" s="5" t="s">
        <v>73</v>
      </c>
      <c r="D52" s="5" t="s">
        <v>76</v>
      </c>
      <c r="E52" s="5" t="s">
        <v>77</v>
      </c>
      <c r="F52" s="5" t="s">
        <v>78</v>
      </c>
      <c r="G52" s="5" t="s">
        <v>79</v>
      </c>
      <c r="H52" s="5" t="s">
        <v>80</v>
      </c>
      <c r="I52" s="5" t="s">
        <v>81</v>
      </c>
      <c r="J52" s="5" t="s">
        <v>370</v>
      </c>
      <c r="K52" s="5" t="s">
        <v>82</v>
      </c>
    </row>
    <row r="53" customFormat="false" ht="32.8" hidden="false" customHeight="false" outlineLevel="0" collapsed="false">
      <c r="A53" s="6" t="s">
        <v>487</v>
      </c>
      <c r="B53" s="6" t="s">
        <v>488</v>
      </c>
      <c r="C53" s="6" t="s">
        <v>73</v>
      </c>
      <c r="D53" s="6" t="s">
        <v>76</v>
      </c>
      <c r="E53" s="6" t="s">
        <v>77</v>
      </c>
      <c r="F53" s="6" t="s">
        <v>78</v>
      </c>
      <c r="G53" s="6" t="s">
        <v>79</v>
      </c>
      <c r="H53" s="6" t="s">
        <v>80</v>
      </c>
      <c r="I53" s="6" t="s">
        <v>81</v>
      </c>
      <c r="J53" s="6" t="s">
        <v>370</v>
      </c>
      <c r="K53" s="6" t="s">
        <v>82</v>
      </c>
    </row>
    <row r="54" customFormat="false" ht="22.35" hidden="false" customHeight="false" outlineLevel="0" collapsed="false">
      <c r="A54" s="5" t="s">
        <v>489</v>
      </c>
      <c r="B54" s="5" t="s">
        <v>490</v>
      </c>
      <c r="C54" s="5" t="s">
        <v>295</v>
      </c>
      <c r="D54" s="5" t="s">
        <v>298</v>
      </c>
      <c r="E54" s="5" t="s">
        <v>299</v>
      </c>
      <c r="F54" s="5" t="s">
        <v>300</v>
      </c>
      <c r="G54" s="5" t="s">
        <v>301</v>
      </c>
      <c r="H54" s="5" t="s">
        <v>302</v>
      </c>
      <c r="I54" s="5" t="s">
        <v>303</v>
      </c>
      <c r="J54" s="5" t="s">
        <v>491</v>
      </c>
      <c r="K54" s="5" t="s">
        <v>304</v>
      </c>
    </row>
    <row r="55" customFormat="false" ht="22.35" hidden="false" customHeight="false" outlineLevel="0" collapsed="false">
      <c r="A55" s="6"/>
      <c r="B55" s="6"/>
      <c r="C55" s="6"/>
      <c r="D55" s="6"/>
      <c r="E55" s="6"/>
      <c r="F55" s="6"/>
      <c r="G55" s="6"/>
      <c r="H55" s="6"/>
      <c r="I55" s="6"/>
      <c r="J55" s="6"/>
      <c r="K55" s="6"/>
    </row>
    <row r="56" customFormat="false" ht="22.35" hidden="false" customHeight="false" outlineLevel="0" collapsed="false">
      <c r="A56" s="5" t="s">
        <v>495</v>
      </c>
      <c r="B56" s="5" t="s">
        <v>496</v>
      </c>
      <c r="C56" s="5" t="s">
        <v>117</v>
      </c>
      <c r="D56" s="5" t="s">
        <v>120</v>
      </c>
      <c r="E56" s="5" t="s">
        <v>121</v>
      </c>
      <c r="F56" s="5" t="s">
        <v>122</v>
      </c>
      <c r="G56" s="5" t="s">
        <v>123</v>
      </c>
      <c r="H56" s="5" t="s">
        <v>124</v>
      </c>
      <c r="I56" s="5" t="s">
        <v>125</v>
      </c>
      <c r="J56" s="5" t="s">
        <v>497</v>
      </c>
      <c r="K56" s="5" t="s">
        <v>126</v>
      </c>
    </row>
    <row r="57" customFormat="false" ht="22.35" hidden="false" customHeight="false" outlineLevel="0" collapsed="false">
      <c r="A57" s="6" t="s">
        <v>498</v>
      </c>
      <c r="B57" s="6" t="s">
        <v>499</v>
      </c>
      <c r="C57" s="6" t="s">
        <v>117</v>
      </c>
      <c r="D57" s="6" t="s">
        <v>120</v>
      </c>
      <c r="E57" s="6" t="s">
        <v>121</v>
      </c>
      <c r="F57" s="6" t="s">
        <v>122</v>
      </c>
      <c r="G57" s="6" t="s">
        <v>123</v>
      </c>
      <c r="H57" s="6" t="s">
        <v>124</v>
      </c>
      <c r="I57" s="6" t="s">
        <v>125</v>
      </c>
      <c r="J57" s="6" t="s">
        <v>500</v>
      </c>
      <c r="K57" s="6" t="s">
        <v>126</v>
      </c>
    </row>
    <row r="58" customFormat="false" ht="32.8" hidden="false" customHeight="false" outlineLevel="0" collapsed="false">
      <c r="A58" s="5" t="s">
        <v>501</v>
      </c>
      <c r="B58" s="5" t="s">
        <v>502</v>
      </c>
      <c r="C58" s="5" t="s">
        <v>128</v>
      </c>
      <c r="D58" s="5" t="s">
        <v>131</v>
      </c>
      <c r="E58" s="5" t="s">
        <v>132</v>
      </c>
      <c r="F58" s="5" t="s">
        <v>133</v>
      </c>
      <c r="G58" s="5" t="s">
        <v>134</v>
      </c>
      <c r="H58" s="5" t="s">
        <v>135</v>
      </c>
      <c r="I58" s="5" t="s">
        <v>136</v>
      </c>
      <c r="J58" s="5" t="s">
        <v>503</v>
      </c>
      <c r="K58" s="5" t="s">
        <v>137</v>
      </c>
    </row>
    <row r="59" customFormat="false" ht="32.8" hidden="false" customHeight="false" outlineLevel="0" collapsed="false">
      <c r="A59" s="6" t="s">
        <v>504</v>
      </c>
      <c r="B59" s="6" t="s">
        <v>505</v>
      </c>
      <c r="C59" s="6" t="s">
        <v>128</v>
      </c>
      <c r="D59" s="6" t="s">
        <v>131</v>
      </c>
      <c r="E59" s="6" t="s">
        <v>132</v>
      </c>
      <c r="F59" s="6" t="s">
        <v>133</v>
      </c>
      <c r="G59" s="6" t="s">
        <v>134</v>
      </c>
      <c r="H59" s="6" t="s">
        <v>135</v>
      </c>
      <c r="I59" s="6" t="s">
        <v>136</v>
      </c>
      <c r="J59" s="6" t="s">
        <v>506</v>
      </c>
      <c r="K59" s="6" t="s">
        <v>137</v>
      </c>
    </row>
  </sheetData>
  <autoFilter ref="A1:K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30"/>
    <col collapsed="false" customWidth="true" hidden="false" outlineLevel="0" max="4" min="4" style="0" width="60"/>
    <col collapsed="false" customWidth="true" hidden="false" outlineLevel="0" max="5" min="5" style="0" width="40"/>
  </cols>
  <sheetData>
    <row r="1" customFormat="false" ht="36" hidden="false" customHeight="true" outlineLevel="0" collapsed="false">
      <c r="A1" s="4" t="s">
        <v>507</v>
      </c>
      <c r="B1" s="4" t="s">
        <v>508</v>
      </c>
      <c r="C1" s="4" t="s">
        <v>509</v>
      </c>
      <c r="D1" s="4" t="s">
        <v>59</v>
      </c>
      <c r="E1" s="4" t="s">
        <v>510</v>
      </c>
    </row>
    <row r="2" customFormat="false" ht="15" hidden="false" customHeight="false" outlineLevel="0" collapsed="false">
      <c r="A2" s="5" t="s">
        <v>511</v>
      </c>
      <c r="B2" s="5" t="s">
        <v>512</v>
      </c>
      <c r="C2" s="5" t="s">
        <v>513</v>
      </c>
      <c r="D2" s="5" t="s">
        <v>514</v>
      </c>
      <c r="E2" s="5" t="s">
        <v>515</v>
      </c>
    </row>
    <row r="3" customFormat="false" ht="15" hidden="false" customHeight="false" outlineLevel="0" collapsed="false">
      <c r="A3" s="6" t="s">
        <v>516</v>
      </c>
      <c r="B3" s="6" t="s">
        <v>512</v>
      </c>
      <c r="C3" s="6" t="s">
        <v>517</v>
      </c>
      <c r="D3" s="6" t="s">
        <v>518</v>
      </c>
      <c r="E3" s="6" t="s">
        <v>519</v>
      </c>
    </row>
    <row r="4" customFormat="false" ht="15" hidden="false" customHeight="false" outlineLevel="0" collapsed="false">
      <c r="A4" s="5" t="s">
        <v>520</v>
      </c>
      <c r="B4" s="5" t="s">
        <v>521</v>
      </c>
      <c r="C4" s="5" t="s">
        <v>512</v>
      </c>
      <c r="D4" s="5" t="s">
        <v>522</v>
      </c>
      <c r="E4" s="5" t="s">
        <v>523</v>
      </c>
    </row>
    <row r="5" customFormat="false" ht="15" hidden="false" customHeight="false" outlineLevel="0" collapsed="false">
      <c r="A5" s="6" t="s">
        <v>524</v>
      </c>
      <c r="B5" s="6" t="s">
        <v>525</v>
      </c>
      <c r="C5" s="6" t="s">
        <v>370</v>
      </c>
      <c r="D5" s="6" t="s">
        <v>526</v>
      </c>
      <c r="E5" s="6" t="s">
        <v>527</v>
      </c>
    </row>
    <row r="6" customFormat="false" ht="15" hidden="false" customHeight="false" outlineLevel="0" collapsed="false">
      <c r="A6" s="5" t="s">
        <v>528</v>
      </c>
      <c r="B6" s="5" t="s">
        <v>529</v>
      </c>
      <c r="C6" s="5" t="s">
        <v>530</v>
      </c>
      <c r="D6" s="5" t="s">
        <v>531</v>
      </c>
      <c r="E6" s="5" t="s">
        <v>532</v>
      </c>
    </row>
    <row r="7" customFormat="false" ht="22.35" hidden="false" customHeight="false" outlineLevel="0" collapsed="false">
      <c r="A7" s="6" t="s">
        <v>533</v>
      </c>
      <c r="B7" s="6" t="s">
        <v>529</v>
      </c>
      <c r="C7" s="6" t="s">
        <v>534</v>
      </c>
      <c r="D7" s="6" t="s">
        <v>535</v>
      </c>
      <c r="E7" s="6" t="s">
        <v>536</v>
      </c>
    </row>
    <row r="8" customFormat="false" ht="15" hidden="false" customHeight="false" outlineLevel="0" collapsed="false">
      <c r="A8" s="5" t="s">
        <v>537</v>
      </c>
      <c r="B8" s="5" t="s">
        <v>538</v>
      </c>
      <c r="C8" s="5" t="s">
        <v>512</v>
      </c>
      <c r="D8" s="5" t="s">
        <v>539</v>
      </c>
      <c r="E8" s="5" t="s">
        <v>540</v>
      </c>
    </row>
    <row r="9" customFormat="false" ht="22.35" hidden="false" customHeight="false" outlineLevel="0" collapsed="false">
      <c r="A9" s="6" t="s">
        <v>541</v>
      </c>
      <c r="B9" s="6" t="s">
        <v>542</v>
      </c>
      <c r="C9" s="6" t="s">
        <v>543</v>
      </c>
      <c r="D9" s="6" t="s">
        <v>544</v>
      </c>
      <c r="E9" s="6" t="s">
        <v>545</v>
      </c>
    </row>
    <row r="10" customFormat="false" ht="15" hidden="false" customHeight="false" outlineLevel="0" collapsed="false">
      <c r="A10" s="5" t="s">
        <v>546</v>
      </c>
      <c r="B10" s="5" t="s">
        <v>538</v>
      </c>
      <c r="C10" s="5" t="s">
        <v>547</v>
      </c>
      <c r="D10" s="5" t="s">
        <v>548</v>
      </c>
      <c r="E10" s="5" t="s">
        <v>549</v>
      </c>
    </row>
    <row r="11" customFormat="false" ht="15" hidden="false" customHeight="false" outlineLevel="0" collapsed="false">
      <c r="A11" s="6" t="s">
        <v>550</v>
      </c>
      <c r="B11" s="6" t="s">
        <v>551</v>
      </c>
      <c r="C11" s="6" t="s">
        <v>552</v>
      </c>
      <c r="D11" s="6" t="s">
        <v>553</v>
      </c>
      <c r="E11" s="6" t="s">
        <v>554</v>
      </c>
    </row>
    <row r="12" customFormat="false" ht="15" hidden="false" customHeight="false" outlineLevel="0" collapsed="false">
      <c r="A12" s="5" t="s">
        <v>555</v>
      </c>
      <c r="B12" s="5" t="s">
        <v>529</v>
      </c>
      <c r="C12" s="5" t="s">
        <v>556</v>
      </c>
      <c r="D12" s="5" t="s">
        <v>557</v>
      </c>
      <c r="E12" s="5" t="s">
        <v>558</v>
      </c>
    </row>
    <row r="13" customFormat="false" ht="15" hidden="false" customHeight="false" outlineLevel="0" collapsed="false">
      <c r="A13" s="6" t="s">
        <v>559</v>
      </c>
      <c r="B13" s="6" t="s">
        <v>529</v>
      </c>
      <c r="C13" s="6" t="s">
        <v>534</v>
      </c>
      <c r="D13" s="6" t="s">
        <v>560</v>
      </c>
      <c r="E13" s="6" t="s">
        <v>370</v>
      </c>
    </row>
    <row r="14" customFormat="false" ht="15" hidden="false" customHeight="false" outlineLevel="0" collapsed="false">
      <c r="A14" s="5" t="s">
        <v>561</v>
      </c>
      <c r="B14" s="5" t="s">
        <v>525</v>
      </c>
      <c r="C14" s="5" t="s">
        <v>370</v>
      </c>
      <c r="D14" s="5" t="s">
        <v>562</v>
      </c>
      <c r="E14" s="5" t="s">
        <v>370</v>
      </c>
    </row>
  </sheetData>
  <autoFilter ref="A1:E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0"/>
    <col collapsed="false" customWidth="true" hidden="false" outlineLevel="0" max="3" min="3" style="0" width="40"/>
  </cols>
  <sheetData>
    <row r="1" customFormat="false" ht="36" hidden="false" customHeight="true" outlineLevel="0" collapsed="false">
      <c r="A1" s="4" t="s">
        <v>563</v>
      </c>
      <c r="B1" s="4" t="s">
        <v>564</v>
      </c>
      <c r="C1" s="4" t="s">
        <v>510</v>
      </c>
    </row>
    <row r="2" customFormat="false" ht="32.8" hidden="false" customHeight="false" outlineLevel="0" collapsed="false">
      <c r="A2" s="5" t="s">
        <v>565</v>
      </c>
      <c r="B2" s="5" t="s">
        <v>566</v>
      </c>
      <c r="C2" s="5" t="s">
        <v>567</v>
      </c>
    </row>
    <row r="3" customFormat="false" ht="22.35" hidden="false" customHeight="false" outlineLevel="0" collapsed="false">
      <c r="A3" s="6" t="s">
        <v>568</v>
      </c>
      <c r="B3" s="6" t="s">
        <v>569</v>
      </c>
      <c r="C3" s="6" t="s">
        <v>570</v>
      </c>
    </row>
    <row r="4" customFormat="false" ht="22.35" hidden="false" customHeight="false" outlineLevel="0" collapsed="false">
      <c r="A4" s="5" t="s">
        <v>571</v>
      </c>
      <c r="B4" s="5" t="s">
        <v>572</v>
      </c>
      <c r="C4" s="5" t="s">
        <v>573</v>
      </c>
    </row>
    <row r="5" customFormat="false" ht="22.35" hidden="false" customHeight="false" outlineLevel="0" collapsed="false">
      <c r="A5" s="6" t="s">
        <v>574</v>
      </c>
      <c r="B5" s="6" t="s">
        <v>575</v>
      </c>
      <c r="C5" s="6" t="s">
        <v>576</v>
      </c>
    </row>
    <row r="6" customFormat="false" ht="22.35" hidden="false" customHeight="false" outlineLevel="0" collapsed="false">
      <c r="A6" s="5" t="s">
        <v>577</v>
      </c>
      <c r="B6" s="5" t="s">
        <v>578</v>
      </c>
      <c r="C6" s="5" t="s">
        <v>370</v>
      </c>
    </row>
    <row r="7" customFormat="false" ht="15" hidden="false" customHeight="false" outlineLevel="0" collapsed="false">
      <c r="A7" s="6" t="s">
        <v>579</v>
      </c>
      <c r="B7" s="6" t="s">
        <v>580</v>
      </c>
      <c r="C7" s="6" t="s">
        <v>370</v>
      </c>
    </row>
  </sheetData>
  <autoFilter ref="A1:C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4"/>
    <col collapsed="false" customWidth="true" hidden="false" outlineLevel="0" max="4" min="4" style="0" width="26"/>
    <col collapsed="false" customWidth="true" hidden="false" outlineLevel="0" max="5" min="5" style="0" width="40"/>
    <col collapsed="false" customWidth="true" hidden="false" outlineLevel="0" max="6" min="6" style="0" width="24"/>
    <col collapsed="false" customWidth="true" hidden="false" outlineLevel="0" max="7" min="7" style="0" width="34"/>
    <col collapsed="false" customWidth="true" hidden="false" outlineLevel="0" max="8" min="8" style="0" width="55"/>
    <col collapsed="false" customWidth="true" hidden="false" outlineLevel="0" max="9" min="9" style="0" width="50"/>
    <col collapsed="false" customWidth="true" hidden="false" outlineLevel="0" max="17" min="10" style="0" width="9"/>
    <col collapsed="false" customWidth="true" hidden="false" outlineLevel="0" max="18" min="18" style="0" width="8"/>
    <col collapsed="false" customWidth="true" hidden="false" outlineLevel="0" max="20" min="19" style="0" width="30"/>
    <col collapsed="false" customWidth="true" hidden="false" outlineLevel="0" max="22" min="21" style="0" width="26"/>
    <col collapsed="false" customWidth="true" hidden="false" outlineLevel="0" max="24" min="23" style="0" width="12"/>
  </cols>
  <sheetData>
    <row r="1" customFormat="false" ht="36" hidden="false" customHeight="true" outlineLevel="0" collapsed="false">
      <c r="A1" s="4" t="s">
        <v>12</v>
      </c>
      <c r="B1" s="4" t="s">
        <v>581</v>
      </c>
      <c r="C1" s="4" t="s">
        <v>582</v>
      </c>
      <c r="D1" s="4" t="s">
        <v>583</v>
      </c>
      <c r="E1" s="4" t="s">
        <v>584</v>
      </c>
      <c r="F1" s="4" t="s">
        <v>585</v>
      </c>
      <c r="G1" s="4" t="s">
        <v>53</v>
      </c>
      <c r="H1" s="4" t="s">
        <v>586</v>
      </c>
      <c r="I1" s="4" t="s">
        <v>587</v>
      </c>
      <c r="J1" s="4" t="s">
        <v>588</v>
      </c>
      <c r="K1" s="4" t="s">
        <v>589</v>
      </c>
      <c r="L1" s="4" t="s">
        <v>590</v>
      </c>
      <c r="M1" s="4" t="s">
        <v>591</v>
      </c>
      <c r="N1" s="4" t="s">
        <v>592</v>
      </c>
      <c r="O1" s="4" t="s">
        <v>593</v>
      </c>
      <c r="P1" s="4" t="s">
        <v>594</v>
      </c>
      <c r="Q1" s="4" t="s">
        <v>595</v>
      </c>
      <c r="R1" s="4" t="s">
        <v>596</v>
      </c>
      <c r="S1" s="4" t="s">
        <v>597</v>
      </c>
      <c r="T1" s="4" t="s">
        <v>598</v>
      </c>
      <c r="U1" s="4" t="s">
        <v>599</v>
      </c>
      <c r="V1" s="4" t="s">
        <v>600</v>
      </c>
      <c r="W1" s="4" t="s">
        <v>601</v>
      </c>
      <c r="X1" s="4" t="s">
        <v>602</v>
      </c>
    </row>
    <row r="2" customFormat="false" ht="22.35" hidden="false" customHeight="false" outlineLevel="0" collapsed="false">
      <c r="A2" s="5" t="s">
        <v>603</v>
      </c>
      <c r="B2" s="5" t="s">
        <v>604</v>
      </c>
      <c r="C2" s="5" t="s">
        <v>605</v>
      </c>
      <c r="D2" s="5"/>
      <c r="E2" s="5" t="s">
        <v>606</v>
      </c>
      <c r="F2" s="5" t="s">
        <v>607</v>
      </c>
      <c r="G2" s="5" t="s">
        <v>370</v>
      </c>
      <c r="H2" s="5" t="s">
        <v>608</v>
      </c>
      <c r="I2" s="5" t="s">
        <v>609</v>
      </c>
      <c r="J2" s="7" t="n">
        <v>25</v>
      </c>
      <c r="K2" s="7" t="n">
        <v>20</v>
      </c>
      <c r="L2" s="7" t="n">
        <v>12</v>
      </c>
      <c r="M2" s="7" t="n">
        <v>12</v>
      </c>
      <c r="N2" s="7" t="n">
        <v>10</v>
      </c>
      <c r="O2" s="7" t="n">
        <v>8</v>
      </c>
      <c r="P2" s="7" t="n">
        <v>5</v>
      </c>
      <c r="Q2" s="7" t="n">
        <v>8</v>
      </c>
      <c r="R2" s="8" t="n">
        <f aca="false">SUM(J2:Q2)</f>
        <v>100</v>
      </c>
      <c r="S2" s="5" t="s">
        <v>610</v>
      </c>
      <c r="T2" s="5" t="s">
        <v>611</v>
      </c>
      <c r="U2" s="5" t="s">
        <v>370</v>
      </c>
      <c r="V2" s="5" t="s">
        <v>370</v>
      </c>
      <c r="W2" s="5" t="s">
        <v>612</v>
      </c>
      <c r="X2" s="5" t="s">
        <v>613</v>
      </c>
    </row>
    <row r="3" customFormat="false" ht="32.8" hidden="false" customHeight="false" outlineLevel="0" collapsed="false">
      <c r="A3" s="6" t="s">
        <v>614</v>
      </c>
      <c r="B3" s="6" t="s">
        <v>615</v>
      </c>
      <c r="C3" s="6" t="s">
        <v>616</v>
      </c>
      <c r="D3" s="6"/>
      <c r="E3" s="6" t="s">
        <v>617</v>
      </c>
      <c r="F3" s="6" t="s">
        <v>618</v>
      </c>
      <c r="G3" s="6" t="s">
        <v>619</v>
      </c>
      <c r="H3" s="6" t="s">
        <v>620</v>
      </c>
      <c r="I3" s="6" t="s">
        <v>621</v>
      </c>
      <c r="J3" s="9" t="n">
        <v>25</v>
      </c>
      <c r="K3" s="9" t="n">
        <v>30</v>
      </c>
      <c r="L3" s="9" t="n">
        <v>10</v>
      </c>
      <c r="M3" s="9" t="n">
        <v>5</v>
      </c>
      <c r="N3" s="9" t="n">
        <v>8</v>
      </c>
      <c r="O3" s="9" t="n">
        <v>10</v>
      </c>
      <c r="P3" s="9" t="n">
        <v>4</v>
      </c>
      <c r="Q3" s="9" t="n">
        <v>8</v>
      </c>
      <c r="R3" s="10" t="n">
        <f aca="false">SUM(J3:Q3)</f>
        <v>100</v>
      </c>
      <c r="S3" s="6" t="s">
        <v>622</v>
      </c>
      <c r="T3" s="6" t="s">
        <v>623</v>
      </c>
      <c r="U3" s="6" t="s">
        <v>624</v>
      </c>
      <c r="V3" s="6" t="s">
        <v>625</v>
      </c>
      <c r="W3" s="6" t="s">
        <v>626</v>
      </c>
      <c r="X3" s="6" t="s">
        <v>627</v>
      </c>
    </row>
    <row r="4" customFormat="false" ht="22.35" hidden="false" customHeight="false" outlineLevel="0" collapsed="false">
      <c r="A4" s="5" t="s">
        <v>628</v>
      </c>
      <c r="B4" s="5" t="s">
        <v>629</v>
      </c>
      <c r="C4" s="5" t="s">
        <v>630</v>
      </c>
      <c r="D4" s="5"/>
      <c r="E4" s="5" t="s">
        <v>631</v>
      </c>
      <c r="F4" s="5" t="s">
        <v>632</v>
      </c>
      <c r="G4" s="5" t="s">
        <v>633</v>
      </c>
      <c r="H4" s="5" t="s">
        <v>634</v>
      </c>
      <c r="I4" s="5" t="s">
        <v>635</v>
      </c>
      <c r="J4" s="7" t="n">
        <v>20</v>
      </c>
      <c r="K4" s="7" t="n">
        <v>12</v>
      </c>
      <c r="L4" s="7" t="n">
        <v>8</v>
      </c>
      <c r="M4" s="7" t="n">
        <v>30</v>
      </c>
      <c r="N4" s="7" t="n">
        <v>12</v>
      </c>
      <c r="O4" s="7" t="n">
        <v>5</v>
      </c>
      <c r="P4" s="7" t="n">
        <v>5</v>
      </c>
      <c r="Q4" s="7" t="n">
        <v>8</v>
      </c>
      <c r="R4" s="8" t="n">
        <f aca="false">SUM(J4:Q4)</f>
        <v>100</v>
      </c>
      <c r="S4" s="5" t="s">
        <v>636</v>
      </c>
      <c r="T4" s="5" t="s">
        <v>637</v>
      </c>
      <c r="U4" s="5" t="s">
        <v>638</v>
      </c>
      <c r="V4" s="5" t="s">
        <v>639</v>
      </c>
      <c r="W4" s="5" t="s">
        <v>640</v>
      </c>
      <c r="X4" s="5" t="s">
        <v>641</v>
      </c>
    </row>
    <row r="5" customFormat="false" ht="32.8" hidden="false" customHeight="false" outlineLevel="0" collapsed="false">
      <c r="A5" s="6" t="s">
        <v>642</v>
      </c>
      <c r="B5" s="6" t="s">
        <v>643</v>
      </c>
      <c r="C5" s="6" t="s">
        <v>644</v>
      </c>
      <c r="D5" s="6"/>
      <c r="E5" s="6" t="s">
        <v>645</v>
      </c>
      <c r="F5" s="6" t="s">
        <v>646</v>
      </c>
      <c r="G5" s="6" t="s">
        <v>647</v>
      </c>
      <c r="H5" s="6" t="s">
        <v>648</v>
      </c>
      <c r="I5" s="6" t="s">
        <v>649</v>
      </c>
      <c r="J5" s="9" t="n">
        <v>25</v>
      </c>
      <c r="K5" s="9" t="n">
        <v>15</v>
      </c>
      <c r="L5" s="9" t="n">
        <v>18</v>
      </c>
      <c r="M5" s="9" t="n">
        <v>15</v>
      </c>
      <c r="N5" s="9" t="n">
        <v>12</v>
      </c>
      <c r="O5" s="9" t="n">
        <v>5</v>
      </c>
      <c r="P5" s="9" t="n">
        <v>2</v>
      </c>
      <c r="Q5" s="9" t="n">
        <v>8</v>
      </c>
      <c r="R5" s="10" t="n">
        <f aca="false">SUM(J5:Q5)</f>
        <v>100</v>
      </c>
      <c r="S5" s="6" t="s">
        <v>650</v>
      </c>
      <c r="T5" s="6" t="s">
        <v>651</v>
      </c>
      <c r="U5" s="6" t="s">
        <v>652</v>
      </c>
      <c r="V5" s="6" t="s">
        <v>653</v>
      </c>
      <c r="W5" s="6" t="s">
        <v>654</v>
      </c>
      <c r="X5" s="6" t="s">
        <v>655</v>
      </c>
    </row>
    <row r="6" customFormat="false" ht="22.35" hidden="false" customHeight="false" outlineLevel="0" collapsed="false">
      <c r="A6" s="5" t="s">
        <v>656</v>
      </c>
      <c r="B6" s="5" t="s">
        <v>657</v>
      </c>
      <c r="C6" s="5" t="s">
        <v>658</v>
      </c>
      <c r="D6" s="5"/>
      <c r="E6" s="5" t="s">
        <v>659</v>
      </c>
      <c r="F6" s="5" t="s">
        <v>660</v>
      </c>
      <c r="G6" s="5" t="s">
        <v>661</v>
      </c>
      <c r="H6" s="5" t="s">
        <v>662</v>
      </c>
      <c r="I6" s="5" t="s">
        <v>663</v>
      </c>
      <c r="J6" s="7" t="n">
        <v>22</v>
      </c>
      <c r="K6" s="7" t="n">
        <v>28</v>
      </c>
      <c r="L6" s="7" t="n">
        <v>15</v>
      </c>
      <c r="M6" s="7" t="n">
        <v>8</v>
      </c>
      <c r="N6" s="7" t="n">
        <v>10</v>
      </c>
      <c r="O6" s="7" t="n">
        <v>10</v>
      </c>
      <c r="P6" s="7" t="n">
        <v>2</v>
      </c>
      <c r="Q6" s="7" t="n">
        <v>5</v>
      </c>
      <c r="R6" s="8" t="n">
        <f aca="false">SUM(J6:Q6)</f>
        <v>100</v>
      </c>
      <c r="S6" s="5" t="s">
        <v>664</v>
      </c>
      <c r="T6" s="5" t="s">
        <v>665</v>
      </c>
      <c r="U6" s="5" t="s">
        <v>638</v>
      </c>
      <c r="V6" s="5" t="s">
        <v>666</v>
      </c>
      <c r="W6" s="5" t="s">
        <v>667</v>
      </c>
      <c r="X6" s="5" t="s">
        <v>668</v>
      </c>
    </row>
    <row r="7" customFormat="false" ht="22.35" hidden="false" customHeight="false" outlineLevel="0" collapsed="false">
      <c r="A7" s="6" t="s">
        <v>669</v>
      </c>
      <c r="B7" s="6" t="s">
        <v>670</v>
      </c>
      <c r="C7" s="6" t="s">
        <v>671</v>
      </c>
      <c r="D7" s="6"/>
      <c r="E7" s="6" t="s">
        <v>672</v>
      </c>
      <c r="F7" s="6" t="s">
        <v>673</v>
      </c>
      <c r="G7" s="6" t="s">
        <v>674</v>
      </c>
      <c r="H7" s="6" t="s">
        <v>675</v>
      </c>
      <c r="I7" s="6" t="s">
        <v>676</v>
      </c>
      <c r="J7" s="9" t="n">
        <v>30</v>
      </c>
      <c r="K7" s="9" t="n">
        <v>25</v>
      </c>
      <c r="L7" s="9" t="n">
        <v>12</v>
      </c>
      <c r="M7" s="9" t="n">
        <v>10</v>
      </c>
      <c r="N7" s="9" t="n">
        <v>10</v>
      </c>
      <c r="O7" s="9" t="n">
        <v>5</v>
      </c>
      <c r="P7" s="9" t="n">
        <v>0</v>
      </c>
      <c r="Q7" s="9" t="n">
        <v>8</v>
      </c>
      <c r="R7" s="10" t="n">
        <f aca="false">SUM(J7:Q7)</f>
        <v>100</v>
      </c>
      <c r="S7" s="6" t="s">
        <v>677</v>
      </c>
      <c r="T7" s="6" t="s">
        <v>678</v>
      </c>
      <c r="U7" s="6" t="s">
        <v>679</v>
      </c>
      <c r="V7" s="6" t="s">
        <v>680</v>
      </c>
      <c r="W7" s="6" t="s">
        <v>640</v>
      </c>
      <c r="X7" s="6" t="s">
        <v>613</v>
      </c>
    </row>
    <row r="8" customFormat="false" ht="22.35" hidden="false" customHeight="false" outlineLevel="0" collapsed="false">
      <c r="A8" s="5" t="s">
        <v>679</v>
      </c>
      <c r="B8" s="5" t="s">
        <v>681</v>
      </c>
      <c r="C8" s="5" t="s">
        <v>682</v>
      </c>
      <c r="D8" s="5"/>
      <c r="E8" s="5" t="s">
        <v>683</v>
      </c>
      <c r="F8" s="5" t="s">
        <v>684</v>
      </c>
      <c r="G8" s="5" t="s">
        <v>685</v>
      </c>
      <c r="H8" s="5" t="s">
        <v>686</v>
      </c>
      <c r="I8" s="5" t="s">
        <v>687</v>
      </c>
      <c r="J8" s="7" t="n">
        <v>15</v>
      </c>
      <c r="K8" s="7" t="n">
        <v>15</v>
      </c>
      <c r="L8" s="7" t="n">
        <v>30</v>
      </c>
      <c r="M8" s="7" t="n">
        <v>10</v>
      </c>
      <c r="N8" s="7" t="n">
        <v>12</v>
      </c>
      <c r="O8" s="7" t="n">
        <v>8</v>
      </c>
      <c r="P8" s="7" t="n">
        <v>2</v>
      </c>
      <c r="Q8" s="7" t="n">
        <v>8</v>
      </c>
      <c r="R8" s="8" t="n">
        <f aca="false">SUM(J8:Q8)</f>
        <v>100</v>
      </c>
      <c r="S8" s="5" t="s">
        <v>688</v>
      </c>
      <c r="T8" s="5" t="s">
        <v>689</v>
      </c>
      <c r="U8" s="5" t="s">
        <v>614</v>
      </c>
      <c r="V8" s="5" t="s">
        <v>690</v>
      </c>
      <c r="W8" s="5" t="s">
        <v>691</v>
      </c>
      <c r="X8" s="5" t="s">
        <v>692</v>
      </c>
    </row>
    <row r="9" customFormat="false" ht="22.35" hidden="false" customHeight="false" outlineLevel="0" collapsed="false">
      <c r="A9" s="6" t="s">
        <v>693</v>
      </c>
      <c r="B9" s="6" t="s">
        <v>694</v>
      </c>
      <c r="C9" s="6" t="s">
        <v>695</v>
      </c>
      <c r="D9" s="6" t="s">
        <v>696</v>
      </c>
      <c r="E9" s="6" t="s">
        <v>697</v>
      </c>
      <c r="F9" s="6" t="s">
        <v>698</v>
      </c>
      <c r="G9" s="6" t="s">
        <v>699</v>
      </c>
      <c r="H9" s="6" t="s">
        <v>700</v>
      </c>
      <c r="I9" s="6" t="s">
        <v>701</v>
      </c>
      <c r="J9" s="9" t="n">
        <v>10</v>
      </c>
      <c r="K9" s="9" t="n">
        <v>25</v>
      </c>
      <c r="L9" s="9" t="n">
        <v>25</v>
      </c>
      <c r="M9" s="9" t="n">
        <v>10</v>
      </c>
      <c r="N9" s="9" t="n">
        <v>10</v>
      </c>
      <c r="O9" s="9" t="n">
        <v>12</v>
      </c>
      <c r="P9" s="9" t="n">
        <v>3</v>
      </c>
      <c r="Q9" s="9" t="n">
        <v>5</v>
      </c>
      <c r="R9" s="10" t="n">
        <f aca="false">SUM(J9:Q9)</f>
        <v>100</v>
      </c>
      <c r="S9" s="6" t="s">
        <v>702</v>
      </c>
      <c r="T9" s="6" t="s">
        <v>703</v>
      </c>
      <c r="U9" s="6" t="s">
        <v>704</v>
      </c>
      <c r="V9" s="6" t="s">
        <v>705</v>
      </c>
      <c r="W9" s="6" t="s">
        <v>706</v>
      </c>
      <c r="X9" s="6" t="s">
        <v>627</v>
      </c>
    </row>
    <row r="10" customFormat="false" ht="22.35" hidden="false" customHeight="false" outlineLevel="0" collapsed="false">
      <c r="A10" s="5" t="s">
        <v>666</v>
      </c>
      <c r="B10" s="5" t="s">
        <v>707</v>
      </c>
      <c r="C10" s="5" t="s">
        <v>708</v>
      </c>
      <c r="D10" s="5" t="s">
        <v>709</v>
      </c>
      <c r="E10" s="5" t="s">
        <v>710</v>
      </c>
      <c r="F10" s="5" t="s">
        <v>711</v>
      </c>
      <c r="G10" s="5" t="s">
        <v>712</v>
      </c>
      <c r="H10" s="5" t="s">
        <v>713</v>
      </c>
      <c r="I10" s="5" t="s">
        <v>714</v>
      </c>
      <c r="J10" s="7" t="n">
        <v>40</v>
      </c>
      <c r="K10" s="7" t="n">
        <v>15</v>
      </c>
      <c r="L10" s="7" t="n">
        <v>8</v>
      </c>
      <c r="M10" s="7" t="n">
        <v>12</v>
      </c>
      <c r="N10" s="7" t="n">
        <v>10</v>
      </c>
      <c r="O10" s="7" t="n">
        <v>5</v>
      </c>
      <c r="P10" s="7" t="n">
        <v>2</v>
      </c>
      <c r="Q10" s="7" t="n">
        <v>8</v>
      </c>
      <c r="R10" s="8" t="n">
        <f aca="false">SUM(J10:Q10)</f>
        <v>100</v>
      </c>
      <c r="S10" s="5" t="s">
        <v>715</v>
      </c>
      <c r="T10" s="5" t="s">
        <v>716</v>
      </c>
      <c r="U10" s="5" t="s">
        <v>717</v>
      </c>
      <c r="V10" s="5" t="s">
        <v>718</v>
      </c>
      <c r="W10" s="5" t="s">
        <v>719</v>
      </c>
      <c r="X10" s="5" t="s">
        <v>720</v>
      </c>
    </row>
    <row r="11" customFormat="false" ht="32.8" hidden="false" customHeight="false" outlineLevel="0" collapsed="false">
      <c r="A11" s="6" t="s">
        <v>721</v>
      </c>
      <c r="B11" s="6" t="s">
        <v>722</v>
      </c>
      <c r="C11" s="6" t="s">
        <v>723</v>
      </c>
      <c r="D11" s="6" t="s">
        <v>724</v>
      </c>
      <c r="E11" s="6" t="s">
        <v>725</v>
      </c>
      <c r="F11" s="6" t="s">
        <v>726</v>
      </c>
      <c r="G11" s="6" t="s">
        <v>727</v>
      </c>
      <c r="H11" s="6" t="s">
        <v>728</v>
      </c>
      <c r="I11" s="6" t="s">
        <v>729</v>
      </c>
      <c r="J11" s="9" t="n">
        <v>15</v>
      </c>
      <c r="K11" s="9" t="n">
        <v>25</v>
      </c>
      <c r="L11" s="9" t="n">
        <v>15</v>
      </c>
      <c r="M11" s="9" t="n">
        <v>15</v>
      </c>
      <c r="N11" s="9" t="n">
        <v>10</v>
      </c>
      <c r="O11" s="9" t="n">
        <v>10</v>
      </c>
      <c r="P11" s="9" t="n">
        <v>3</v>
      </c>
      <c r="Q11" s="9" t="n">
        <v>7</v>
      </c>
      <c r="R11" s="10" t="n">
        <f aca="false">SUM(J11:Q11)</f>
        <v>100</v>
      </c>
      <c r="S11" s="6" t="s">
        <v>730</v>
      </c>
      <c r="T11" s="6" t="s">
        <v>731</v>
      </c>
      <c r="U11" s="6" t="s">
        <v>732</v>
      </c>
      <c r="V11" s="6" t="s">
        <v>733</v>
      </c>
      <c r="W11" s="6" t="s">
        <v>719</v>
      </c>
      <c r="X11" s="6" t="s">
        <v>734</v>
      </c>
    </row>
    <row r="12" customFormat="false" ht="32.8" hidden="false" customHeight="false" outlineLevel="0" collapsed="false">
      <c r="A12" s="5" t="s">
        <v>735</v>
      </c>
      <c r="B12" s="5" t="s">
        <v>736</v>
      </c>
      <c r="C12" s="5" t="s">
        <v>737</v>
      </c>
      <c r="D12" s="5" t="s">
        <v>738</v>
      </c>
      <c r="E12" s="5" t="s">
        <v>739</v>
      </c>
      <c r="F12" s="5" t="s">
        <v>735</v>
      </c>
      <c r="G12" s="5" t="s">
        <v>740</v>
      </c>
      <c r="H12" s="5" t="s">
        <v>741</v>
      </c>
      <c r="I12" s="5" t="s">
        <v>742</v>
      </c>
      <c r="J12" s="7" t="n">
        <v>15</v>
      </c>
      <c r="K12" s="7" t="n">
        <v>12</v>
      </c>
      <c r="L12" s="7" t="n">
        <v>8</v>
      </c>
      <c r="M12" s="7" t="n">
        <v>8</v>
      </c>
      <c r="N12" s="7" t="n">
        <v>20</v>
      </c>
      <c r="O12" s="7" t="n">
        <v>10</v>
      </c>
      <c r="P12" s="7" t="n">
        <v>22</v>
      </c>
      <c r="Q12" s="7" t="n">
        <v>5</v>
      </c>
      <c r="R12" s="8" t="n">
        <f aca="false">SUM(J12:Q12)</f>
        <v>100</v>
      </c>
      <c r="S12" s="5" t="s">
        <v>743</v>
      </c>
      <c r="T12" s="5" t="s">
        <v>744</v>
      </c>
      <c r="U12" s="5" t="s">
        <v>745</v>
      </c>
      <c r="V12" s="5" t="s">
        <v>746</v>
      </c>
      <c r="W12" s="5" t="s">
        <v>640</v>
      </c>
      <c r="X12" s="5" t="s">
        <v>747</v>
      </c>
    </row>
    <row r="13" customFormat="false" ht="32.8" hidden="false" customHeight="false" outlineLevel="0" collapsed="false">
      <c r="A13" s="6" t="s">
        <v>748</v>
      </c>
      <c r="B13" s="6" t="s">
        <v>749</v>
      </c>
      <c r="C13" s="6" t="s">
        <v>750</v>
      </c>
      <c r="D13" s="6" t="s">
        <v>751</v>
      </c>
      <c r="E13" s="6" t="s">
        <v>752</v>
      </c>
      <c r="F13" s="6" t="s">
        <v>753</v>
      </c>
      <c r="G13" s="6" t="s">
        <v>754</v>
      </c>
      <c r="H13" s="6" t="s">
        <v>755</v>
      </c>
      <c r="I13" s="6" t="s">
        <v>756</v>
      </c>
      <c r="J13" s="9" t="n">
        <v>15</v>
      </c>
      <c r="K13" s="9" t="n">
        <v>12</v>
      </c>
      <c r="L13" s="9" t="n">
        <v>10</v>
      </c>
      <c r="M13" s="9" t="n">
        <v>15</v>
      </c>
      <c r="N13" s="9" t="n">
        <v>10</v>
      </c>
      <c r="O13" s="9" t="n">
        <v>10</v>
      </c>
      <c r="P13" s="9" t="n">
        <v>20</v>
      </c>
      <c r="Q13" s="9" t="n">
        <v>8</v>
      </c>
      <c r="R13" s="10" t="n">
        <f aca="false">SUM(J13:Q13)</f>
        <v>100</v>
      </c>
      <c r="S13" s="6" t="s">
        <v>757</v>
      </c>
      <c r="T13" s="6" t="s">
        <v>758</v>
      </c>
      <c r="U13" s="6" t="s">
        <v>759</v>
      </c>
      <c r="V13" s="6" t="s">
        <v>760</v>
      </c>
      <c r="W13" s="6" t="s">
        <v>761</v>
      </c>
      <c r="X13" s="6" t="s">
        <v>747</v>
      </c>
    </row>
    <row r="14" customFormat="false" ht="22.35" hidden="false" customHeight="false" outlineLevel="0" collapsed="false">
      <c r="A14" s="5" t="s">
        <v>762</v>
      </c>
      <c r="B14" s="5" t="s">
        <v>763</v>
      </c>
      <c r="C14" s="5" t="s">
        <v>764</v>
      </c>
      <c r="D14" s="5"/>
      <c r="E14" s="5" t="s">
        <v>765</v>
      </c>
      <c r="F14" s="5" t="s">
        <v>766</v>
      </c>
      <c r="G14" s="5" t="s">
        <v>767</v>
      </c>
      <c r="H14" s="5" t="s">
        <v>768</v>
      </c>
      <c r="I14" s="5" t="s">
        <v>769</v>
      </c>
      <c r="J14" s="7" t="n">
        <v>10</v>
      </c>
      <c r="K14" s="7" t="n">
        <v>10</v>
      </c>
      <c r="L14" s="7" t="n">
        <v>20</v>
      </c>
      <c r="M14" s="7" t="n">
        <v>30</v>
      </c>
      <c r="N14" s="7" t="n">
        <v>10</v>
      </c>
      <c r="O14" s="7" t="n">
        <v>5</v>
      </c>
      <c r="P14" s="7" t="n">
        <v>5</v>
      </c>
      <c r="Q14" s="7" t="n">
        <v>10</v>
      </c>
      <c r="R14" s="8" t="n">
        <f aca="false">SUM(J14:Q14)</f>
        <v>100</v>
      </c>
      <c r="S14" s="5" t="s">
        <v>770</v>
      </c>
      <c r="T14" s="5" t="s">
        <v>771</v>
      </c>
      <c r="U14" s="5" t="s">
        <v>666</v>
      </c>
      <c r="V14" s="5" t="s">
        <v>772</v>
      </c>
      <c r="W14" s="5" t="s">
        <v>773</v>
      </c>
      <c r="X14" s="5" t="s">
        <v>774</v>
      </c>
    </row>
    <row r="15" customFormat="false" ht="22.35" hidden="false" customHeight="false" outlineLevel="0" collapsed="false">
      <c r="A15" s="6" t="s">
        <v>775</v>
      </c>
      <c r="B15" s="6" t="s">
        <v>776</v>
      </c>
      <c r="C15" s="6" t="s">
        <v>777</v>
      </c>
      <c r="D15" s="6"/>
      <c r="E15" s="6" t="s">
        <v>778</v>
      </c>
      <c r="F15" s="6" t="s">
        <v>779</v>
      </c>
      <c r="G15" s="6" t="s">
        <v>780</v>
      </c>
      <c r="H15" s="6" t="s">
        <v>781</v>
      </c>
      <c r="I15" s="6" t="s">
        <v>782</v>
      </c>
      <c r="J15" s="9" t="n">
        <v>12</v>
      </c>
      <c r="K15" s="9" t="n">
        <v>28</v>
      </c>
      <c r="L15" s="9" t="n">
        <v>15</v>
      </c>
      <c r="M15" s="9" t="n">
        <v>10</v>
      </c>
      <c r="N15" s="9" t="n">
        <v>8</v>
      </c>
      <c r="O15" s="9" t="n">
        <v>15</v>
      </c>
      <c r="P15" s="9" t="n">
        <v>7</v>
      </c>
      <c r="Q15" s="9" t="n">
        <v>5</v>
      </c>
      <c r="R15" s="10" t="n">
        <f aca="false">SUM(J15:Q15)</f>
        <v>100</v>
      </c>
      <c r="S15" s="6" t="s">
        <v>783</v>
      </c>
      <c r="T15" s="6" t="s">
        <v>784</v>
      </c>
      <c r="U15" s="6" t="s">
        <v>785</v>
      </c>
      <c r="V15" s="6" t="s">
        <v>642</v>
      </c>
      <c r="W15" s="6" t="s">
        <v>786</v>
      </c>
      <c r="X15" s="6" t="s">
        <v>692</v>
      </c>
    </row>
    <row r="16" customFormat="false" ht="22.35" hidden="false" customHeight="false" outlineLevel="0" collapsed="false">
      <c r="A16" s="5" t="s">
        <v>787</v>
      </c>
      <c r="B16" s="5" t="s">
        <v>788</v>
      </c>
      <c r="C16" s="5" t="s">
        <v>789</v>
      </c>
      <c r="D16" s="5"/>
      <c r="E16" s="5" t="s">
        <v>790</v>
      </c>
      <c r="F16" s="5" t="s">
        <v>791</v>
      </c>
      <c r="G16" s="5" t="s">
        <v>792</v>
      </c>
      <c r="H16" s="5" t="s">
        <v>793</v>
      </c>
      <c r="I16" s="5" t="s">
        <v>794</v>
      </c>
      <c r="J16" s="7" t="n">
        <v>25</v>
      </c>
      <c r="K16" s="7" t="n">
        <v>15</v>
      </c>
      <c r="L16" s="7" t="n">
        <v>20</v>
      </c>
      <c r="M16" s="7" t="n">
        <v>15</v>
      </c>
      <c r="N16" s="7" t="n">
        <v>15</v>
      </c>
      <c r="O16" s="7" t="n">
        <v>2</v>
      </c>
      <c r="P16" s="7" t="n">
        <v>0</v>
      </c>
      <c r="Q16" s="7" t="n">
        <v>8</v>
      </c>
      <c r="R16" s="8" t="n">
        <f aca="false">SUM(J16:Q16)</f>
        <v>100</v>
      </c>
      <c r="S16" s="5" t="s">
        <v>795</v>
      </c>
      <c r="T16" s="5" t="s">
        <v>796</v>
      </c>
      <c r="U16" s="5" t="s">
        <v>614</v>
      </c>
      <c r="V16" s="5" t="s">
        <v>797</v>
      </c>
      <c r="W16" s="5" t="s">
        <v>654</v>
      </c>
      <c r="X16" s="5" t="s">
        <v>655</v>
      </c>
    </row>
    <row r="17" customFormat="false" ht="32.8" hidden="false" customHeight="false" outlineLevel="0" collapsed="false">
      <c r="A17" s="6" t="s">
        <v>798</v>
      </c>
      <c r="B17" s="6" t="s">
        <v>799</v>
      </c>
      <c r="C17" s="6" t="s">
        <v>800</v>
      </c>
      <c r="D17" s="6" t="s">
        <v>801</v>
      </c>
      <c r="E17" s="6" t="s">
        <v>802</v>
      </c>
      <c r="F17" s="6" t="s">
        <v>803</v>
      </c>
      <c r="G17" s="6" t="s">
        <v>804</v>
      </c>
      <c r="H17" s="6" t="s">
        <v>805</v>
      </c>
      <c r="I17" s="6" t="s">
        <v>806</v>
      </c>
      <c r="J17" s="9" t="n">
        <v>30</v>
      </c>
      <c r="K17" s="9" t="n">
        <v>20</v>
      </c>
      <c r="L17" s="9" t="n">
        <v>10</v>
      </c>
      <c r="M17" s="9" t="n">
        <v>10</v>
      </c>
      <c r="N17" s="9" t="n">
        <v>10</v>
      </c>
      <c r="O17" s="9" t="n">
        <v>8</v>
      </c>
      <c r="P17" s="9" t="n">
        <v>7</v>
      </c>
      <c r="Q17" s="9" t="n">
        <v>5</v>
      </c>
      <c r="R17" s="10" t="n">
        <f aca="false">SUM(J17:Q17)</f>
        <v>100</v>
      </c>
      <c r="S17" s="6" t="s">
        <v>807</v>
      </c>
      <c r="T17" s="6" t="s">
        <v>808</v>
      </c>
      <c r="U17" s="6" t="s">
        <v>809</v>
      </c>
      <c r="V17" s="6" t="s">
        <v>810</v>
      </c>
      <c r="W17" s="6" t="s">
        <v>811</v>
      </c>
      <c r="X17" s="6" t="s">
        <v>812</v>
      </c>
    </row>
  </sheetData>
  <autoFilter ref="A1:X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60"/>
    <col collapsed="false" customWidth="true" hidden="false" outlineLevel="0" max="3" min="3" style="0" width="24"/>
    <col collapsed="false" customWidth="true" hidden="false" outlineLevel="0" max="5" min="4" style="0" width="12"/>
    <col collapsed="false" customWidth="true" hidden="false" outlineLevel="0" max="7" min="6" style="0" width="40"/>
  </cols>
  <sheetData>
    <row r="1" customFormat="false" ht="36" hidden="false" customHeight="true" outlineLevel="0" collapsed="false">
      <c r="A1" s="4" t="s">
        <v>813</v>
      </c>
      <c r="B1" s="4" t="s">
        <v>814</v>
      </c>
      <c r="C1" s="4" t="s">
        <v>815</v>
      </c>
      <c r="D1" s="4" t="s">
        <v>816</v>
      </c>
      <c r="E1" s="4" t="s">
        <v>817</v>
      </c>
      <c r="F1" s="4" t="s">
        <v>30</v>
      </c>
      <c r="G1" s="4" t="s">
        <v>818</v>
      </c>
    </row>
    <row r="2" customFormat="false" ht="22.35" hidden="false" customHeight="false" outlineLevel="0" collapsed="false">
      <c r="A2" s="5" t="s">
        <v>819</v>
      </c>
      <c r="B2" s="5" t="s">
        <v>820</v>
      </c>
      <c r="C2" s="5" t="s">
        <v>821</v>
      </c>
      <c r="D2" s="5" t="s">
        <v>822</v>
      </c>
      <c r="E2" s="5" t="s">
        <v>823</v>
      </c>
      <c r="F2" s="5" t="s">
        <v>824</v>
      </c>
      <c r="G2" s="5" t="s">
        <v>825</v>
      </c>
    </row>
    <row r="3" customFormat="false" ht="22.35" hidden="false" customHeight="false" outlineLevel="0" collapsed="false">
      <c r="A3" s="6" t="s">
        <v>826</v>
      </c>
      <c r="B3" s="6" t="s">
        <v>827</v>
      </c>
      <c r="C3" s="6" t="s">
        <v>828</v>
      </c>
      <c r="D3" s="6" t="s">
        <v>829</v>
      </c>
      <c r="E3" s="6" t="s">
        <v>830</v>
      </c>
      <c r="F3" s="6" t="s">
        <v>831</v>
      </c>
      <c r="G3" s="6" t="s">
        <v>832</v>
      </c>
    </row>
    <row r="4" customFormat="false" ht="22.35" hidden="false" customHeight="false" outlineLevel="0" collapsed="false">
      <c r="A4" s="5" t="s">
        <v>833</v>
      </c>
      <c r="B4" s="5" t="s">
        <v>834</v>
      </c>
      <c r="C4" s="5" t="s">
        <v>835</v>
      </c>
      <c r="D4" s="5" t="s">
        <v>836</v>
      </c>
      <c r="E4" s="5" t="s">
        <v>837</v>
      </c>
      <c r="F4" s="5" t="s">
        <v>838</v>
      </c>
      <c r="G4" s="5" t="s">
        <v>839</v>
      </c>
    </row>
    <row r="5" customFormat="false" ht="22.35" hidden="false" customHeight="false" outlineLevel="0" collapsed="false">
      <c r="A5" s="6" t="s">
        <v>840</v>
      </c>
      <c r="B5" s="6" t="s">
        <v>841</v>
      </c>
      <c r="C5" s="6" t="s">
        <v>842</v>
      </c>
      <c r="D5" s="6" t="s">
        <v>843</v>
      </c>
      <c r="E5" s="6" t="s">
        <v>844</v>
      </c>
      <c r="F5" s="6" t="s">
        <v>845</v>
      </c>
      <c r="G5" s="6" t="s">
        <v>846</v>
      </c>
    </row>
    <row r="6" customFormat="false" ht="22.35" hidden="false" customHeight="false" outlineLevel="0" collapsed="false">
      <c r="A6" s="5" t="s">
        <v>847</v>
      </c>
      <c r="B6" s="5" t="s">
        <v>848</v>
      </c>
      <c r="C6" s="5" t="s">
        <v>849</v>
      </c>
      <c r="D6" s="5" t="s">
        <v>850</v>
      </c>
      <c r="E6" s="5" t="s">
        <v>851</v>
      </c>
      <c r="F6" s="5" t="s">
        <v>852</v>
      </c>
      <c r="G6" s="5" t="s">
        <v>370</v>
      </c>
    </row>
    <row r="7" customFormat="false" ht="15" hidden="false" customHeight="false" outlineLevel="0" collapsed="false">
      <c r="A7" s="6" t="s">
        <v>853</v>
      </c>
      <c r="B7" s="6" t="s">
        <v>854</v>
      </c>
      <c r="C7" s="6" t="s">
        <v>850</v>
      </c>
      <c r="D7" s="6" t="s">
        <v>843</v>
      </c>
      <c r="E7" s="6" t="s">
        <v>849</v>
      </c>
      <c r="F7" s="6" t="s">
        <v>855</v>
      </c>
      <c r="G7" s="6" t="s">
        <v>370</v>
      </c>
    </row>
    <row r="8" customFormat="false" ht="22.35" hidden="false" customHeight="false" outlineLevel="0" collapsed="false">
      <c r="A8" s="5" t="s">
        <v>856</v>
      </c>
      <c r="B8" s="5" t="s">
        <v>857</v>
      </c>
      <c r="C8" s="5" t="s">
        <v>858</v>
      </c>
      <c r="D8" s="5" t="s">
        <v>859</v>
      </c>
      <c r="E8" s="5" t="s">
        <v>860</v>
      </c>
      <c r="F8" s="5" t="s">
        <v>861</v>
      </c>
      <c r="G8" s="5" t="s">
        <v>862</v>
      </c>
    </row>
    <row r="9" customFormat="false" ht="22.35" hidden="false" customHeight="false" outlineLevel="0" collapsed="false">
      <c r="A9" s="6" t="s">
        <v>863</v>
      </c>
      <c r="B9" s="6" t="s">
        <v>864</v>
      </c>
      <c r="C9" s="6" t="s">
        <v>865</v>
      </c>
      <c r="D9" s="6" t="s">
        <v>823</v>
      </c>
      <c r="E9" s="6" t="s">
        <v>866</v>
      </c>
      <c r="F9" s="6" t="s">
        <v>867</v>
      </c>
      <c r="G9" s="6" t="s">
        <v>370</v>
      </c>
    </row>
    <row r="10" customFormat="false" ht="15" hidden="false" customHeight="false" outlineLevel="0" collapsed="false">
      <c r="A10" s="5" t="s">
        <v>868</v>
      </c>
      <c r="B10" s="5" t="s">
        <v>869</v>
      </c>
      <c r="C10" s="5" t="s">
        <v>870</v>
      </c>
      <c r="D10" s="5" t="s">
        <v>871</v>
      </c>
      <c r="E10" s="5" t="s">
        <v>872</v>
      </c>
      <c r="F10" s="5" t="s">
        <v>873</v>
      </c>
      <c r="G10" s="5" t="s">
        <v>874</v>
      </c>
    </row>
    <row r="11" customFormat="false" ht="22.35" hidden="false" customHeight="false" outlineLevel="0" collapsed="false">
      <c r="A11" s="6" t="s">
        <v>875</v>
      </c>
      <c r="B11" s="6" t="s">
        <v>876</v>
      </c>
      <c r="C11" s="6" t="s">
        <v>877</v>
      </c>
      <c r="D11" s="6" t="s">
        <v>878</v>
      </c>
      <c r="E11" s="6" t="s">
        <v>879</v>
      </c>
      <c r="F11" s="6" t="s">
        <v>880</v>
      </c>
      <c r="G11" s="6" t="s">
        <v>370</v>
      </c>
    </row>
    <row r="12" customFormat="false" ht="15" hidden="false" customHeight="false" outlineLevel="0" collapsed="false">
      <c r="A12" s="5" t="s">
        <v>881</v>
      </c>
      <c r="B12" s="5" t="s">
        <v>882</v>
      </c>
      <c r="C12" s="5" t="s">
        <v>883</v>
      </c>
      <c r="D12" s="5" t="s">
        <v>884</v>
      </c>
      <c r="E12" s="5" t="s">
        <v>885</v>
      </c>
      <c r="F12" s="5" t="s">
        <v>886</v>
      </c>
      <c r="G12" s="5" t="s">
        <v>887</v>
      </c>
    </row>
    <row r="13" customFormat="false" ht="15" hidden="false" customHeight="false" outlineLevel="0" collapsed="false">
      <c r="A13" s="6" t="s">
        <v>888</v>
      </c>
      <c r="B13" s="6" t="s">
        <v>889</v>
      </c>
      <c r="C13" s="6" t="s">
        <v>890</v>
      </c>
      <c r="D13" s="6" t="s">
        <v>891</v>
      </c>
      <c r="E13" s="6" t="s">
        <v>892</v>
      </c>
      <c r="F13" s="6" t="s">
        <v>893</v>
      </c>
      <c r="G13" s="6" t="s">
        <v>28</v>
      </c>
    </row>
    <row r="14" customFormat="false" ht="15" hidden="false" customHeight="false" outlineLevel="0" collapsed="false">
      <c r="A14" s="5" t="s">
        <v>894</v>
      </c>
      <c r="B14" s="5" t="s">
        <v>895</v>
      </c>
      <c r="C14" s="5" t="s">
        <v>890</v>
      </c>
      <c r="D14" s="5" t="s">
        <v>891</v>
      </c>
      <c r="E14" s="5" t="s">
        <v>892</v>
      </c>
      <c r="F14" s="5" t="s">
        <v>896</v>
      </c>
      <c r="G14" s="5" t="s">
        <v>370</v>
      </c>
    </row>
    <row r="15" customFormat="false" ht="15" hidden="false" customHeight="false" outlineLevel="0" collapsed="false">
      <c r="A15" s="6" t="s">
        <v>897</v>
      </c>
      <c r="B15" s="6" t="s">
        <v>898</v>
      </c>
      <c r="C15" s="6" t="s">
        <v>899</v>
      </c>
      <c r="D15" s="6" t="s">
        <v>899</v>
      </c>
      <c r="E15" s="6" t="s">
        <v>900</v>
      </c>
      <c r="F15" s="6" t="s">
        <v>901</v>
      </c>
      <c r="G15" s="6" t="s">
        <v>370</v>
      </c>
    </row>
    <row r="16" customFormat="false" ht="15" hidden="false" customHeight="false" outlineLevel="0" collapsed="false">
      <c r="A16" s="5" t="s">
        <v>902</v>
      </c>
      <c r="B16" s="5" t="s">
        <v>903</v>
      </c>
      <c r="C16" s="5" t="s">
        <v>904</v>
      </c>
      <c r="D16" s="5" t="s">
        <v>905</v>
      </c>
      <c r="E16" s="5" t="s">
        <v>906</v>
      </c>
      <c r="F16" s="5" t="s">
        <v>907</v>
      </c>
      <c r="G16" s="5" t="s">
        <v>370</v>
      </c>
    </row>
    <row r="17" customFormat="false" ht="15" hidden="false" customHeight="false" outlineLevel="0" collapsed="false">
      <c r="A17" s="6" t="s">
        <v>908</v>
      </c>
      <c r="B17" s="6" t="s">
        <v>909</v>
      </c>
      <c r="C17" s="6" t="s">
        <v>910</v>
      </c>
      <c r="D17" s="6" t="s">
        <v>891</v>
      </c>
      <c r="E17" s="6" t="s">
        <v>911</v>
      </c>
      <c r="F17" s="6" t="s">
        <v>912</v>
      </c>
      <c r="G17" s="6" t="s">
        <v>370</v>
      </c>
    </row>
    <row r="18" customFormat="false" ht="15" hidden="false" customHeight="false" outlineLevel="0" collapsed="false">
      <c r="A18" s="5" t="s">
        <v>913</v>
      </c>
      <c r="B18" s="5" t="s">
        <v>914</v>
      </c>
      <c r="C18" s="5" t="s">
        <v>915</v>
      </c>
      <c r="D18" s="5" t="s">
        <v>915</v>
      </c>
      <c r="E18" s="5" t="s">
        <v>916</v>
      </c>
      <c r="F18" s="5" t="s">
        <v>917</v>
      </c>
      <c r="G18" s="5" t="s">
        <v>679</v>
      </c>
    </row>
    <row r="19" customFormat="false" ht="15" hidden="false" customHeight="false" outlineLevel="0" collapsed="false">
      <c r="A19" s="6" t="s">
        <v>918</v>
      </c>
      <c r="B19" s="6" t="s">
        <v>919</v>
      </c>
      <c r="C19" s="6" t="s">
        <v>920</v>
      </c>
      <c r="D19" s="6" t="s">
        <v>921</v>
      </c>
      <c r="E19" s="6" t="s">
        <v>922</v>
      </c>
      <c r="F19" s="6" t="s">
        <v>923</v>
      </c>
      <c r="G19" s="6" t="s">
        <v>370</v>
      </c>
    </row>
    <row r="20" customFormat="false" ht="22.35" hidden="false" customHeight="false" outlineLevel="0" collapsed="false">
      <c r="A20" s="5" t="s">
        <v>924</v>
      </c>
      <c r="B20" s="5" t="s">
        <v>925</v>
      </c>
      <c r="C20" s="5" t="s">
        <v>926</v>
      </c>
      <c r="D20" s="5" t="s">
        <v>926</v>
      </c>
      <c r="E20" s="5" t="s">
        <v>927</v>
      </c>
      <c r="F20" s="5" t="s">
        <v>928</v>
      </c>
      <c r="G20" s="5" t="s">
        <v>798</v>
      </c>
    </row>
    <row r="21" customFormat="false" ht="15" hidden="false" customHeight="false" outlineLevel="0" collapsed="false">
      <c r="A21" s="6" t="s">
        <v>929</v>
      </c>
      <c r="B21" s="6" t="s">
        <v>930</v>
      </c>
      <c r="C21" s="6" t="s">
        <v>931</v>
      </c>
      <c r="D21" s="6" t="s">
        <v>932</v>
      </c>
      <c r="E21" s="6" t="s">
        <v>933</v>
      </c>
      <c r="F21" s="6" t="s">
        <v>934</v>
      </c>
      <c r="G21" s="6" t="s">
        <v>370</v>
      </c>
    </row>
    <row r="22" customFormat="false" ht="15" hidden="false" customHeight="false" outlineLevel="0" collapsed="false">
      <c r="A22" s="5" t="s">
        <v>935</v>
      </c>
      <c r="B22" s="5" t="s">
        <v>936</v>
      </c>
      <c r="C22" s="5" t="s">
        <v>849</v>
      </c>
      <c r="D22" s="5" t="s">
        <v>850</v>
      </c>
      <c r="E22" s="5" t="s">
        <v>844</v>
      </c>
      <c r="F22" s="5" t="s">
        <v>937</v>
      </c>
      <c r="G22" s="5" t="s">
        <v>938</v>
      </c>
    </row>
  </sheetData>
  <autoFilter ref="A1:G2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4" min="2" style="0" width="50"/>
    <col collapsed="false" customWidth="true" hidden="false" outlineLevel="0" max="5" min="5" style="0" width="10"/>
    <col collapsed="false" customWidth="true" hidden="false" outlineLevel="0" max="6" min="6" style="0" width="14"/>
  </cols>
  <sheetData>
    <row r="1" customFormat="false" ht="36" hidden="false" customHeight="true" outlineLevel="0" collapsed="false">
      <c r="A1" s="4" t="s">
        <v>939</v>
      </c>
      <c r="B1" s="4" t="s">
        <v>940</v>
      </c>
      <c r="C1" s="4" t="s">
        <v>941</v>
      </c>
      <c r="D1" s="4" t="s">
        <v>942</v>
      </c>
      <c r="E1" s="4" t="s">
        <v>943</v>
      </c>
      <c r="F1" s="4" t="s">
        <v>944</v>
      </c>
    </row>
    <row r="2" customFormat="false" ht="15" hidden="false" customHeight="false" outlineLevel="0" collapsed="false">
      <c r="A2" s="5" t="s">
        <v>945</v>
      </c>
      <c r="B2" s="5" t="s">
        <v>946</v>
      </c>
      <c r="C2" s="5" t="s">
        <v>947</v>
      </c>
      <c r="D2" s="5" t="s">
        <v>948</v>
      </c>
      <c r="E2" s="5" t="s">
        <v>891</v>
      </c>
      <c r="F2" s="5" t="s">
        <v>842</v>
      </c>
    </row>
    <row r="3" customFormat="false" ht="15" hidden="false" customHeight="false" outlineLevel="0" collapsed="false">
      <c r="A3" s="6" t="s">
        <v>949</v>
      </c>
      <c r="B3" s="6" t="s">
        <v>950</v>
      </c>
      <c r="C3" s="6" t="s">
        <v>951</v>
      </c>
      <c r="D3" s="6" t="s">
        <v>952</v>
      </c>
      <c r="E3" s="6" t="s">
        <v>910</v>
      </c>
      <c r="F3" s="6" t="s">
        <v>850</v>
      </c>
    </row>
    <row r="4" customFormat="false" ht="22.35" hidden="false" customHeight="false" outlineLevel="0" collapsed="false">
      <c r="A4" s="5" t="s">
        <v>953</v>
      </c>
      <c r="B4" s="5" t="s">
        <v>954</v>
      </c>
      <c r="C4" s="5" t="s">
        <v>955</v>
      </c>
      <c r="D4" s="5" t="s">
        <v>956</v>
      </c>
      <c r="E4" s="5" t="s">
        <v>911</v>
      </c>
      <c r="F4" s="5" t="s">
        <v>842</v>
      </c>
    </row>
    <row r="5" customFormat="false" ht="22.35" hidden="false" customHeight="false" outlineLevel="0" collapsed="false">
      <c r="A5" s="6" t="s">
        <v>957</v>
      </c>
      <c r="B5" s="6" t="s">
        <v>958</v>
      </c>
      <c r="C5" s="6" t="s">
        <v>959</v>
      </c>
      <c r="D5" s="6" t="s">
        <v>960</v>
      </c>
      <c r="E5" s="6" t="s">
        <v>910</v>
      </c>
      <c r="F5" s="6" t="s">
        <v>842</v>
      </c>
    </row>
    <row r="6" customFormat="false" ht="15" hidden="false" customHeight="false" outlineLevel="0" collapsed="false">
      <c r="A6" s="5" t="s">
        <v>961</v>
      </c>
      <c r="B6" s="5" t="s">
        <v>962</v>
      </c>
      <c r="C6" s="5" t="s">
        <v>963</v>
      </c>
      <c r="D6" s="5" t="s">
        <v>964</v>
      </c>
      <c r="E6" s="5" t="s">
        <v>910</v>
      </c>
      <c r="F6" s="5" t="s">
        <v>965</v>
      </c>
    </row>
    <row r="7" customFormat="false" ht="15" hidden="false" customHeight="false" outlineLevel="0" collapsed="false">
      <c r="A7" s="6" t="s">
        <v>966</v>
      </c>
      <c r="B7" s="6" t="s">
        <v>967</v>
      </c>
      <c r="C7" s="6" t="s">
        <v>968</v>
      </c>
      <c r="D7" s="6" t="s">
        <v>969</v>
      </c>
      <c r="E7" s="6" t="s">
        <v>910</v>
      </c>
      <c r="F7" s="6" t="s">
        <v>849</v>
      </c>
    </row>
    <row r="8" customFormat="false" ht="22.35" hidden="false" customHeight="false" outlineLevel="0" collapsed="false">
      <c r="A8" s="5" t="s">
        <v>970</v>
      </c>
      <c r="B8" s="5" t="s">
        <v>971</v>
      </c>
      <c r="C8" s="5" t="s">
        <v>972</v>
      </c>
      <c r="D8" s="5" t="s">
        <v>973</v>
      </c>
      <c r="E8" s="5" t="s">
        <v>911</v>
      </c>
      <c r="F8" s="5" t="s">
        <v>850</v>
      </c>
    </row>
  </sheetData>
  <autoFilter ref="A1:F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55"/>
    <col collapsed="false" customWidth="true" hidden="false" outlineLevel="0" max="3" min="3" style="0" width="70"/>
    <col collapsed="false" customWidth="true" hidden="false" outlineLevel="0" max="4" min="4" style="0" width="40"/>
  </cols>
  <sheetData>
    <row r="1" customFormat="false" ht="36" hidden="false" customHeight="true" outlineLevel="0" collapsed="false">
      <c r="A1" s="4" t="s">
        <v>507</v>
      </c>
      <c r="B1" s="4" t="s">
        <v>974</v>
      </c>
      <c r="C1" s="4" t="s">
        <v>975</v>
      </c>
      <c r="D1" s="4" t="s">
        <v>976</v>
      </c>
    </row>
    <row r="2" customFormat="false" ht="22.35" hidden="false" customHeight="false" outlineLevel="0" collapsed="false">
      <c r="A2" s="5" t="s">
        <v>977</v>
      </c>
      <c r="B2" s="5" t="s">
        <v>978</v>
      </c>
      <c r="C2" s="5" t="s">
        <v>979</v>
      </c>
      <c r="D2" s="5" t="s">
        <v>980</v>
      </c>
    </row>
    <row r="3" customFormat="false" ht="22.35" hidden="false" customHeight="false" outlineLevel="0" collapsed="false">
      <c r="A3" s="6" t="s">
        <v>981</v>
      </c>
      <c r="B3" s="6" t="s">
        <v>982</v>
      </c>
      <c r="C3" s="6" t="s">
        <v>983</v>
      </c>
      <c r="D3" s="6" t="s">
        <v>856</v>
      </c>
    </row>
    <row r="4" customFormat="false" ht="15" hidden="false" customHeight="false" outlineLevel="0" collapsed="false">
      <c r="A4" s="5" t="s">
        <v>984</v>
      </c>
      <c r="B4" s="5" t="s">
        <v>985</v>
      </c>
      <c r="C4" s="5" t="s">
        <v>986</v>
      </c>
      <c r="D4" s="5" t="s">
        <v>370</v>
      </c>
    </row>
  </sheetData>
  <autoFilter ref="A1:D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50"/>
    <col collapsed="false" customWidth="true" hidden="false" outlineLevel="0" max="3" min="3" style="0" width="60"/>
    <col collapsed="false" customWidth="true" hidden="false" outlineLevel="0" max="4" min="4" style="0" width="55"/>
  </cols>
  <sheetData>
    <row r="1" customFormat="false" ht="36" hidden="false" customHeight="true" outlineLevel="0" collapsed="false">
      <c r="A1" s="4" t="s">
        <v>987</v>
      </c>
      <c r="B1" s="4" t="s">
        <v>988</v>
      </c>
      <c r="C1" s="4" t="s">
        <v>989</v>
      </c>
      <c r="D1" s="4" t="s">
        <v>990</v>
      </c>
    </row>
    <row r="2" customFormat="false" ht="22.35" hidden="false" customHeight="false" outlineLevel="0" collapsed="false">
      <c r="A2" s="5" t="s">
        <v>991</v>
      </c>
      <c r="B2" s="5" t="s">
        <v>992</v>
      </c>
      <c r="C2" s="5" t="s">
        <v>993</v>
      </c>
      <c r="D2" s="5" t="s">
        <v>994</v>
      </c>
    </row>
    <row r="3" customFormat="false" ht="15" hidden="false" customHeight="false" outlineLevel="0" collapsed="false">
      <c r="A3" s="6" t="s">
        <v>966</v>
      </c>
      <c r="B3" s="6" t="s">
        <v>995</v>
      </c>
      <c r="C3" s="6" t="s">
        <v>996</v>
      </c>
      <c r="D3" s="6" t="s">
        <v>997</v>
      </c>
    </row>
    <row r="4" customFormat="false" ht="22.35" hidden="false" customHeight="false" outlineLevel="0" collapsed="false">
      <c r="A4" s="5" t="s">
        <v>998</v>
      </c>
      <c r="B4" s="5" t="s">
        <v>999</v>
      </c>
      <c r="C4" s="5" t="s">
        <v>1000</v>
      </c>
      <c r="D4" s="5" t="s">
        <v>1001</v>
      </c>
    </row>
    <row r="5" customFormat="false" ht="15" hidden="false" customHeight="false" outlineLevel="0" collapsed="false">
      <c r="A5" s="6" t="s">
        <v>957</v>
      </c>
      <c r="B5" s="6" t="s">
        <v>1002</v>
      </c>
      <c r="C5" s="6" t="s">
        <v>1003</v>
      </c>
      <c r="D5" s="6" t="s">
        <v>1004</v>
      </c>
    </row>
    <row r="6" customFormat="false" ht="15" hidden="false" customHeight="false" outlineLevel="0" collapsed="false">
      <c r="A6" s="5" t="s">
        <v>1005</v>
      </c>
      <c r="B6" s="5" t="s">
        <v>1006</v>
      </c>
      <c r="C6" s="5" t="s">
        <v>1007</v>
      </c>
      <c r="D6" s="5" t="s">
        <v>1008</v>
      </c>
    </row>
    <row r="7" customFormat="false" ht="15" hidden="false" customHeight="false" outlineLevel="0" collapsed="false">
      <c r="A7" s="6" t="s">
        <v>1009</v>
      </c>
      <c r="B7" s="6" t="s">
        <v>1010</v>
      </c>
      <c r="C7" s="6" t="s">
        <v>1011</v>
      </c>
      <c r="D7" s="6" t="s">
        <v>1012</v>
      </c>
    </row>
    <row r="8" customFormat="false" ht="15" hidden="false" customHeight="false" outlineLevel="0" collapsed="false">
      <c r="A8" s="5" t="s">
        <v>1013</v>
      </c>
      <c r="B8" s="5" t="s">
        <v>1014</v>
      </c>
      <c r="C8" s="5" t="s">
        <v>1015</v>
      </c>
      <c r="D8" s="5" t="s">
        <v>370</v>
      </c>
    </row>
    <row r="9" customFormat="false" ht="15" hidden="false" customHeight="false" outlineLevel="0" collapsed="false">
      <c r="A9" s="6" t="s">
        <v>970</v>
      </c>
      <c r="B9" s="6" t="s">
        <v>1016</v>
      </c>
      <c r="C9" s="6" t="s">
        <v>1017</v>
      </c>
      <c r="D9" s="6" t="s">
        <v>1018</v>
      </c>
    </row>
  </sheetData>
  <autoFilter ref="A1:D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70"/>
    <col collapsed="false" customWidth="true" hidden="false" outlineLevel="0" max="4" min="4" style="0" width="40"/>
  </cols>
  <sheetData>
    <row r="1" customFormat="false" ht="36" hidden="false" customHeight="true" outlineLevel="0" collapsed="false">
      <c r="A1" s="4" t="s">
        <v>507</v>
      </c>
      <c r="B1" s="4" t="s">
        <v>814</v>
      </c>
      <c r="C1" s="4" t="s">
        <v>1019</v>
      </c>
      <c r="D1" s="4" t="s">
        <v>1020</v>
      </c>
    </row>
    <row r="2" customFormat="false" ht="15" hidden="false" customHeight="false" outlineLevel="0" collapsed="false">
      <c r="A2" s="5" t="s">
        <v>1021</v>
      </c>
      <c r="B2" s="5" t="s">
        <v>1022</v>
      </c>
      <c r="C2" s="5" t="s">
        <v>1023</v>
      </c>
      <c r="D2" s="5" t="s">
        <v>1024</v>
      </c>
    </row>
    <row r="3" customFormat="false" ht="15" hidden="false" customHeight="false" outlineLevel="0" collapsed="false">
      <c r="A3" s="6" t="s">
        <v>1025</v>
      </c>
      <c r="B3" s="6" t="s">
        <v>1026</v>
      </c>
      <c r="C3" s="6" t="s">
        <v>1027</v>
      </c>
      <c r="D3" s="6" t="s">
        <v>846</v>
      </c>
    </row>
    <row r="4" customFormat="false" ht="15" hidden="false" customHeight="false" outlineLevel="0" collapsed="false">
      <c r="A4" s="5" t="s">
        <v>1028</v>
      </c>
      <c r="B4" s="5" t="s">
        <v>1029</v>
      </c>
      <c r="C4" s="5" t="s">
        <v>1030</v>
      </c>
      <c r="D4" s="5" t="s">
        <v>1031</v>
      </c>
    </row>
    <row r="5" customFormat="false" ht="15" hidden="false" customHeight="false" outlineLevel="0" collapsed="false">
      <c r="A5" s="6" t="s">
        <v>1032</v>
      </c>
      <c r="B5" s="6" t="s">
        <v>1033</v>
      </c>
      <c r="C5" s="6" t="s">
        <v>1034</v>
      </c>
      <c r="D5" s="6" t="s">
        <v>1035</v>
      </c>
    </row>
    <row r="6" customFormat="false" ht="15" hidden="false" customHeight="false" outlineLevel="0" collapsed="false">
      <c r="A6" s="5" t="s">
        <v>1036</v>
      </c>
      <c r="B6" s="5" t="s">
        <v>1037</v>
      </c>
      <c r="C6" s="5" t="s">
        <v>1038</v>
      </c>
      <c r="D6" s="5" t="s">
        <v>846</v>
      </c>
    </row>
  </sheetData>
  <autoFilter ref="A1:D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80"/>
    <col collapsed="false" customWidth="true" hidden="false" outlineLevel="0" max="3" min="3" style="0" width="30"/>
  </cols>
  <sheetData>
    <row r="1" customFormat="false" ht="36" hidden="false" customHeight="true" outlineLevel="0" collapsed="false">
      <c r="A1" s="4" t="s">
        <v>1039</v>
      </c>
      <c r="B1" s="4" t="s">
        <v>584</v>
      </c>
      <c r="C1" s="4" t="s">
        <v>1040</v>
      </c>
    </row>
    <row r="2" customFormat="false" ht="15" hidden="false" customHeight="false" outlineLevel="0" collapsed="false">
      <c r="A2" s="5" t="s">
        <v>945</v>
      </c>
      <c r="B2" s="5" t="s">
        <v>1041</v>
      </c>
      <c r="C2" s="5" t="s">
        <v>1042</v>
      </c>
    </row>
    <row r="3" customFormat="false" ht="22.35" hidden="false" customHeight="false" outlineLevel="0" collapsed="false">
      <c r="A3" s="6" t="s">
        <v>1043</v>
      </c>
      <c r="B3" s="6" t="s">
        <v>1044</v>
      </c>
      <c r="C3" s="6" t="s">
        <v>953</v>
      </c>
    </row>
    <row r="4" customFormat="false" ht="15" hidden="false" customHeight="false" outlineLevel="0" collapsed="false">
      <c r="A4" s="5" t="s">
        <v>1045</v>
      </c>
      <c r="B4" s="5" t="s">
        <v>1046</v>
      </c>
      <c r="C4" s="5" t="s">
        <v>1047</v>
      </c>
    </row>
    <row r="5" customFormat="false" ht="15" hidden="false" customHeight="false" outlineLevel="0" collapsed="false">
      <c r="A5" s="6" t="s">
        <v>961</v>
      </c>
      <c r="B5" s="6" t="s">
        <v>1048</v>
      </c>
      <c r="C5" s="6" t="s">
        <v>961</v>
      </c>
    </row>
    <row r="6" customFormat="false" ht="15" hidden="false" customHeight="false" outlineLevel="0" collapsed="false">
      <c r="A6" s="5" t="s">
        <v>970</v>
      </c>
      <c r="B6" s="5" t="s">
        <v>1049</v>
      </c>
      <c r="C6" s="5" t="s">
        <v>970</v>
      </c>
    </row>
  </sheetData>
  <autoFilter ref="A1:C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80"/>
  </cols>
  <sheetData>
    <row r="1" customFormat="false" ht="36" hidden="false" customHeight="true" outlineLevel="0" collapsed="false">
      <c r="A1" s="4" t="s">
        <v>1050</v>
      </c>
      <c r="B1" s="4" t="s">
        <v>1051</v>
      </c>
      <c r="C1" s="4" t="s">
        <v>1052</v>
      </c>
    </row>
    <row r="2" customFormat="false" ht="15" hidden="false" customHeight="false" outlineLevel="0" collapsed="false">
      <c r="A2" s="5" t="s">
        <v>1053</v>
      </c>
      <c r="B2" s="5" t="s">
        <v>1054</v>
      </c>
      <c r="C2" s="5" t="s">
        <v>1055</v>
      </c>
    </row>
    <row r="3" customFormat="false" ht="15" hidden="false" customHeight="false" outlineLevel="0" collapsed="false">
      <c r="A3" s="6" t="s">
        <v>1056</v>
      </c>
      <c r="B3" s="6" t="s">
        <v>1057</v>
      </c>
      <c r="C3" s="6" t="s">
        <v>1058</v>
      </c>
    </row>
    <row r="4" customFormat="false" ht="15" hidden="false" customHeight="false" outlineLevel="0" collapsed="false">
      <c r="A4" s="5" t="s">
        <v>1059</v>
      </c>
      <c r="B4" s="5" t="s">
        <v>1060</v>
      </c>
      <c r="C4" s="5" t="s">
        <v>1061</v>
      </c>
    </row>
    <row r="5" customFormat="false" ht="15" hidden="false" customHeight="false" outlineLevel="0" collapsed="false">
      <c r="A5" s="6" t="s">
        <v>1062</v>
      </c>
      <c r="B5" s="6" t="s">
        <v>1063</v>
      </c>
      <c r="C5" s="6" t="s">
        <v>1064</v>
      </c>
    </row>
    <row r="6" customFormat="false" ht="15" hidden="false" customHeight="false" outlineLevel="0" collapsed="false">
      <c r="A6" s="5" t="s">
        <v>1065</v>
      </c>
      <c r="B6" s="5" t="s">
        <v>1066</v>
      </c>
      <c r="C6" s="5" t="s">
        <v>1067</v>
      </c>
    </row>
    <row r="7" customFormat="false" ht="15" hidden="false" customHeight="false" outlineLevel="0" collapsed="false">
      <c r="A7" s="6" t="s">
        <v>1068</v>
      </c>
      <c r="B7" s="6" t="s">
        <v>1069</v>
      </c>
      <c r="C7" s="6" t="s">
        <v>1070</v>
      </c>
    </row>
    <row r="8" customFormat="false" ht="15" hidden="false" customHeight="false" outlineLevel="0" collapsed="false">
      <c r="A8" s="5" t="s">
        <v>1071</v>
      </c>
      <c r="B8" s="5" t="s">
        <v>1054</v>
      </c>
      <c r="C8" s="5" t="s">
        <v>1072</v>
      </c>
    </row>
    <row r="9" customFormat="false" ht="15" hidden="false" customHeight="false" outlineLevel="0" collapsed="false">
      <c r="A9" s="6" t="s">
        <v>1073</v>
      </c>
      <c r="B9" s="6" t="s">
        <v>1074</v>
      </c>
      <c r="C9" s="6" t="s">
        <v>1075</v>
      </c>
    </row>
    <row r="10" customFormat="false" ht="15" hidden="false" customHeight="false" outlineLevel="0" collapsed="false">
      <c r="A10" s="5" t="s">
        <v>1076</v>
      </c>
      <c r="B10" s="5" t="s">
        <v>1077</v>
      </c>
      <c r="C10" s="5" t="s">
        <v>1078</v>
      </c>
    </row>
    <row r="11" customFormat="false" ht="15" hidden="false" customHeight="false" outlineLevel="0" collapsed="false">
      <c r="A11" s="6" t="s">
        <v>1079</v>
      </c>
      <c r="B11" s="6" t="s">
        <v>1080</v>
      </c>
      <c r="C11" s="6" t="s">
        <v>1081</v>
      </c>
    </row>
    <row r="12" customFormat="false" ht="15" hidden="false" customHeight="false" outlineLevel="0" collapsed="false">
      <c r="A12" s="5" t="s">
        <v>1082</v>
      </c>
      <c r="B12" s="5" t="s">
        <v>1066</v>
      </c>
      <c r="C12" s="5" t="s">
        <v>1083</v>
      </c>
    </row>
    <row r="13" customFormat="false" ht="15" hidden="false" customHeight="false" outlineLevel="0" collapsed="false">
      <c r="A13" s="6" t="s">
        <v>1084</v>
      </c>
      <c r="B13" s="6" t="s">
        <v>1085</v>
      </c>
      <c r="C13" s="6" t="s">
        <v>1086</v>
      </c>
    </row>
  </sheetData>
  <autoFilter ref="A1:C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0"/>
  </cols>
  <sheetData>
    <row r="1" customFormat="false" ht="36" hidden="false" customHeight="true" outlineLevel="0" collapsed="false">
      <c r="A1" s="4" t="s">
        <v>1087</v>
      </c>
      <c r="B1" s="4" t="s">
        <v>1088</v>
      </c>
    </row>
    <row r="2" customFormat="false" ht="15" hidden="false" customHeight="false" outlineLevel="0" collapsed="false">
      <c r="A2" s="5" t="s">
        <v>1089</v>
      </c>
      <c r="B2" s="5" t="s">
        <v>1090</v>
      </c>
    </row>
    <row r="3" customFormat="false" ht="15" hidden="false" customHeight="false" outlineLevel="0" collapsed="false">
      <c r="A3" s="6" t="s">
        <v>1091</v>
      </c>
      <c r="B3" s="6" t="s">
        <v>1092</v>
      </c>
    </row>
    <row r="4" customFormat="false" ht="15" hidden="false" customHeight="false" outlineLevel="0" collapsed="false">
      <c r="A4" s="5" t="s">
        <v>893</v>
      </c>
      <c r="B4" s="5" t="s">
        <v>1093</v>
      </c>
    </row>
    <row r="5" customFormat="false" ht="15" hidden="false" customHeight="false" outlineLevel="0" collapsed="false">
      <c r="A5" s="6" t="s">
        <v>1094</v>
      </c>
      <c r="B5" s="6" t="s">
        <v>1095</v>
      </c>
    </row>
    <row r="6" customFormat="false" ht="15" hidden="false" customHeight="false" outlineLevel="0" collapsed="false">
      <c r="A6" s="5" t="s">
        <v>907</v>
      </c>
      <c r="B6" s="5" t="s">
        <v>1096</v>
      </c>
    </row>
    <row r="7" customFormat="false" ht="15" hidden="false" customHeight="false" outlineLevel="0" collapsed="false">
      <c r="A7" s="6" t="s">
        <v>1097</v>
      </c>
      <c r="B7" s="6" t="s">
        <v>1098</v>
      </c>
    </row>
    <row r="8" customFormat="false" ht="15" hidden="false" customHeight="false" outlineLevel="0" collapsed="false">
      <c r="A8" s="5" t="s">
        <v>923</v>
      </c>
      <c r="B8" s="5" t="s">
        <v>1099</v>
      </c>
    </row>
    <row r="9" customFormat="false" ht="32.8" hidden="false" customHeight="false" outlineLevel="0" collapsed="false">
      <c r="A9" s="6" t="s">
        <v>1100</v>
      </c>
      <c r="B9" s="6" t="s">
        <v>1101</v>
      </c>
    </row>
  </sheetData>
  <autoFilter ref="A1:B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0"/>
  </cols>
  <sheetData>
    <row r="1" customFormat="false" ht="36" hidden="false" customHeight="true" outlineLevel="0" collapsed="false">
      <c r="A1" s="4" t="s">
        <v>563</v>
      </c>
      <c r="B1" s="4" t="s">
        <v>1087</v>
      </c>
    </row>
    <row r="2" customFormat="false" ht="22.35" hidden="false" customHeight="false" outlineLevel="0" collapsed="false">
      <c r="A2" s="5" t="s">
        <v>1102</v>
      </c>
      <c r="B2" s="5" t="s">
        <v>1103</v>
      </c>
    </row>
    <row r="3" customFormat="false" ht="15" hidden="false" customHeight="false" outlineLevel="0" collapsed="false">
      <c r="A3" s="6" t="s">
        <v>1104</v>
      </c>
      <c r="B3" s="6" t="s">
        <v>1105</v>
      </c>
    </row>
    <row r="4" customFormat="false" ht="15" hidden="false" customHeight="false" outlineLevel="0" collapsed="false">
      <c r="A4" s="5" t="s">
        <v>1106</v>
      </c>
      <c r="B4" s="5" t="s">
        <v>1107</v>
      </c>
    </row>
    <row r="5" customFormat="false" ht="15" hidden="false" customHeight="false" outlineLevel="0" collapsed="false">
      <c r="A5" s="6" t="s">
        <v>1108</v>
      </c>
      <c r="B5" s="6" t="s">
        <v>1109</v>
      </c>
    </row>
    <row r="6" customFormat="false" ht="15" hidden="false" customHeight="false" outlineLevel="0" collapsed="false">
      <c r="A6" s="5" t="s">
        <v>1110</v>
      </c>
      <c r="B6" s="5" t="s">
        <v>1111</v>
      </c>
    </row>
  </sheetData>
  <autoFilter ref="A1:B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0"/>
  </cols>
  <sheetData>
    <row r="1" customFormat="false" ht="36" hidden="false" customHeight="true" outlineLevel="0" collapsed="false">
      <c r="A1" s="4" t="s">
        <v>40</v>
      </c>
      <c r="B1" s="4" t="s">
        <v>584</v>
      </c>
    </row>
    <row r="2" customFormat="false" ht="15" hidden="false" customHeight="false" outlineLevel="0" collapsed="false">
      <c r="A2" s="5" t="s">
        <v>1112</v>
      </c>
      <c r="B2" s="5" t="s">
        <v>1113</v>
      </c>
    </row>
    <row r="3" customFormat="false" ht="22.35" hidden="false" customHeight="false" outlineLevel="0" collapsed="false">
      <c r="A3" s="6" t="s">
        <v>1114</v>
      </c>
      <c r="B3" s="6" t="s">
        <v>1115</v>
      </c>
    </row>
    <row r="4" customFormat="false" ht="22.35" hidden="false" customHeight="false" outlineLevel="0" collapsed="false">
      <c r="A4" s="5" t="s">
        <v>1116</v>
      </c>
      <c r="B4" s="5" t="s">
        <v>1117</v>
      </c>
    </row>
    <row r="5" customFormat="false" ht="15" hidden="false" customHeight="false" outlineLevel="0" collapsed="false">
      <c r="A5" s="6" t="s">
        <v>1118</v>
      </c>
      <c r="B5" s="6" t="s">
        <v>1119</v>
      </c>
    </row>
    <row r="6" customFormat="false" ht="22.35" hidden="false" customHeight="false" outlineLevel="0" collapsed="false">
      <c r="A6" s="5" t="s">
        <v>1120</v>
      </c>
      <c r="B6" s="5" t="s">
        <v>1121</v>
      </c>
    </row>
    <row r="7" customFormat="false" ht="22.35" hidden="false" customHeight="false" outlineLevel="0" collapsed="false">
      <c r="A7" s="6" t="s">
        <v>1122</v>
      </c>
      <c r="B7" s="6" t="s">
        <v>1123</v>
      </c>
    </row>
    <row r="8" customFormat="false" ht="22.35" hidden="false" customHeight="false" outlineLevel="0" collapsed="false">
      <c r="A8" s="5" t="s">
        <v>1124</v>
      </c>
      <c r="B8" s="5" t="s">
        <v>1125</v>
      </c>
    </row>
    <row r="9" customFormat="false" ht="15" hidden="false" customHeight="false" outlineLevel="0" collapsed="false">
      <c r="A9" s="6" t="s">
        <v>601</v>
      </c>
      <c r="B9" s="6" t="s">
        <v>1126</v>
      </c>
    </row>
    <row r="10" customFormat="false" ht="15" hidden="false" customHeight="false" outlineLevel="0" collapsed="false">
      <c r="A10" s="5" t="s">
        <v>602</v>
      </c>
      <c r="B10" s="5" t="s">
        <v>1127</v>
      </c>
    </row>
    <row r="11" customFormat="false" ht="22.35" hidden="false" customHeight="false" outlineLevel="0" collapsed="false">
      <c r="A11" s="6" t="s">
        <v>603</v>
      </c>
      <c r="B11" s="6" t="s">
        <v>1128</v>
      </c>
    </row>
    <row r="12" customFormat="false" ht="15" hidden="false" customHeight="false" outlineLevel="0" collapsed="false">
      <c r="A12" s="5" t="s">
        <v>1129</v>
      </c>
      <c r="B12" s="5" t="s">
        <v>1130</v>
      </c>
    </row>
    <row r="13" customFormat="false" ht="22.35" hidden="false" customHeight="false" outlineLevel="0" collapsed="false">
      <c r="A13" s="6" t="s">
        <v>302</v>
      </c>
      <c r="B13" s="6" t="s">
        <v>1131</v>
      </c>
    </row>
    <row r="14" customFormat="false" ht="15" hidden="false" customHeight="false" outlineLevel="0" collapsed="false">
      <c r="A14" s="5" t="s">
        <v>1132</v>
      </c>
      <c r="B14" s="5" t="s">
        <v>1133</v>
      </c>
    </row>
    <row r="15" customFormat="false" ht="15" hidden="false" customHeight="false" outlineLevel="0" collapsed="false">
      <c r="A15" s="6" t="s">
        <v>1134</v>
      </c>
      <c r="B15" s="6" t="s">
        <v>1135</v>
      </c>
    </row>
    <row r="16" customFormat="false" ht="22.35" hidden="false" customHeight="false" outlineLevel="0" collapsed="false">
      <c r="A16" s="5" t="s">
        <v>1136</v>
      </c>
      <c r="B16" s="5" t="s">
        <v>1137</v>
      </c>
    </row>
    <row r="17" customFormat="false" ht="15" hidden="false" customHeight="false" outlineLevel="0" collapsed="false">
      <c r="A17" s="6" t="s">
        <v>1138</v>
      </c>
      <c r="B17" s="6" t="s">
        <v>1139</v>
      </c>
    </row>
    <row r="18" customFormat="false" ht="15" hidden="false" customHeight="false" outlineLevel="0" collapsed="false">
      <c r="A18" s="5" t="s">
        <v>587</v>
      </c>
      <c r="B18" s="5" t="s">
        <v>1140</v>
      </c>
    </row>
  </sheetData>
  <autoFilter ref="A1:B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90"/>
    <col collapsed="false" customWidth="true" hidden="false" outlineLevel="0" max="3" min="3" style="0" width="40"/>
  </cols>
  <sheetData>
    <row r="1" customFormat="false" ht="36" hidden="false" customHeight="true" outlineLevel="0" collapsed="false">
      <c r="A1" s="4" t="s">
        <v>1141</v>
      </c>
      <c r="B1" s="4" t="s">
        <v>1142</v>
      </c>
      <c r="C1" s="4" t="s">
        <v>1143</v>
      </c>
    </row>
    <row r="2" customFormat="false" ht="22.35" hidden="false" customHeight="false" outlineLevel="0" collapsed="false">
      <c r="A2" s="5" t="s">
        <v>1144</v>
      </c>
      <c r="B2" s="5" t="s">
        <v>1145</v>
      </c>
      <c r="C2" s="5" t="s">
        <v>1146</v>
      </c>
    </row>
    <row r="3" customFormat="false" ht="22.35" hidden="false" customHeight="false" outlineLevel="0" collapsed="false">
      <c r="A3" s="6" t="s">
        <v>1147</v>
      </c>
      <c r="B3" s="6" t="s">
        <v>1148</v>
      </c>
      <c r="C3" s="6" t="s">
        <v>1149</v>
      </c>
    </row>
    <row r="4" customFormat="false" ht="15" hidden="false" customHeight="false" outlineLevel="0" collapsed="false">
      <c r="A4" s="5" t="s">
        <v>1150</v>
      </c>
      <c r="B4" s="5" t="s">
        <v>1151</v>
      </c>
      <c r="C4" s="5" t="s">
        <v>1152</v>
      </c>
    </row>
    <row r="5" customFormat="false" ht="15" hidden="false" customHeight="false" outlineLevel="0" collapsed="false">
      <c r="A5" s="6" t="s">
        <v>1153</v>
      </c>
      <c r="B5" s="6" t="s">
        <v>1154</v>
      </c>
      <c r="C5" s="6" t="s">
        <v>1155</v>
      </c>
    </row>
    <row r="6" customFormat="false" ht="22.35" hidden="false" customHeight="false" outlineLevel="0" collapsed="false">
      <c r="A6" s="5" t="s">
        <v>1156</v>
      </c>
      <c r="B6" s="5" t="s">
        <v>1157</v>
      </c>
      <c r="C6" s="5" t="s">
        <v>1158</v>
      </c>
    </row>
    <row r="7" customFormat="false" ht="15" hidden="false" customHeight="false" outlineLevel="0" collapsed="false">
      <c r="A7" s="6" t="s">
        <v>1159</v>
      </c>
      <c r="B7" s="6" t="s">
        <v>1160</v>
      </c>
      <c r="C7" s="6" t="s">
        <v>1161</v>
      </c>
    </row>
    <row r="8" customFormat="false" ht="15" hidden="false" customHeight="false" outlineLevel="0" collapsed="false">
      <c r="A8" s="5" t="s">
        <v>1162</v>
      </c>
      <c r="B8" s="5" t="s">
        <v>1163</v>
      </c>
      <c r="C8" s="5" t="s">
        <v>1164</v>
      </c>
    </row>
    <row r="9" customFormat="false" ht="15" hidden="false" customHeight="false" outlineLevel="0" collapsed="false">
      <c r="A9" s="6" t="s">
        <v>1165</v>
      </c>
      <c r="B9" s="6" t="s">
        <v>1166</v>
      </c>
      <c r="C9" s="6" t="s">
        <v>554</v>
      </c>
    </row>
  </sheetData>
  <autoFilter ref="A1:C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16"/>
    <col collapsed="false" customWidth="true" hidden="false" outlineLevel="0" max="6" min="6" style="0" width="70"/>
  </cols>
  <sheetData>
    <row r="1" customFormat="false" ht="15" hidden="false" customHeight="false" outlineLevel="0" collapsed="false">
      <c r="A1" s="11" t="s">
        <v>1167</v>
      </c>
    </row>
    <row r="2" customFormat="false" ht="15" hidden="false" customHeight="false" outlineLevel="0" collapsed="false">
      <c r="A2" s="12" t="s">
        <v>1168</v>
      </c>
      <c r="B2" s="12"/>
      <c r="C2" s="12"/>
      <c r="D2" s="12"/>
      <c r="E2" s="12"/>
      <c r="F2" s="12"/>
    </row>
    <row r="4" customFormat="false" ht="15" hidden="false" customHeight="false" outlineLevel="0" collapsed="false">
      <c r="A4" s="4" t="s">
        <v>813</v>
      </c>
      <c r="B4" s="4" t="s">
        <v>1169</v>
      </c>
      <c r="C4" s="4"/>
      <c r="D4" s="4"/>
      <c r="E4" s="4"/>
      <c r="F4" s="4" t="s">
        <v>1170</v>
      </c>
    </row>
    <row r="5" customFormat="false" ht="15" hidden="false" customHeight="false" outlineLevel="0" collapsed="false">
      <c r="A5" s="13" t="s">
        <v>1171</v>
      </c>
      <c r="B5" s="14" t="n">
        <v>1</v>
      </c>
      <c r="C5" s="13"/>
      <c r="D5" s="13"/>
      <c r="E5" s="13"/>
      <c r="F5" s="13" t="s">
        <v>1172</v>
      </c>
    </row>
    <row r="6" customFormat="false" ht="15" hidden="false" customHeight="false" outlineLevel="0" collapsed="false">
      <c r="A6" s="13" t="s">
        <v>1173</v>
      </c>
      <c r="B6" s="14" t="n">
        <v>0.25</v>
      </c>
      <c r="C6" s="13"/>
      <c r="D6" s="13"/>
      <c r="E6" s="13"/>
      <c r="F6" s="13" t="s">
        <v>1174</v>
      </c>
    </row>
    <row r="7" customFormat="false" ht="15" hidden="false" customHeight="false" outlineLevel="0" collapsed="false">
      <c r="A7" s="13" t="s">
        <v>1175</v>
      </c>
      <c r="B7" s="14" t="n">
        <v>32</v>
      </c>
      <c r="C7" s="13"/>
      <c r="D7" s="13"/>
      <c r="E7" s="13"/>
      <c r="F7" s="13" t="s">
        <v>1176</v>
      </c>
    </row>
    <row r="8" customFormat="false" ht="15" hidden="false" customHeight="false" outlineLevel="0" collapsed="false">
      <c r="A8" s="13" t="s">
        <v>1177</v>
      </c>
      <c r="B8" s="14" t="n">
        <v>6</v>
      </c>
      <c r="C8" s="13"/>
      <c r="D8" s="13"/>
      <c r="E8" s="13"/>
      <c r="F8" s="13"/>
    </row>
    <row r="9" customFormat="false" ht="15" hidden="false" customHeight="false" outlineLevel="0" collapsed="false">
      <c r="A9" s="13" t="s">
        <v>1178</v>
      </c>
      <c r="B9" s="14" t="n">
        <v>30</v>
      </c>
      <c r="C9" s="13"/>
      <c r="D9" s="13"/>
      <c r="E9" s="13"/>
      <c r="F9" s="13" t="s">
        <v>1179</v>
      </c>
    </row>
    <row r="10" customFormat="false" ht="22.35" hidden="false" customHeight="false" outlineLevel="0" collapsed="false">
      <c r="A10" s="13" t="s">
        <v>1180</v>
      </c>
      <c r="B10" s="14" t="n">
        <v>1.2</v>
      </c>
      <c r="C10" s="13"/>
      <c r="D10" s="13"/>
      <c r="E10" s="13"/>
      <c r="F10" s="13" t="s">
        <v>1181</v>
      </c>
    </row>
    <row r="11" customFormat="false" ht="22.35" hidden="false" customHeight="false" outlineLevel="0" collapsed="false">
      <c r="A11" s="13" t="s">
        <v>1182</v>
      </c>
      <c r="B11" s="14" t="n">
        <v>0.9</v>
      </c>
      <c r="C11" s="13"/>
      <c r="D11" s="13"/>
      <c r="E11" s="13"/>
      <c r="F11" s="13" t="s">
        <v>1183</v>
      </c>
    </row>
    <row r="12" customFormat="false" ht="15" hidden="false" customHeight="false" outlineLevel="0" collapsed="false">
      <c r="A12" s="13" t="s">
        <v>1184</v>
      </c>
      <c r="B12" s="14" t="n">
        <v>30</v>
      </c>
      <c r="C12" s="13"/>
      <c r="D12" s="13"/>
      <c r="E12" s="13"/>
      <c r="F12" s="13" t="s">
        <v>1185</v>
      </c>
    </row>
    <row r="13" customFormat="false" ht="15" hidden="false" customHeight="false" outlineLevel="0" collapsed="false">
      <c r="A13" s="13" t="s">
        <v>1186</v>
      </c>
      <c r="B13" s="14" t="n">
        <v>30</v>
      </c>
      <c r="C13" s="13"/>
      <c r="D13" s="13"/>
      <c r="E13" s="13"/>
      <c r="F13" s="13" t="s">
        <v>1187</v>
      </c>
    </row>
    <row r="15" customFormat="false" ht="15" hidden="false" customHeight="false" outlineLevel="0" collapsed="false">
      <c r="A15" s="4" t="s">
        <v>1188</v>
      </c>
      <c r="B15" s="4" t="s">
        <v>1189</v>
      </c>
      <c r="C15" s="4" t="s">
        <v>1190</v>
      </c>
      <c r="D15" s="4" t="s">
        <v>1191</v>
      </c>
      <c r="E15" s="4"/>
      <c r="F15" s="4" t="s">
        <v>1170</v>
      </c>
    </row>
    <row r="16" customFormat="false" ht="15" hidden="false" customHeight="false" outlineLevel="0" collapsed="false">
      <c r="A16" s="13" t="s">
        <v>1192</v>
      </c>
      <c r="B16" s="15" t="n">
        <v>0</v>
      </c>
      <c r="C16" s="15" t="n">
        <v>50</v>
      </c>
      <c r="D16" s="14" t="n">
        <v>1</v>
      </c>
      <c r="E16" s="13"/>
      <c r="F16" s="13" t="s">
        <v>1193</v>
      </c>
    </row>
    <row r="17" customFormat="false" ht="15" hidden="false" customHeight="false" outlineLevel="0" collapsed="false">
      <c r="A17" s="13" t="s">
        <v>910</v>
      </c>
      <c r="B17" s="15" t="n">
        <v>50</v>
      </c>
      <c r="C17" s="15" t="n">
        <v>75</v>
      </c>
      <c r="D17" s="14" t="n">
        <v>0.9</v>
      </c>
      <c r="E17" s="13"/>
      <c r="F17" s="13" t="s">
        <v>1194</v>
      </c>
    </row>
    <row r="18" customFormat="false" ht="22.35" hidden="false" customHeight="false" outlineLevel="0" collapsed="false">
      <c r="A18" s="13" t="s">
        <v>1195</v>
      </c>
      <c r="B18" s="15" t="n">
        <v>75</v>
      </c>
      <c r="C18" s="15" t="n">
        <v>100</v>
      </c>
      <c r="D18" s="14" t="n">
        <v>0.8</v>
      </c>
      <c r="E18" s="13"/>
      <c r="F18" s="13" t="s">
        <v>1196</v>
      </c>
    </row>
    <row r="20" customFormat="false" ht="15" hidden="false" customHeight="false" outlineLevel="0" collapsed="false">
      <c r="A20" s="4" t="s">
        <v>1019</v>
      </c>
      <c r="B20" s="4" t="s">
        <v>1197</v>
      </c>
      <c r="C20" s="4" t="s">
        <v>1198</v>
      </c>
      <c r="D20" s="4" t="s">
        <v>1199</v>
      </c>
      <c r="E20" s="4" t="s">
        <v>1200</v>
      </c>
      <c r="F20" s="4" t="s">
        <v>1170</v>
      </c>
    </row>
    <row r="21" customFormat="false" ht="15" hidden="false" customHeight="false" outlineLevel="0" collapsed="false">
      <c r="A21" s="13" t="s">
        <v>1201</v>
      </c>
      <c r="B21" s="15" t="n">
        <v>8</v>
      </c>
      <c r="C21" s="15" t="n">
        <v>1</v>
      </c>
      <c r="D21" s="16" t="n">
        <f aca="false">B21/$B$7</f>
        <v>0.25</v>
      </c>
      <c r="E21" s="17" t="n">
        <f aca="false">($B$5+C21*$B$6)*IF(D21&lt;0.5,$D$16,IF(D21&lt;0.75,$D$17,$D$18))</f>
        <v>1.25</v>
      </c>
      <c r="F21" s="13" t="s">
        <v>1202</v>
      </c>
    </row>
    <row r="22" customFormat="false" ht="15" hidden="false" customHeight="false" outlineLevel="0" collapsed="false">
      <c r="A22" s="13" t="s">
        <v>1203</v>
      </c>
      <c r="B22" s="15" t="n">
        <v>20</v>
      </c>
      <c r="C22" s="15" t="n">
        <v>2</v>
      </c>
      <c r="D22" s="16" t="n">
        <f aca="false">B22/$B$7</f>
        <v>0.625</v>
      </c>
      <c r="E22" s="17" t="n">
        <f aca="false">($B$5+C22*$B$6)*IF(D22&lt;0.5,$D$16,IF(D22&lt;0.75,$D$17,$D$18))</f>
        <v>1.35</v>
      </c>
      <c r="F22" s="13" t="s">
        <v>1202</v>
      </c>
    </row>
    <row r="23" customFormat="false" ht="15" hidden="false" customHeight="false" outlineLevel="0" collapsed="false">
      <c r="A23" s="13" t="s">
        <v>1204</v>
      </c>
      <c r="B23" s="15" t="n">
        <v>28</v>
      </c>
      <c r="C23" s="15" t="n">
        <v>2</v>
      </c>
      <c r="D23" s="16" t="n">
        <f aca="false">B23/$B$7</f>
        <v>0.875</v>
      </c>
      <c r="E23" s="17" t="n">
        <f aca="false">($B$5+C23*$B$6)*IF(D23&lt;0.5,$D$16,IF(D23&lt;0.75,$D$17,$D$18))</f>
        <v>1.2</v>
      </c>
      <c r="F23" s="13" t="s">
        <v>1202</v>
      </c>
    </row>
    <row r="24" customFormat="false" ht="15" hidden="false" customHeight="false" outlineLevel="0" collapsed="false">
      <c r="A24" s="13" t="s">
        <v>1205</v>
      </c>
      <c r="B24" s="15" t="n">
        <v>32</v>
      </c>
      <c r="C24" s="15" t="n">
        <v>3</v>
      </c>
      <c r="D24" s="16" t="n">
        <f aca="false">B24/$B$7</f>
        <v>1</v>
      </c>
      <c r="E24" s="17" t="n">
        <f aca="false">($B$5+C24*$B$6)*IF(D24&lt;0.5,$D$16,IF(D24&lt;0.75,$D$17,$D$18))</f>
        <v>1.4</v>
      </c>
      <c r="F24" s="13" t="s">
        <v>1202</v>
      </c>
    </row>
    <row r="26" customFormat="false" ht="15" hidden="false" customHeight="false" outlineLevel="0" collapsed="false">
      <c r="A26" s="4" t="s">
        <v>1206</v>
      </c>
      <c r="B26" s="4"/>
      <c r="C26" s="4"/>
      <c r="D26" s="4"/>
      <c r="E26" s="4"/>
      <c r="F26" s="4" t="s">
        <v>584</v>
      </c>
    </row>
    <row r="27" customFormat="false" ht="22.35" hidden="false" customHeight="false" outlineLevel="0" collapsed="false">
      <c r="A27" s="13" t="s">
        <v>302</v>
      </c>
      <c r="B27" s="13"/>
      <c r="C27" s="13"/>
      <c r="D27" s="13"/>
      <c r="E27" s="13"/>
      <c r="F27" s="13" t="s">
        <v>1207</v>
      </c>
    </row>
    <row r="28" customFormat="false" ht="22.35" hidden="false" customHeight="false" outlineLevel="0" collapsed="false">
      <c r="A28" s="13" t="s">
        <v>1208</v>
      </c>
      <c r="B28" s="13"/>
      <c r="C28" s="13"/>
      <c r="D28" s="13"/>
      <c r="E28" s="13"/>
      <c r="F28" s="13" t="s">
        <v>1209</v>
      </c>
    </row>
    <row r="29" customFormat="false" ht="22.35" hidden="false" customHeight="false" outlineLevel="0" collapsed="false">
      <c r="A29" s="13" t="s">
        <v>1210</v>
      </c>
      <c r="B29" s="13"/>
      <c r="C29" s="13"/>
      <c r="D29" s="13"/>
      <c r="E29" s="13"/>
      <c r="F29" s="13" t="s">
        <v>1211</v>
      </c>
    </row>
    <row r="30" customFormat="false" ht="43.25" hidden="false" customHeight="false" outlineLevel="0" collapsed="false">
      <c r="A30" s="13" t="s">
        <v>1212</v>
      </c>
      <c r="B30" s="13"/>
      <c r="C30" s="13"/>
      <c r="D30" s="13"/>
      <c r="E30" s="13"/>
      <c r="F30" s="13" t="s">
        <v>1213</v>
      </c>
    </row>
    <row r="31" customFormat="false" ht="15" hidden="false" customHeight="false" outlineLevel="0" collapsed="false">
      <c r="A31" s="13" t="s">
        <v>1214</v>
      </c>
      <c r="B31" s="13"/>
      <c r="C31" s="13"/>
      <c r="D31" s="13"/>
      <c r="E31" s="13"/>
      <c r="F31" s="13" t="s">
        <v>1215</v>
      </c>
    </row>
    <row r="32" customFormat="false" ht="22.35" hidden="false" customHeight="false" outlineLevel="0" collapsed="false">
      <c r="A32" s="13" t="s">
        <v>1216</v>
      </c>
      <c r="B32" s="13"/>
      <c r="C32" s="13"/>
      <c r="D32" s="13"/>
      <c r="E32" s="13"/>
      <c r="F32" s="13" t="s">
        <v>1217</v>
      </c>
    </row>
    <row r="34" customFormat="false" ht="15" hidden="false" customHeight="false" outlineLevel="0" collapsed="false">
      <c r="A34" s="4" t="s">
        <v>1087</v>
      </c>
      <c r="B34" s="4" t="s">
        <v>1218</v>
      </c>
      <c r="C34" s="4"/>
      <c r="D34" s="4"/>
      <c r="E34" s="4"/>
      <c r="F34" s="4" t="s">
        <v>1219</v>
      </c>
    </row>
    <row r="35" customFormat="false" ht="15" hidden="false" customHeight="false" outlineLevel="0" collapsed="false">
      <c r="A35" s="13" t="s">
        <v>1220</v>
      </c>
      <c r="B35" s="13" t="s">
        <v>1221</v>
      </c>
      <c r="C35" s="13"/>
      <c r="D35" s="13"/>
      <c r="E35" s="13"/>
      <c r="F35" s="13" t="s">
        <v>1222</v>
      </c>
    </row>
    <row r="36" customFormat="false" ht="15" hidden="false" customHeight="false" outlineLevel="0" collapsed="false">
      <c r="A36" s="13" t="s">
        <v>1223</v>
      </c>
      <c r="B36" s="13" t="s">
        <v>1224</v>
      </c>
      <c r="C36" s="13"/>
      <c r="D36" s="13"/>
      <c r="E36" s="13"/>
      <c r="F36" s="13" t="s">
        <v>846</v>
      </c>
    </row>
    <row r="37" customFormat="false" ht="22.35" hidden="false" customHeight="false" outlineLevel="0" collapsed="false">
      <c r="A37" s="13" t="s">
        <v>1225</v>
      </c>
      <c r="B37" s="13" t="s">
        <v>1226</v>
      </c>
      <c r="C37" s="13"/>
      <c r="D37" s="13"/>
      <c r="E37" s="13"/>
      <c r="F37" s="13" t="s">
        <v>1227</v>
      </c>
    </row>
    <row r="38" customFormat="false" ht="43.25" hidden="false" customHeight="false" outlineLevel="0" collapsed="false">
      <c r="A38" s="13" t="s">
        <v>1228</v>
      </c>
      <c r="B38" s="13" t="s">
        <v>1229</v>
      </c>
      <c r="C38" s="13"/>
      <c r="D38" s="13"/>
      <c r="E38" s="13"/>
      <c r="F38" s="13" t="s">
        <v>1230</v>
      </c>
    </row>
    <row r="39" customFormat="false" ht="22.35" hidden="false" customHeight="false" outlineLevel="0" collapsed="false">
      <c r="A39" s="13" t="s">
        <v>1231</v>
      </c>
      <c r="B39" s="13" t="s">
        <v>1232</v>
      </c>
      <c r="C39" s="13"/>
      <c r="D39" s="13"/>
      <c r="E39" s="13"/>
      <c r="F39" s="13" t="s">
        <v>1233</v>
      </c>
    </row>
    <row r="40" customFormat="false" ht="22.35" hidden="false" customHeight="false" outlineLevel="0" collapsed="false">
      <c r="A40" s="13" t="s">
        <v>1234</v>
      </c>
      <c r="B40" s="13" t="s">
        <v>1235</v>
      </c>
      <c r="C40" s="13"/>
      <c r="D40" s="13"/>
      <c r="E40" s="13"/>
      <c r="F40" s="13" t="s">
        <v>1236</v>
      </c>
    </row>
    <row r="41" customFormat="false" ht="22.35" hidden="false" customHeight="false" outlineLevel="0" collapsed="false">
      <c r="A41" s="13" t="s">
        <v>1237</v>
      </c>
      <c r="B41" s="13" t="s">
        <v>1238</v>
      </c>
      <c r="C41" s="13"/>
      <c r="D41" s="13"/>
      <c r="E41" s="13"/>
      <c r="F41" s="13" t="s">
        <v>1239</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55"/>
    <col collapsed="false" customWidth="true" hidden="false" outlineLevel="0" max="3" min="3" style="0" width="90"/>
  </cols>
  <sheetData>
    <row r="1" customFormat="false" ht="36" hidden="false" customHeight="true" outlineLevel="0" collapsed="false">
      <c r="A1" s="4" t="s">
        <v>38</v>
      </c>
      <c r="B1" s="4" t="s">
        <v>1240</v>
      </c>
      <c r="C1" s="4" t="s">
        <v>1241</v>
      </c>
    </row>
    <row r="2" customFormat="false" ht="15" hidden="false" customHeight="false" outlineLevel="0" collapsed="false">
      <c r="A2" s="5" t="s">
        <v>1242</v>
      </c>
      <c r="B2" s="5" t="s">
        <v>1243</v>
      </c>
      <c r="C2" s="5" t="s">
        <v>1244</v>
      </c>
    </row>
    <row r="3" customFormat="false" ht="22.35" hidden="false" customHeight="false" outlineLevel="0" collapsed="false">
      <c r="A3" s="6" t="s">
        <v>1245</v>
      </c>
      <c r="B3" s="6" t="s">
        <v>1246</v>
      </c>
      <c r="C3" s="6" t="s">
        <v>1247</v>
      </c>
    </row>
    <row r="4" customFormat="false" ht="22.35" hidden="false" customHeight="false" outlineLevel="0" collapsed="false">
      <c r="A4" s="5" t="s">
        <v>1248</v>
      </c>
      <c r="B4" s="5" t="s">
        <v>1249</v>
      </c>
      <c r="C4" s="5" t="s">
        <v>1250</v>
      </c>
    </row>
    <row r="5" customFormat="false" ht="15" hidden="false" customHeight="false" outlineLevel="0" collapsed="false">
      <c r="A5" s="6" t="s">
        <v>673</v>
      </c>
      <c r="B5" s="6" t="s">
        <v>1251</v>
      </c>
      <c r="C5" s="6" t="s">
        <v>1252</v>
      </c>
    </row>
    <row r="6" customFormat="false" ht="15" hidden="false" customHeight="false" outlineLevel="0" collapsed="false">
      <c r="A6" s="5" t="s">
        <v>1253</v>
      </c>
      <c r="B6" s="5" t="s">
        <v>1254</v>
      </c>
      <c r="C6" s="5" t="s">
        <v>1255</v>
      </c>
    </row>
  </sheetData>
  <autoFilter ref="A1:C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2026-10-01T17:35:30Z</dcterms:created>
  <dc:creator>openpyxl</dc:creator>
  <dc:description/>
  <dc:language>en-US</dc:language>
  <cp:lastModifiedBy/>
  <dcterms:modified xsi:type="dcterms:W3CDTF">2026-10-01T17:35:30Z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